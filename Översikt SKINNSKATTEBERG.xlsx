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46253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46253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46253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46253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46253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t="n">
        <v>7</v>
      </c>
      <c r="V6" s="2" t="inlineStr">
        <is>
          <t>Brunpudrad nållav
Vedtrappmossa
Gullgröppa
Vanlig flatbagge
Timmerticka</t>
        </is>
      </c>
      <c r="W6">
        <f>HYPERLINK("https://klasma.github.io/Logging_1904/artfynd/A 21845-2026 artfynd.xlsx", "A 21845-2026")</f>
        <v/>
      </c>
      <c r="X6">
        <f>HYPERLINK("https://klasma.github.io/Logging_1904/kartor/A 21845-2026 karta.png", "A 21845-2026")</f>
        <v/>
      </c>
      <c r="Y6">
        <f>HYPERLINK("https://klasma.github.io/Logging_1904/kartor_geotiff/A 21845-2026 georefererad karta.tif", "A 21845-2026")</f>
        <v/>
      </c>
      <c r="AA6">
        <f>HYPERLINK("https://klasma.github.io/Logging_1904/klagomål/A 21845-2026 FSC-klagomål.docx", "A 21845-2026")</f>
        <v/>
      </c>
      <c r="AB6">
        <f>HYPERLINK("https://klasma.github.io/Logging_1904/klagomålsmail/A 21845-2026 FSC-klagomål mail.docx", "A 21845-2026")</f>
        <v/>
      </c>
      <c r="AC6">
        <f>HYPERLINK("https://klasma.github.io/Logging_1904/tillsyn/A 21845-2026 tillsynsbegäran.docx", "A 21845-2026")</f>
        <v/>
      </c>
      <c r="AD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46253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46253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Vedtrappmossa
Björksplintborre
Gulnål
Vedticka</t>
        </is>
      </c>
      <c r="W8">
        <f>HYPERLINK("https://klasma.github.io/Logging_1904/artfynd/A 56183-2025 artfynd.xlsx", "A 56183-2025")</f>
        <v/>
      </c>
      <c r="X8">
        <f>HYPERLINK("https://klasma.github.io/Logging_1904/kartor/A 56183-2025 karta.png", "A 56183-2025")</f>
        <v/>
      </c>
      <c r="Y8">
        <f>HYPERLINK("https://klasma.github.io/Logging_1904/kartor_geotiff/A 56183-2025 georefererad karta.tif", "A 56183-2025")</f>
        <v/>
      </c>
      <c r="AA8">
        <f>HYPERLINK("https://klasma.github.io/Logging_1904/klagomål/A 56183-2025 FSC-klagomål.docx", "A 56183-2025")</f>
        <v/>
      </c>
      <c r="AB8">
        <f>HYPERLINK("https://klasma.github.io/Logging_1904/klagomålsmail/A 56183-2025 FSC-klagomål mail.docx", "A 56183-2025")</f>
        <v/>
      </c>
      <c r="AC8">
        <f>HYPERLINK("https://klasma.github.io/Logging_1904/tillsyn/A 56183-2025 tillsynsbegäran.docx", "A 56183-2025")</f>
        <v/>
      </c>
      <c r="AD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46253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44698-2024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45574</v>
      </c>
      <c r="E10" s="1" t="n">
        <v>46253</v>
      </c>
      <c r="F10" t="inlineStr">
        <is>
          <t>VÄSTMANLANDS LÄN</t>
        </is>
      </c>
      <c r="G10" t="inlineStr">
        <is>
          <t>SKINNSKATTEBERG</t>
        </is>
      </c>
      <c r="I10" t="n">
        <v>1.3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Hässleklocka
Tibast
Gullviva</t>
        </is>
      </c>
      <c r="W10">
        <f>HYPERLINK("https://klasma.github.io/Logging_1904/artfynd/A 44698-2024 artfynd.xlsx", "A 44698-2024")</f>
        <v/>
      </c>
      <c r="X10">
        <f>HYPERLINK("https://klasma.github.io/Logging_1904/kartor/A 44698-2024 karta.png", "A 44698-2024")</f>
        <v/>
      </c>
      <c r="Y10">
        <f>HYPERLINK("https://klasma.github.io/Logging_1904/kartor_geotiff/A 44698-2024 georefererad karta.tif", "A 44698-2024")</f>
        <v/>
      </c>
      <c r="AA10">
        <f>HYPERLINK("https://klasma.github.io/Logging_1904/klagomål/A 44698-2024 FSC-klagomål.docx", "A 44698-2024")</f>
        <v/>
      </c>
      <c r="AB10">
        <f>HYPERLINK("https://klasma.github.io/Logging_1904/klagomålsmail/A 44698-2024 FSC-klagomål mail.docx", "A 44698-2024")</f>
        <v/>
      </c>
      <c r="AC10">
        <f>HYPERLINK("https://klasma.github.io/Logging_1904/tillsyn/A 44698-2024 tillsynsbegäran.docx", "A 44698-2024")</f>
        <v/>
      </c>
      <c r="AD10">
        <f>HYPERLINK("https://klasma.github.io/Logging_1904/tillsynsmail/A 44698-2024 tillsynsbegäran mail.docx", "A 44698-2024")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46253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Fläcknycklar
Revlummer</t>
        </is>
      </c>
      <c r="W11">
        <f>HYPERLINK("https://klasma.github.io/Logging_1904/artfynd/A 18515-2024 artfynd.xlsx", "A 18515-2024")</f>
        <v/>
      </c>
      <c r="X11">
        <f>HYPERLINK("https://klasma.github.io/Logging_1904/kartor/A 18515-2024 karta.png", "A 18515-2024")</f>
        <v/>
      </c>
      <c r="Y11">
        <f>HYPERLINK("https://klasma.github.io/Logging_1904/kartor_geotiff/A 18515-2024 georefererad karta.tif", "A 18515-2024")</f>
        <v/>
      </c>
      <c r="AA11">
        <f>HYPERLINK("https://klasma.github.io/Logging_1904/klagomål/A 18515-2024 FSC-klagomål.docx", "A 18515-2024")</f>
        <v/>
      </c>
      <c r="AB11">
        <f>HYPERLINK("https://klasma.github.io/Logging_1904/klagomålsmail/A 18515-2024 FSC-klagomål mail.docx", "A 18515-2024")</f>
        <v/>
      </c>
      <c r="AC11">
        <f>HYPERLINK("https://klasma.github.io/Logging_1904/tillsyn/A 18515-2024 tillsynsbegäran.docx", "A 18515-2024")</f>
        <v/>
      </c>
      <c r="AD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46253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Rynkskinn
Ullticka
Brandticka</t>
        </is>
      </c>
      <c r="W12">
        <f>HYPERLINK("https://klasma.github.io/Logging_1904/artfynd/A 19656-2025 artfynd.xlsx", "A 19656-2025")</f>
        <v/>
      </c>
      <c r="X12">
        <f>HYPERLINK("https://klasma.github.io/Logging_1904/kartor/A 19656-2025 karta.png", "A 19656-2025")</f>
        <v/>
      </c>
      <c r="Y12">
        <f>HYPERLINK("https://klasma.github.io/Logging_1904/kartor_geotiff/A 19656-2025 georefererad karta.tif", "A 19656-2025")</f>
        <v/>
      </c>
      <c r="AA12">
        <f>HYPERLINK("https://klasma.github.io/Logging_1904/klagomål/A 19656-2025 FSC-klagomål.docx", "A 19656-2025")</f>
        <v/>
      </c>
      <c r="AB12">
        <f>HYPERLINK("https://klasma.github.io/Logging_1904/klagomålsmail/A 19656-2025 FSC-klagomål mail.docx", "A 19656-2025")</f>
        <v/>
      </c>
      <c r="AC12">
        <f>HYPERLINK("https://klasma.github.io/Logging_1904/tillsyn/A 19656-2025 tillsynsbegäran.docx", "A 19656-2025")</f>
        <v/>
      </c>
      <c r="AD12">
        <f>HYPERLINK("https://klasma.github.io/Logging_1904/tillsynsmail/A 19656-2025 tillsynsbegäran mail.docx", "A 19656-2025")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46253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t="n">
        <v>4</v>
      </c>
      <c r="V13" s="2" t="inlineStr">
        <is>
          <t>Brunpudrad nållav
Vedtrappmossa
Brandticka</t>
        </is>
      </c>
      <c r="W13">
        <f>HYPERLINK("https://klasma.github.io/Logging_1904/artfynd/A 58355-2025 artfynd.xlsx", "A 58355-2025")</f>
        <v/>
      </c>
      <c r="X13">
        <f>HYPERLINK("https://klasma.github.io/Logging_1904/kartor/A 58355-2025 karta.png", "A 58355-2025")</f>
        <v/>
      </c>
      <c r="Y13">
        <f>HYPERLINK("https://klasma.github.io/Logging_1904/kartor_geotiff/A 58355-2025 georefererad karta.tif", "A 58355-2025")</f>
        <v/>
      </c>
      <c r="AA13">
        <f>HYPERLINK("https://klasma.github.io/Logging_1904/klagomål/A 58355-2025 FSC-klagomål.docx", "A 58355-2025")</f>
        <v/>
      </c>
      <c r="AB13">
        <f>HYPERLINK("https://klasma.github.io/Logging_1904/klagomålsmail/A 58355-2025 FSC-klagomål mail.docx", "A 58355-2025")</f>
        <v/>
      </c>
      <c r="AC13">
        <f>HYPERLINK("https://klasma.github.io/Logging_1904/tillsyn/A 58355-2025 tillsynsbegäran.docx", "A 58355-2025")</f>
        <v/>
      </c>
      <c r="AD13">
        <f>HYPERLINK("https://klasma.github.io/Logging_1904/tillsynsmail/A 58355-2025 tillsynsbegäran mail.docx", "A 58355-2025")</f>
        <v/>
      </c>
    </row>
    <row r="14" ht="15" customHeight="1">
      <c r="A14" t="inlineStr">
        <is>
          <t>A 21846-2026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46253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0.5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Gränsticka
Brunpudrad nållav
Vedtrappmossa</t>
        </is>
      </c>
      <c r="W14">
        <f>HYPERLINK("https://klasma.github.io/Logging_1904/artfynd/A 21846-2026 artfynd.xlsx", "A 21846-2026")</f>
        <v/>
      </c>
      <c r="X14">
        <f>HYPERLINK("https://klasma.github.io/Logging_1904/kartor/A 21846-2026 karta.png", "A 21846-2026")</f>
        <v/>
      </c>
      <c r="Y14">
        <f>HYPERLINK("https://klasma.github.io/Logging_1904/kartor_geotiff/A 21846-2026 georefererad karta.tif", "A 21846-2026")</f>
        <v/>
      </c>
      <c r="AA14">
        <f>HYPERLINK("https://klasma.github.io/Logging_1904/klagomål/A 21846-2026 FSC-klagomål.docx", "A 21846-2026")</f>
        <v/>
      </c>
      <c r="AB14">
        <f>HYPERLINK("https://klasma.github.io/Logging_1904/klagomålsmail/A 21846-2026 FSC-klagomål mail.docx", "A 21846-2026")</f>
        <v/>
      </c>
      <c r="AC14">
        <f>HYPERLINK("https://klasma.github.io/Logging_1904/tillsyn/A 21846-2026 tillsynsbegäran.docx", "A 21846-2026")</f>
        <v/>
      </c>
      <c r="AD14">
        <f>HYPERLINK("https://klasma.github.io/Logging_1904/tillsynsmail/A 21846-2026 tillsynsbegäran mail.docx", "A 21846-2026")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46253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46253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46253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46253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46253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41868-2022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44829</v>
      </c>
      <c r="E20" s="1" t="n">
        <v>46253</v>
      </c>
      <c r="F20" t="inlineStr">
        <is>
          <t>VÄSTMANLANDS LÄN</t>
        </is>
      </c>
      <c r="G20" t="inlineStr">
        <is>
          <t>SKINNSKATTEBERG</t>
        </is>
      </c>
      <c r="I20" t="n">
        <v>0.9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HYPERLINK("https://klasma.github.io/Logging_1904/artfynd/A 41868-2022 artfynd.xlsx", "A 41868-2022")</f>
        <v/>
      </c>
      <c r="X20">
        <f>HYPERLINK("https://klasma.github.io/Logging_1904/kartor/A 41868-2022 karta.png", "A 41868-2022")</f>
        <v/>
      </c>
      <c r="Y20">
        <f>HYPERLINK("https://klasma.github.io/Logging_1904/kartor_geotiff/A 41868-2022 georefererad karta.tif", "A 41868-2022")</f>
        <v/>
      </c>
      <c r="AA20">
        <f>HYPERLINK("https://klasma.github.io/Logging_1904/klagomål/A 41868-2022 FSC-klagomål.docx", "A 41868-2022")</f>
        <v/>
      </c>
      <c r="AB20">
        <f>HYPERLINK("https://klasma.github.io/Logging_1904/klagomålsmail/A 41868-2022 FSC-klagomål mail.docx", "A 41868-2022")</f>
        <v/>
      </c>
      <c r="AC20">
        <f>HYPERLINK("https://klasma.github.io/Logging_1904/tillsyn/A 41868-2022 tillsynsbegäran.docx", "A 41868-2022")</f>
        <v/>
      </c>
      <c r="AD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46253</v>
      </c>
      <c r="F21" t="inlineStr">
        <is>
          <t>VÄSTMANLANDS LÄN</t>
        </is>
      </c>
      <c r="G21" t="inlineStr">
        <is>
          <t>SKINNSKATTEBERG</t>
        </is>
      </c>
      <c r="I21" t="n">
        <v>14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Klasefibbla</t>
        </is>
      </c>
      <c r="W21">
        <f>HYPERLINK("https://klasma.github.io/Logging_1904/artfynd/A 4000-2024 artfynd.xlsx", "A 4000-2024")</f>
        <v/>
      </c>
      <c r="X21">
        <f>HYPERLINK("https://klasma.github.io/Logging_1904/kartor/A 4000-2024 karta.png", "A 4000-2024")</f>
        <v/>
      </c>
      <c r="Y21">
        <f>HYPERLINK("https://klasma.github.io/Logging_1904/kartor_geotiff/A 4000-2024 georefererad karta.tif", "A 4000-2024")</f>
        <v/>
      </c>
      <c r="AA21">
        <f>HYPERLINK("https://klasma.github.io/Logging_1904/klagomål/A 4000-2024 FSC-klagomål.docx", "A 4000-2024")</f>
        <v/>
      </c>
      <c r="AB21">
        <f>HYPERLINK("https://klasma.github.io/Logging_1904/klagomålsmail/A 4000-2024 FSC-klagomål mail.docx", "A 4000-2024")</f>
        <v/>
      </c>
      <c r="AC21">
        <f>HYPERLINK("https://klasma.github.io/Logging_1904/tillsyn/A 4000-2024 tillsynsbegäran.docx", "A 4000-2024")</f>
        <v/>
      </c>
      <c r="AD21">
        <f>HYPERLINK("https://klasma.github.io/Logging_1904/tillsynsmail/A 4000-2024 tillsynsbegäran mail.docx", "A 4000-2024")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46253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Sparvuggla</t>
        </is>
      </c>
      <c r="W22">
        <f>HYPERLINK("https://klasma.github.io/Logging_1904/artfynd/A 12887-2024 artfynd.xlsx", "A 12887-2024")</f>
        <v/>
      </c>
      <c r="X22">
        <f>HYPERLINK("https://klasma.github.io/Logging_1904/kartor/A 12887-2024 karta.png", "A 12887-2024")</f>
        <v/>
      </c>
      <c r="Y22">
        <f>HYPERLINK("https://klasma.github.io/Logging_1904/kartor_geotiff/A 12887-2024 georefererad karta.tif", "A 12887-2024")</f>
        <v/>
      </c>
      <c r="AA22">
        <f>HYPERLINK("https://klasma.github.io/Logging_1904/klagomål/A 12887-2024 FSC-klagomål.docx", "A 12887-2024")</f>
        <v/>
      </c>
      <c r="AB22">
        <f>HYPERLINK("https://klasma.github.io/Logging_1904/klagomålsmail/A 12887-2024 FSC-klagomål mail.docx", "A 12887-2024")</f>
        <v/>
      </c>
      <c r="AC22">
        <f>HYPERLINK("https://klasma.github.io/Logging_1904/tillsyn/A 12887-2024 tillsynsbegäran.docx", "A 12887-2024")</f>
        <v/>
      </c>
      <c r="AD22">
        <f>HYPERLINK("https://klasma.github.io/Logging_1904/tillsynsmail/A 12887-2024 tillsynsbegäran mail.docx", "A 12887-2024")</f>
        <v/>
      </c>
      <c r="AE22">
        <f>HYPERLINK("https://klasma.github.io/Logging_1904/fåglar/A 12887-2024 prioriterade fågelarter.docx", "A 12887-2024")</f>
        <v/>
      </c>
    </row>
    <row r="23" ht="15" customHeight="1">
      <c r="A23" t="inlineStr">
        <is>
          <t>A 23893-2023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45078</v>
      </c>
      <c r="E23" s="1" t="n">
        <v>46253</v>
      </c>
      <c r="F23" t="inlineStr">
        <is>
          <t>VÄSTMANLANDS LÄN</t>
        </is>
      </c>
      <c r="G23" t="inlineStr">
        <is>
          <t>SKINNSKATTEBERG</t>
        </is>
      </c>
      <c r="I23" t="n">
        <v>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Knärot</t>
        </is>
      </c>
      <c r="W23">
        <f>HYPERLINK("https://klasma.github.io/Logging_1904/artfynd/A 23893-2023 artfynd.xlsx", "A 23893-2023")</f>
        <v/>
      </c>
      <c r="X23">
        <f>HYPERLINK("https://klasma.github.io/Logging_1904/kartor/A 23893-2023 karta.png", "A 23893-2023")</f>
        <v/>
      </c>
      <c r="Y23">
        <f>HYPERLINK("https://klasma.github.io/Logging_1904/kartor_geotiff/A 23893-2023 georefererad karta.tif", "A 23893-2023")</f>
        <v/>
      </c>
      <c r="Z23">
        <f>HYPERLINK("https://klasma.github.io/Logging_1904/knärot/A 23893-2023 karta knärot.png", "A 23893-2023")</f>
        <v/>
      </c>
      <c r="AA23">
        <f>HYPERLINK("https://klasma.github.io/Logging_1904/klagomål/A 23893-2023 FSC-klagomål.docx", "A 23893-2023")</f>
        <v/>
      </c>
      <c r="AB23">
        <f>HYPERLINK("https://klasma.github.io/Logging_1904/klagomålsmail/A 23893-2023 FSC-klagomål mail.docx", "A 23893-2023")</f>
        <v/>
      </c>
      <c r="AC23">
        <f>HYPERLINK("https://klasma.github.io/Logging_1904/tillsyn/A 23893-2023 tillsynsbegäran.docx", "A 23893-2023")</f>
        <v/>
      </c>
      <c r="AD23">
        <f>HYPERLINK("https://klasma.github.io/Logging_1904/tillsynsmail/A 23893-2023 tillsynsbegäran mail.docx", "A 23893-2023")</f>
        <v/>
      </c>
    </row>
    <row r="24" ht="15" customHeight="1">
      <c r="A24" t="inlineStr">
        <is>
          <t>A 9491-2024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46253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Skogshare</t>
        </is>
      </c>
      <c r="W24">
        <f>HYPERLINK("https://klasma.github.io/Logging_1904/artfynd/A 9491-2024 artfynd.xlsx", "A 9491-2024")</f>
        <v/>
      </c>
      <c r="X24">
        <f>HYPERLINK("https://klasma.github.io/Logging_1904/kartor/A 9491-2024 karta.png", "A 9491-2024")</f>
        <v/>
      </c>
      <c r="Y24">
        <f>HYPERLINK("https://klasma.github.io/Logging_1904/kartor_geotiff/A 9491-2024 georefererad karta.tif", "A 9491-2024")</f>
        <v/>
      </c>
      <c r="AA24">
        <f>HYPERLINK("https://klasma.github.io/Logging_1904/klagomål/A 9491-2024 FSC-klagomål.docx", "A 9491-2024")</f>
        <v/>
      </c>
      <c r="AB24">
        <f>HYPERLINK("https://klasma.github.io/Logging_1904/klagomålsmail/A 9491-2024 FSC-klagomål mail.docx", "A 9491-2024")</f>
        <v/>
      </c>
      <c r="AC24">
        <f>HYPERLINK("https://klasma.github.io/Logging_1904/tillsyn/A 9491-2024 tillsynsbegäran.docx", "A 9491-2024")</f>
        <v/>
      </c>
      <c r="AD24">
        <f>HYPERLINK("https://klasma.github.io/Logging_1904/tillsynsmail/A 9491-2024 tillsynsbegäran mail.docx", "A 9491-2024")</f>
        <v/>
      </c>
    </row>
    <row r="25" ht="15" customHeight="1">
      <c r="A25" t="inlineStr">
        <is>
          <t>A 27565-2024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45474</v>
      </c>
      <c r="E25" s="1" t="n">
        <v>46253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HYPERLINK("https://klasma.github.io/Logging_1904/artfynd/A 27565-2024 artfynd.xlsx", "A 27565-2024")</f>
        <v/>
      </c>
      <c r="X25">
        <f>HYPERLINK("https://klasma.github.io/Logging_1904/kartor/A 27565-2024 karta.png", "A 27565-2024")</f>
        <v/>
      </c>
      <c r="Y25">
        <f>HYPERLINK("https://klasma.github.io/Logging_1904/kartor_geotiff/A 27565-2024 georefererad karta.tif", "A 27565-2024")</f>
        <v/>
      </c>
      <c r="AA25">
        <f>HYPERLINK("https://klasma.github.io/Logging_1904/klagomål/A 27565-2024 FSC-klagomål.docx", "A 27565-2024")</f>
        <v/>
      </c>
      <c r="AB25">
        <f>HYPERLINK("https://klasma.github.io/Logging_1904/klagomålsmail/A 27565-2024 FSC-klagomål mail.docx", "A 27565-2024")</f>
        <v/>
      </c>
      <c r="AC25">
        <f>HYPERLINK("https://klasma.github.io/Logging_1904/tillsyn/A 27565-2024 tillsynsbegäran.docx", "A 27565-2024")</f>
        <v/>
      </c>
      <c r="AD25">
        <f>HYPERLINK("https://klasma.github.io/Logging_1904/tillsynsmail/A 27565-2024 tillsynsbegäran mail.docx", "A 27565-2024")</f>
        <v/>
      </c>
    </row>
    <row r="26" ht="15" customHeight="1">
      <c r="A26" t="inlineStr">
        <is>
          <t>A 9490-2024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46253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Nattskärra</t>
        </is>
      </c>
      <c r="W26">
        <f>HYPERLINK("https://klasma.github.io/Logging_1904/artfynd/A 9490-2024 artfynd.xlsx", "A 9490-2024")</f>
        <v/>
      </c>
      <c r="X26">
        <f>HYPERLINK("https://klasma.github.io/Logging_1904/kartor/A 9490-2024 karta.png", "A 9490-2024")</f>
        <v/>
      </c>
      <c r="Y26">
        <f>HYPERLINK("https://klasma.github.io/Logging_1904/kartor_geotiff/A 9490-2024 georefererad karta.tif", "A 9490-2024")</f>
        <v/>
      </c>
      <c r="AA26">
        <f>HYPERLINK("https://klasma.github.io/Logging_1904/klagomål/A 9490-2024 FSC-klagomål.docx", "A 9490-2024")</f>
        <v/>
      </c>
      <c r="AB26">
        <f>HYPERLINK("https://klasma.github.io/Logging_1904/klagomålsmail/A 9490-2024 FSC-klagomål mail.docx", "A 9490-2024")</f>
        <v/>
      </c>
      <c r="AC26">
        <f>HYPERLINK("https://klasma.github.io/Logging_1904/tillsyn/A 9490-2024 tillsynsbegäran.docx", "A 9490-2024")</f>
        <v/>
      </c>
      <c r="AD26">
        <f>HYPERLINK("https://klasma.github.io/Logging_1904/tillsynsmail/A 9490-2024 tillsynsbegäran mail.docx", "A 9490-2024")</f>
        <v/>
      </c>
      <c r="AE26">
        <f>HYPERLINK("https://klasma.github.io/Logging_1904/fåglar/A 9490-2024 prioriterade fågelarter.docx", "A 9490-2024")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46253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46253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47538-2025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46253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HYPERLINK("https://klasma.github.io/Logging_1904/artfynd/A 47538-2025 artfynd.xlsx", "A 47538-2025")</f>
        <v/>
      </c>
      <c r="X29">
        <f>HYPERLINK("https://klasma.github.io/Logging_1904/kartor/A 47538-2025 karta.png", "A 47538-2025")</f>
        <v/>
      </c>
      <c r="Y29">
        <f>HYPERLINK("https://klasma.github.io/Logging_1904/kartor_geotiff/A 47538-2025 georefererad karta.tif", "A 47538-2025")</f>
        <v/>
      </c>
      <c r="AA29">
        <f>HYPERLINK("https://klasma.github.io/Logging_1904/klagomål/A 47538-2025 FSC-klagomål.docx", "A 47538-2025")</f>
        <v/>
      </c>
      <c r="AB29">
        <f>HYPERLINK("https://klasma.github.io/Logging_1904/klagomålsmail/A 47538-2025 FSC-klagomål mail.docx", "A 47538-2025")</f>
        <v/>
      </c>
      <c r="AC29">
        <f>HYPERLINK("https://klasma.github.io/Logging_1904/tillsyn/A 47538-2025 tillsynsbegäran.docx", "A 47538-2025")</f>
        <v/>
      </c>
      <c r="AD29">
        <f>HYPERLINK("https://klasma.github.io/Logging_1904/tillsynsmail/A 47538-2025 tillsynsbegäran mail.docx", "A 47538-2025")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46253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49630-2024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46253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7.3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HYPERLINK("https://klasma.github.io/Logging_1904/artfynd/A 49630-2024 artfynd.xlsx", "A 49630-2024")</f>
        <v/>
      </c>
      <c r="X31">
        <f>HYPERLINK("https://klasma.github.io/Logging_1904/kartor/A 49630-2024 karta.png", "A 49630-2024")</f>
        <v/>
      </c>
      <c r="Y31">
        <f>HYPERLINK("https://klasma.github.io/Logging_1904/kartor_geotiff/A 49630-2024 georefererad karta.tif", "A 49630-2024")</f>
        <v/>
      </c>
      <c r="AA31">
        <f>HYPERLINK("https://klasma.github.io/Logging_1904/klagomål/A 49630-2024 FSC-klagomål.docx", "A 49630-2024")</f>
        <v/>
      </c>
      <c r="AB31">
        <f>HYPERLINK("https://klasma.github.io/Logging_1904/klagomålsmail/A 49630-2024 FSC-klagomål mail.docx", "A 49630-2024")</f>
        <v/>
      </c>
      <c r="AC31">
        <f>HYPERLINK("https://klasma.github.io/Logging_1904/tillsyn/A 49630-2024 tillsynsbegäran.docx", "A 49630-2024")</f>
        <v/>
      </c>
      <c r="AD31">
        <f>HYPERLINK("https://klasma.github.io/Logging_1904/tillsynsmail/A 49630-2024 tillsynsbegäran mail.docx", "A 49630-2024")</f>
        <v/>
      </c>
    </row>
    <row r="32" ht="15" customHeight="1">
      <c r="A32" t="inlineStr">
        <is>
          <t>A 57395-2025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46253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Vedticka</t>
        </is>
      </c>
      <c r="W32">
        <f>HYPERLINK("https://klasma.github.io/Logging_1904/artfynd/A 57395-2025 artfynd.xlsx", "A 57395-2025")</f>
        <v/>
      </c>
      <c r="X32">
        <f>HYPERLINK("https://klasma.github.io/Logging_1904/kartor/A 57395-2025 karta.png", "A 57395-2025")</f>
        <v/>
      </c>
      <c r="Y32">
        <f>HYPERLINK("https://klasma.github.io/Logging_1904/kartor_geotiff/A 57395-2025 georefererad karta.tif", "A 57395-2025")</f>
        <v/>
      </c>
      <c r="AA32">
        <f>HYPERLINK("https://klasma.github.io/Logging_1904/klagomål/A 57395-2025 FSC-klagomål.docx", "A 57395-2025")</f>
        <v/>
      </c>
      <c r="AB32">
        <f>HYPERLINK("https://klasma.github.io/Logging_1904/klagomålsmail/A 57395-2025 FSC-klagomål mail.docx", "A 57395-2025")</f>
        <v/>
      </c>
      <c r="AC32">
        <f>HYPERLINK("https://klasma.github.io/Logging_1904/tillsyn/A 57395-2025 tillsynsbegäran.docx", "A 57395-2025")</f>
        <v/>
      </c>
      <c r="AD32">
        <f>HYPERLINK("https://klasma.github.io/Logging_1904/tillsynsmail/A 57395-2025 tillsynsbegäran mail.docx", "A 57395-2025")</f>
        <v/>
      </c>
    </row>
    <row r="33" ht="15" customHeight="1">
      <c r="A33" t="inlineStr">
        <is>
          <t>A 20559-2026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46140</v>
      </c>
      <c r="E33" s="1" t="n">
        <v>46253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HYPERLINK("https://klasma.github.io/Logging_1904/artfynd/A 20559-2026 artfynd.xlsx", "A 20559-2026")</f>
        <v/>
      </c>
      <c r="X33">
        <f>HYPERLINK("https://klasma.github.io/Logging_1904/kartor/A 20559-2026 karta.png", "A 20559-2026")</f>
        <v/>
      </c>
      <c r="Y33">
        <f>HYPERLINK("https://klasma.github.io/Logging_1904/kartor_geotiff/A 20559-2026 georefererad karta.tif", "A 20559-2026")</f>
        <v/>
      </c>
      <c r="AA33">
        <f>HYPERLINK("https://klasma.github.io/Logging_1904/klagomål/A 20559-2026 FSC-klagomål.docx", "A 20559-2026")</f>
        <v/>
      </c>
      <c r="AB33">
        <f>HYPERLINK("https://klasma.github.io/Logging_1904/klagomålsmail/A 20559-2026 FSC-klagomål mail.docx", "A 20559-2026")</f>
        <v/>
      </c>
      <c r="AC33">
        <f>HYPERLINK("https://klasma.github.io/Logging_1904/tillsyn/A 20559-2026 tillsynsbegäran.docx", "A 20559-2026")</f>
        <v/>
      </c>
      <c r="AD33">
        <f>HYPERLINK("https://klasma.github.io/Logging_1904/tillsynsmail/A 20559-2026 tillsynsbegäran mail.docx", "A 20559-2026")</f>
        <v/>
      </c>
      <c r="AE33">
        <f>HYPERLINK("https://klasma.github.io/Logging_1904/fåglar/A 20559-2026 prioriterade fågelarter.docx", "A 20559-2026")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46253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46253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Nattskärra</t>
        </is>
      </c>
      <c r="W35">
        <f>HYPERLINK("https://klasma.github.io/Logging_1904/artfynd/A 33435-2024 artfynd.xlsx", "A 33435-2024")</f>
        <v/>
      </c>
      <c r="X35">
        <f>HYPERLINK("https://klasma.github.io/Logging_1904/kartor/A 33435-2024 karta.png", "A 33435-2024")</f>
        <v/>
      </c>
      <c r="Y35">
        <f>HYPERLINK("https://klasma.github.io/Logging_1904/kartor_geotiff/A 33435-2024 georefererad karta.tif", "A 33435-2024")</f>
        <v/>
      </c>
      <c r="AA35">
        <f>HYPERLINK("https://klasma.github.io/Logging_1904/klagomål/A 33435-2024 FSC-klagomål.docx", "A 33435-2024")</f>
        <v/>
      </c>
      <c r="AB35">
        <f>HYPERLINK("https://klasma.github.io/Logging_1904/klagomålsmail/A 33435-2024 FSC-klagomål mail.docx", "A 33435-2024")</f>
        <v/>
      </c>
      <c r="AC35">
        <f>HYPERLINK("https://klasma.github.io/Logging_1904/tillsyn/A 33435-2024 tillsynsbegäran.docx", "A 33435-2024")</f>
        <v/>
      </c>
      <c r="AD35">
        <f>HYPERLINK("https://klasma.github.io/Logging_1904/tillsynsmail/A 33435-2024 tillsynsbegäran mail.docx", "A 33435-2024")</f>
        <v/>
      </c>
      <c r="AE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46253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HYPERLINK("https://klasma.github.io/Logging_1904/artfynd/A 12024-2023 artfynd.xlsx", "A 12024-2023")</f>
        <v/>
      </c>
      <c r="X36">
        <f>HYPERLINK("https://klasma.github.io/Logging_1904/kartor/A 12024-2023 karta.png", "A 12024-2023")</f>
        <v/>
      </c>
      <c r="Y36">
        <f>HYPERLINK("https://klasma.github.io/Logging_1904/kartor_geotiff/A 12024-2023 georefererad karta.tif", "A 12024-2023")</f>
        <v/>
      </c>
      <c r="AA36">
        <f>HYPERLINK("https://klasma.github.io/Logging_1904/klagomål/A 12024-2023 FSC-klagomål.docx", "A 12024-2023")</f>
        <v/>
      </c>
      <c r="AB36">
        <f>HYPERLINK("https://klasma.github.io/Logging_1904/klagomålsmail/A 12024-2023 FSC-klagomål mail.docx", "A 12024-2023")</f>
        <v/>
      </c>
      <c r="AC36">
        <f>HYPERLINK("https://klasma.github.io/Logging_1904/tillsyn/A 12024-2023 tillsynsbegäran.docx", "A 12024-2023")</f>
        <v/>
      </c>
      <c r="AD36">
        <f>HYPERLINK("https://klasma.github.io/Logging_1904/tillsynsmail/A 12024-2023 tillsynsbegäran mail.docx", "A 12024-2023")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46253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19205-2024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46253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Järpe</t>
        </is>
      </c>
      <c r="W38">
        <f>HYPERLINK("https://klasma.github.io/Logging_1904/artfynd/A 19205-2024 artfynd.xlsx", "A 19205-2024")</f>
        <v/>
      </c>
      <c r="X38">
        <f>HYPERLINK("https://klasma.github.io/Logging_1904/kartor/A 19205-2024 karta.png", "A 19205-2024")</f>
        <v/>
      </c>
      <c r="Y38">
        <f>HYPERLINK("https://klasma.github.io/Logging_1904/kartor_geotiff/A 19205-2024 georefererad karta.tif", "A 19205-2024")</f>
        <v/>
      </c>
      <c r="AA38">
        <f>HYPERLINK("https://klasma.github.io/Logging_1904/klagomål/A 19205-2024 FSC-klagomål.docx", "A 19205-2024")</f>
        <v/>
      </c>
      <c r="AB38">
        <f>HYPERLINK("https://klasma.github.io/Logging_1904/klagomålsmail/A 19205-2024 FSC-klagomål mail.docx", "A 19205-2024")</f>
        <v/>
      </c>
      <c r="AC38">
        <f>HYPERLINK("https://klasma.github.io/Logging_1904/tillsyn/A 19205-2024 tillsynsbegäran.docx", "A 19205-2024")</f>
        <v/>
      </c>
      <c r="AD38">
        <f>HYPERLINK("https://klasma.github.io/Logging_1904/tillsynsmail/A 19205-2024 tillsynsbegäran mail.docx", "A 19205-2024")</f>
        <v/>
      </c>
      <c r="AE38">
        <f>HYPERLINK("https://klasma.github.io/Logging_1904/fåglar/A 19205-2024 prioriterade fågelarter.docx", "A 19205-2024")</f>
        <v/>
      </c>
    </row>
    <row r="39" ht="15" customHeight="1">
      <c r="A39" t="inlineStr">
        <is>
          <t>A 24492-2026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46253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HYPERLINK("https://klasma.github.io/Logging_1904/artfynd/A 24492-2026 artfynd.xlsx", "A 24492-2026")</f>
        <v/>
      </c>
      <c r="X39">
        <f>HYPERLINK("https://klasma.github.io/Logging_1904/kartor/A 24492-2026 karta.png", "A 24492-2026")</f>
        <v/>
      </c>
      <c r="Y39">
        <f>HYPERLINK("https://klasma.github.io/Logging_1904/kartor_geotiff/A 24492-2026 georefererad karta.tif", "A 24492-2026")</f>
        <v/>
      </c>
      <c r="AA39">
        <f>HYPERLINK("https://klasma.github.io/Logging_1904/klagomål/A 24492-2026 FSC-klagomål.docx", "A 24492-2026")</f>
        <v/>
      </c>
      <c r="AB39">
        <f>HYPERLINK("https://klasma.github.io/Logging_1904/klagomålsmail/A 24492-2026 FSC-klagomål mail.docx", "A 24492-2026")</f>
        <v/>
      </c>
      <c r="AC39">
        <f>HYPERLINK("https://klasma.github.io/Logging_1904/tillsyn/A 24492-2026 tillsynsbegäran.docx", "A 24492-2026")</f>
        <v/>
      </c>
      <c r="AD39">
        <f>HYPERLINK("https://klasma.github.io/Logging_1904/tillsynsmail/A 24492-2026 tillsynsbegäran mail.docx", "A 24492-2026")</f>
        <v/>
      </c>
      <c r="AE39">
        <f>HYPERLINK("https://klasma.github.io/Logging_1904/fåglar/A 24492-2026 prioriterade fågelarter.docx", "A 24492-2026")</f>
        <v/>
      </c>
    </row>
    <row r="40" ht="15" customHeight="1">
      <c r="A40" t="inlineStr">
        <is>
          <t>A 24944-2026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46253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8.4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HYPERLINK("https://klasma.github.io/Logging_1904/artfynd/A 24944-2026 artfynd.xlsx", "A 24944-2026")</f>
        <v/>
      </c>
      <c r="X40">
        <f>HYPERLINK("https://klasma.github.io/Logging_1904/kartor/A 24944-2026 karta.png", "A 24944-2026")</f>
        <v/>
      </c>
      <c r="Y40">
        <f>HYPERLINK("https://klasma.github.io/Logging_1904/kartor_geotiff/A 24944-2026 georefererad karta.tif", "A 24944-2026")</f>
        <v/>
      </c>
      <c r="AA40">
        <f>HYPERLINK("https://klasma.github.io/Logging_1904/klagomål/A 24944-2026 FSC-klagomål.docx", "A 24944-2026")</f>
        <v/>
      </c>
      <c r="AB40">
        <f>HYPERLINK("https://klasma.github.io/Logging_1904/klagomålsmail/A 24944-2026 FSC-klagomål mail.docx", "A 24944-2026")</f>
        <v/>
      </c>
      <c r="AC40">
        <f>HYPERLINK("https://klasma.github.io/Logging_1904/tillsyn/A 24944-2026 tillsynsbegäran.docx", "A 24944-2026")</f>
        <v/>
      </c>
      <c r="AD40">
        <f>HYPERLINK("https://klasma.github.io/Logging_1904/tillsynsmail/A 24944-2026 tillsynsbegäran mail.docx", "A 24944-2026")</f>
        <v/>
      </c>
    </row>
    <row r="41" ht="15" customHeight="1">
      <c r="A41" t="inlineStr">
        <is>
          <t>A 26860-2026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46253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10.3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Kungsörn</t>
        </is>
      </c>
      <c r="W41">
        <f>HYPERLINK("https://klasma.github.io/Logging_1904/artfynd/A 26860-2026 artfynd.xlsx", "A 26860-2026")</f>
        <v/>
      </c>
      <c r="X41">
        <f>HYPERLINK("https://klasma.github.io/Logging_1904/kartor/A 26860-2026 karta.png", "A 26860-2026")</f>
        <v/>
      </c>
      <c r="Y41">
        <f>HYPERLINK("https://klasma.github.io/Logging_1904/kartor_geotiff/A 26860-2026 georefererad karta.tif", "A 26860-2026")</f>
        <v/>
      </c>
      <c r="AA41">
        <f>HYPERLINK("https://klasma.github.io/Logging_1904/klagomål/A 26860-2026 FSC-klagomål.docx", "A 26860-2026")</f>
        <v/>
      </c>
      <c r="AB41">
        <f>HYPERLINK("https://klasma.github.io/Logging_1904/klagomålsmail/A 26860-2026 FSC-klagomål mail.docx", "A 26860-2026")</f>
        <v/>
      </c>
      <c r="AC41">
        <f>HYPERLINK("https://klasma.github.io/Logging_1904/tillsyn/A 26860-2026 tillsynsbegäran.docx", "A 26860-2026")</f>
        <v/>
      </c>
      <c r="AD41">
        <f>HYPERLINK("https://klasma.github.io/Logging_1904/tillsynsmail/A 26860-2026 tillsynsbegäran mail.docx", "A 26860-2026")</f>
        <v/>
      </c>
      <c r="AE41">
        <f>HYPERLINK("https://klasma.github.io/Logging_1904/fåglar/A 26860-2026 prioriterade fågelarter.docx", "A 26860-2026")</f>
        <v/>
      </c>
    </row>
    <row r="42" ht="15" customHeight="1">
      <c r="A42" t="inlineStr">
        <is>
          <t>A 28312-2023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45099</v>
      </c>
      <c r="E42" s="1" t="n">
        <v>46253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HYPERLINK("https://klasma.github.io/Logging_1904/artfynd/A 28312-2023 artfynd.xlsx", "A 28312-2023")</f>
        <v/>
      </c>
      <c r="X42">
        <f>HYPERLINK("https://klasma.github.io/Logging_1904/kartor/A 28312-2023 karta.png", "A 28312-2023")</f>
        <v/>
      </c>
      <c r="Y42">
        <f>HYPERLINK("https://klasma.github.io/Logging_1904/kartor_geotiff/A 28312-2023 georefererad karta.tif", "A 28312-2023")</f>
        <v/>
      </c>
      <c r="AA42">
        <f>HYPERLINK("https://klasma.github.io/Logging_1904/klagomål/A 28312-2023 FSC-klagomål.docx", "A 28312-2023")</f>
        <v/>
      </c>
      <c r="AB42">
        <f>HYPERLINK("https://klasma.github.io/Logging_1904/klagomålsmail/A 28312-2023 FSC-klagomål mail.docx", "A 28312-2023")</f>
        <v/>
      </c>
      <c r="AC42">
        <f>HYPERLINK("https://klasma.github.io/Logging_1904/tillsyn/A 28312-2023 tillsynsbegäran.docx", "A 28312-2023")</f>
        <v/>
      </c>
      <c r="AD42">
        <f>HYPERLINK("https://klasma.github.io/Logging_1904/tillsynsmail/A 28312-2023 tillsynsbegäran mail.docx", "A 28312-2023")</f>
        <v/>
      </c>
    </row>
    <row r="43" ht="15" customHeight="1">
      <c r="A43" t="inlineStr">
        <is>
          <t>A 30579-2026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46210</v>
      </c>
      <c r="E43" s="1" t="n">
        <v>46253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Motaggsvamp</t>
        </is>
      </c>
      <c r="W43">
        <f>HYPERLINK("https://klasma.github.io/Logging_1904/artfynd/A 30579-2026 artfynd.xlsx", "A 30579-2026")</f>
        <v/>
      </c>
      <c r="X43">
        <f>HYPERLINK("https://klasma.github.io/Logging_1904/kartor/A 30579-2026 karta.png", "A 30579-2026")</f>
        <v/>
      </c>
      <c r="Y43">
        <f>HYPERLINK("https://klasma.github.io/Logging_1904/kartor_geotiff/A 30579-2026 georefererad karta.tif", "A 30579-2026")</f>
        <v/>
      </c>
      <c r="AA43">
        <f>HYPERLINK("https://klasma.github.io/Logging_1904/klagomål/A 30579-2026 FSC-klagomål.docx", "A 30579-2026")</f>
        <v/>
      </c>
      <c r="AB43">
        <f>HYPERLINK("https://klasma.github.io/Logging_1904/klagomålsmail/A 30579-2026 FSC-klagomål mail.docx", "A 30579-2026")</f>
        <v/>
      </c>
      <c r="AC43">
        <f>HYPERLINK("https://klasma.github.io/Logging_1904/tillsyn/A 30579-2026 tillsynsbegäran.docx", "A 30579-2026")</f>
        <v/>
      </c>
      <c r="AD43">
        <f>HYPERLINK("https://klasma.github.io/Logging_1904/tillsynsmail/A 30579-2026 tillsynsbegäran mail.docx", "A 30579-2026")</f>
        <v/>
      </c>
    </row>
    <row r="44" ht="15" customHeight="1">
      <c r="A44" t="inlineStr">
        <is>
          <t>S 3632-2024</t>
        </is>
      </c>
      <c r="B44" t="inlineStr">
        <is>
          <t>samrådsanmälan</t>
        </is>
      </c>
      <c r="C44" t="inlineStr">
        <is>
          <t>Skogsgödsling</t>
        </is>
      </c>
      <c r="D44" s="1" t="n">
        <v>45548</v>
      </c>
      <c r="E44" s="1" t="n">
        <v>46253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196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Tjäder</t>
        </is>
      </c>
      <c r="W44">
        <f>HYPERLINK("https://klasma.github.io/Logging_1904/artfynd/S 3632-2024 artfynd.xlsx", "S 3632-2024")</f>
        <v/>
      </c>
      <c r="X44">
        <f>HYPERLINK("https://klasma.github.io/Logging_1904/kartor/S 3632-2024 karta.png", "S 3632-2024")</f>
        <v/>
      </c>
      <c r="Y44">
        <f>HYPERLINK("https://klasma.github.io/Logging_1904/kartor_geotiff/S 3632-2024 georefererad karta.tif", "S 3632-2024")</f>
        <v/>
      </c>
      <c r="AA44">
        <f>HYPERLINK("https://klasma.github.io/Logging_1904/klagomål/S 3632-2024 FSC-klagomål.docx", "S 3632-2024")</f>
        <v/>
      </c>
      <c r="AB44">
        <f>HYPERLINK("https://klasma.github.io/Logging_1904/klagomålsmail/S 3632-2024 FSC-klagomål mail.docx", "S 3632-2024")</f>
        <v/>
      </c>
      <c r="AC44">
        <f>HYPERLINK("https://klasma.github.io/Logging_1904/tillsyn/S 3632-2024 tillsynsbegäran.docx", "S 3632-2024")</f>
        <v/>
      </c>
      <c r="AD44">
        <f>HYPERLINK("https://klasma.github.io/Logging_1904/tillsynsmail/S 3632-2024 tillsynsbegäran mail.docx", "S 3632-2024")</f>
        <v/>
      </c>
      <c r="AE44">
        <f>HYPERLINK("https://klasma.github.io/Logging_1904/fåglar/S 3632-2024 prioriterade fågelarter.docx", "S 3632-2024")</f>
        <v/>
      </c>
    </row>
    <row r="45" ht="15" customHeight="1">
      <c r="A45" t="inlineStr">
        <is>
          <t>S 1982-2025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45832</v>
      </c>
      <c r="E45" s="1" t="n">
        <v>46253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HYPERLINK("https://klasma.github.io/Logging_1904/artfynd/S 1982-2025 artfynd.xlsx", "S 1982-2025")</f>
        <v/>
      </c>
      <c r="X45">
        <f>HYPERLINK("https://klasma.github.io/Logging_1904/kartor/S 1982-2025 karta.png", "S 1982-2025")</f>
        <v/>
      </c>
      <c r="Y45">
        <f>HYPERLINK("https://klasma.github.io/Logging_1904/kartor_geotiff/S 1982-2025 georefererad karta.tif", "S 1982-2025")</f>
        <v/>
      </c>
      <c r="AA45">
        <f>HYPERLINK("https://klasma.github.io/Logging_1904/klagomål/S 1982-2025 FSC-klagomål.docx", "S 1982-2025")</f>
        <v/>
      </c>
      <c r="AB45">
        <f>HYPERLINK("https://klasma.github.io/Logging_1904/klagomålsmail/S 1982-2025 FSC-klagomål mail.docx", "S 1982-2025")</f>
        <v/>
      </c>
      <c r="AC45">
        <f>HYPERLINK("https://klasma.github.io/Logging_1904/tillsyn/S 1982-2025 tillsynsbegäran.docx", "S 1982-2025")</f>
        <v/>
      </c>
      <c r="AD45">
        <f>HYPERLINK("https://klasma.github.io/Logging_1904/tillsynsmail/S 1982-2025 tillsynsbegäran mail.docx", "S 1982-2025")</f>
        <v/>
      </c>
      <c r="AE45">
        <f>HYPERLINK("https://klasma.github.io/Logging_1904/fåglar/S 1982-2025 prioriterade fågelarter.docx", "S 1982-2025")</f>
        <v/>
      </c>
    </row>
    <row r="46" ht="15" customHeight="1">
      <c r="A46" t="inlineStr">
        <is>
          <t>S 870-2026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46107</v>
      </c>
      <c r="E46" s="1" t="n">
        <v>46253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Koppartaggsvamp</t>
        </is>
      </c>
      <c r="W46">
        <f>HYPERLINK("https://klasma.github.io/Logging_1904/artfynd/S 870-2026 artfynd.xlsx", "S 870-2026")</f>
        <v/>
      </c>
      <c r="X46">
        <f>HYPERLINK("https://klasma.github.io/Logging_1904/kartor/S 870-2026 karta.png", "S 870-2026")</f>
        <v/>
      </c>
      <c r="Y46">
        <f>HYPERLINK("https://klasma.github.io/Logging_1904/kartor_geotiff/S 870-2026 georefererad karta.tif", "S 870-2026")</f>
        <v/>
      </c>
      <c r="AA46">
        <f>HYPERLINK("https://klasma.github.io/Logging_1904/klagomål/S 870-2026 FSC-klagomål.docx", "S 870-2026")</f>
        <v/>
      </c>
      <c r="AB46">
        <f>HYPERLINK("https://klasma.github.io/Logging_1904/klagomålsmail/S 870-2026 FSC-klagomål mail.docx", "S 870-2026")</f>
        <v/>
      </c>
      <c r="AC46">
        <f>HYPERLINK("https://klasma.github.io/Logging_1904/tillsyn/S 870-2026 tillsynsbegäran.docx", "S 870-2026")</f>
        <v/>
      </c>
      <c r="AD46">
        <f>HYPERLINK("https://klasma.github.io/Logging_1904/tillsynsmail/S 870-2026 tillsynsbegäran mail.docx", "S 870-2026")</f>
        <v/>
      </c>
    </row>
    <row r="47" ht="15" customHeight="1">
      <c r="A47" t="inlineStr">
        <is>
          <t>A 33600-2022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46253</v>
      </c>
      <c r="F47" t="inlineStr">
        <is>
          <t>VÄSTMANLANDS LÄN</t>
        </is>
      </c>
      <c r="G47" t="inlineStr">
        <is>
          <t>SKINNSKATTEBERG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44545</v>
      </c>
      <c r="E48" s="1" t="n">
        <v>46253</v>
      </c>
      <c r="F48" t="inlineStr">
        <is>
          <t>VÄSTMANLANDS LÄN</t>
        </is>
      </c>
      <c r="G48" t="inlineStr">
        <is>
          <t>SKINNSKATTEBERG</t>
        </is>
      </c>
      <c r="I48" t="n">
        <v>7.9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53454-2022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44879</v>
      </c>
      <c r="E49" s="1" t="n">
        <v>46253</v>
      </c>
      <c r="F49" t="inlineStr">
        <is>
          <t>VÄSTMANLANDS LÄN</t>
        </is>
      </c>
      <c r="G49" t="inlineStr">
        <is>
          <t>SKINNSKATTEBERG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44466</v>
      </c>
      <c r="E50" s="1" t="n">
        <v>46253</v>
      </c>
      <c r="F50" t="inlineStr">
        <is>
          <t>VÄSTMANLANDS LÄN</t>
        </is>
      </c>
      <c r="G50" t="inlineStr">
        <is>
          <t>SKINNSKATTEBERG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16860-2022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44674</v>
      </c>
      <c r="E51" s="1" t="n">
        <v>46253</v>
      </c>
      <c r="F51" t="inlineStr">
        <is>
          <t>VÄSTMANLANDS LÄN</t>
        </is>
      </c>
      <c r="G51" t="inlineStr">
        <is>
          <t>SKINNSKATTEBERG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44829</v>
      </c>
      <c r="E52" s="1" t="n">
        <v>46253</v>
      </c>
      <c r="F52" t="inlineStr">
        <is>
          <t>VÄSTMANLANDS LÄN</t>
        </is>
      </c>
      <c r="G52" t="inlineStr">
        <is>
          <t>SKINNSKATTEBERG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69259-2021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46253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44545</v>
      </c>
      <c r="E54" s="1" t="n">
        <v>46253</v>
      </c>
      <c r="F54" t="inlineStr">
        <is>
          <t>VÄSTMANLANDS LÄN</t>
        </is>
      </c>
      <c r="G54" t="inlineStr">
        <is>
          <t>SKINNSKATTEBERG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46253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40499-2022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46253</v>
      </c>
      <c r="F56" t="inlineStr">
        <is>
          <t>VÄSTMANLANDS LÄN</t>
        </is>
      </c>
      <c r="G56" t="inlineStr">
        <is>
          <t>SKINNSKATTEBERG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68525-2021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46253</v>
      </c>
      <c r="F57" t="inlineStr">
        <is>
          <t>VÄSTMANLANDS LÄN</t>
        </is>
      </c>
      <c r="G57" t="inlineStr">
        <is>
          <t>SKINNSKATTEBERG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68540-2021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46253</v>
      </c>
      <c r="F58" t="inlineStr">
        <is>
          <t>VÄSTMANLANDS LÄN</t>
        </is>
      </c>
      <c r="G58" t="inlineStr">
        <is>
          <t>SKINNSKATTEBERG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46253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66587-2021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46253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46253</v>
      </c>
      <c r="F61" t="inlineStr">
        <is>
          <t>VÄSTMANLANDS LÄN</t>
        </is>
      </c>
      <c r="G61" t="inlineStr">
        <is>
          <t>SKINNSKATTEBERG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44852</v>
      </c>
      <c r="E62" s="1" t="n">
        <v>46253</v>
      </c>
      <c r="F62" t="inlineStr">
        <is>
          <t>VÄSTMANLANDS LÄN</t>
        </is>
      </c>
      <c r="G62" t="inlineStr">
        <is>
          <t>SKINNSKATTEBERG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46253</v>
      </c>
      <c r="F63" t="inlineStr">
        <is>
          <t>VÄSTMANLANDS LÄN</t>
        </is>
      </c>
      <c r="G63" t="inlineStr">
        <is>
          <t>SKINNSKATTEBERG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46253</v>
      </c>
      <c r="F64" t="inlineStr">
        <is>
          <t>VÄSTMANLANDS LÄN</t>
        </is>
      </c>
      <c r="G64" t="inlineStr">
        <is>
          <t>SKINNSKATTEBERG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46469-2021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46253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59417-2021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46253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46253</v>
      </c>
      <c r="F67" t="inlineStr">
        <is>
          <t>VÄSTMANLANDS LÄN</t>
        </is>
      </c>
      <c r="G67" t="inlineStr">
        <is>
          <t>SKINNSKATTEBERG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56921-2023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46253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Kyrkan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35706-2024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46253</v>
      </c>
      <c r="F69" t="inlineStr">
        <is>
          <t>VÄSTMANLANDS LÄN</t>
        </is>
      </c>
      <c r="G69" t="inlineStr">
        <is>
          <t>SKINNSKATTEBERG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46253</v>
      </c>
      <c r="F70" t="inlineStr">
        <is>
          <t>VÄSTMANLANDS LÄN</t>
        </is>
      </c>
      <c r="G70" t="inlineStr">
        <is>
          <t>SKINNSKATTEBERG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46253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49847-2021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44455</v>
      </c>
      <c r="E72" s="1" t="n">
        <v>46253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20248-2024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45434</v>
      </c>
      <c r="E73" s="1" t="n">
        <v>46253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45407</v>
      </c>
      <c r="E74" s="1" t="n">
        <v>46253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45407</v>
      </c>
      <c r="E75" s="1" t="n">
        <v>46253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46253</v>
      </c>
      <c r="F76" t="inlineStr">
        <is>
          <t>VÄSTMANLANDS LÄN</t>
        </is>
      </c>
      <c r="G76" t="inlineStr">
        <is>
          <t>SKINNSKATTEBERG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46253</v>
      </c>
      <c r="F77" t="inlineStr">
        <is>
          <t>VÄSTMANLANDS LÄN</t>
        </is>
      </c>
      <c r="G77" t="inlineStr">
        <is>
          <t>SKINNSKATTEBERG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45082</v>
      </c>
      <c r="E78" s="1" t="n">
        <v>46253</v>
      </c>
      <c r="F78" t="inlineStr">
        <is>
          <t>VÄSTMANLANDS LÄN</t>
        </is>
      </c>
      <c r="G78" t="inlineStr">
        <is>
          <t>SKINNSKATTEBERG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45447</v>
      </c>
      <c r="E79" s="1" t="n">
        <v>46253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16729-2024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45410</v>
      </c>
      <c r="E80" s="1" t="n">
        <v>46253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46253</v>
      </c>
      <c r="F81" t="inlineStr">
        <is>
          <t>VÄSTMANLANDS LÄN</t>
        </is>
      </c>
      <c r="G81" t="inlineStr">
        <is>
          <t>SKINNSKATTEBERG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45097</v>
      </c>
      <c r="E82" s="1" t="n">
        <v>46253</v>
      </c>
      <c r="F82" t="inlineStr">
        <is>
          <t>VÄSTMANLANDS LÄN</t>
        </is>
      </c>
      <c r="G82" t="inlineStr">
        <is>
          <t>SKINNSKATTEBERG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45247</v>
      </c>
      <c r="E83" s="1" t="n">
        <v>46253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46253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44693-2024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45574</v>
      </c>
      <c r="E85" s="1" t="n">
        <v>46253</v>
      </c>
      <c r="F85" t="inlineStr">
        <is>
          <t>VÄSTMANLANDS LÄN</t>
        </is>
      </c>
      <c r="G85" t="inlineStr">
        <is>
          <t>SKINNSKATTEBERG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46253</v>
      </c>
      <c r="F86" t="inlineStr">
        <is>
          <t>VÄSTMANLANDS LÄN</t>
        </is>
      </c>
      <c r="G86" t="inlineStr">
        <is>
          <t>SKINNSKATTEBERG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55428-2021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44475</v>
      </c>
      <c r="E87" s="1" t="n">
        <v>46253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45054</v>
      </c>
      <c r="E88" s="1" t="n">
        <v>46253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16088-2024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45406</v>
      </c>
      <c r="E89" s="1" t="n">
        <v>46253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40179-2024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46253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46253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46253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45554</v>
      </c>
      <c r="E93" s="1" t="n">
        <v>46253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45504</v>
      </c>
      <c r="E94" s="1" t="n">
        <v>46253</v>
      </c>
      <c r="F94" t="inlineStr">
        <is>
          <t>VÄSTMANLANDS LÄN</t>
        </is>
      </c>
      <c r="G94" t="inlineStr">
        <is>
          <t>SKINNSKATTEBERG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45555</v>
      </c>
      <c r="E95" s="1" t="n">
        <v>46253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45480</v>
      </c>
      <c r="E96" s="1" t="n">
        <v>46253</v>
      </c>
      <c r="F96" t="inlineStr">
        <is>
          <t>VÄSTMANLANDS LÄN</t>
        </is>
      </c>
      <c r="G96" t="inlineStr">
        <is>
          <t>SKINNSKATTEBERG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28873-2025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45820</v>
      </c>
      <c r="E97" s="1" t="n">
        <v>46253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45820</v>
      </c>
      <c r="E98" s="1" t="n">
        <v>46253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44967</v>
      </c>
      <c r="E99" s="1" t="n">
        <v>46253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29808-2025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45825</v>
      </c>
      <c r="E100" s="1" t="n">
        <v>46253</v>
      </c>
      <c r="F100" t="inlineStr">
        <is>
          <t>VÄSTMANLANDS LÄN</t>
        </is>
      </c>
      <c r="G100" t="inlineStr">
        <is>
          <t>SKINNSKATTEBERG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29810-2025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45825</v>
      </c>
      <c r="E101" s="1" t="n">
        <v>46253</v>
      </c>
      <c r="F101" t="inlineStr">
        <is>
          <t>VÄSTMANLANDS LÄN</t>
        </is>
      </c>
      <c r="G101" t="inlineStr">
        <is>
          <t>SKINNSKATTEBERG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45252</v>
      </c>
      <c r="E102" s="1" t="n">
        <v>46253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5704-2026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46051</v>
      </c>
      <c r="E103" s="1" t="n">
        <v>46253</v>
      </c>
      <c r="F103" t="inlineStr">
        <is>
          <t>VÄSTMANLANDS LÄN</t>
        </is>
      </c>
      <c r="G103" t="inlineStr">
        <is>
          <t>SKINNSKATTEBERG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46253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30439-2025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45827</v>
      </c>
      <c r="E105" s="1" t="n">
        <v>46253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5693-2026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46051</v>
      </c>
      <c r="E106" s="1" t="n">
        <v>46253</v>
      </c>
      <c r="F106" t="inlineStr">
        <is>
          <t>VÄSTMANLANDS LÄN</t>
        </is>
      </c>
      <c r="G106" t="inlineStr">
        <is>
          <t>SKINNSKATTEBERG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5675-2026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46051</v>
      </c>
      <c r="E107" s="1" t="n">
        <v>46253</v>
      </c>
      <c r="F107" t="inlineStr">
        <is>
          <t>VÄSTMANLANDS LÄN</t>
        </is>
      </c>
      <c r="G107" t="inlineStr">
        <is>
          <t>SKINNSKATTEBERG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46253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Kyrkan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46253</v>
      </c>
      <c r="F109" t="inlineStr">
        <is>
          <t>VÄSTMANLANDS LÄN</t>
        </is>
      </c>
      <c r="G109" t="inlineStr">
        <is>
          <t>SKINNSKATTEBERG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46253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45832</v>
      </c>
      <c r="E111" s="1" t="n">
        <v>46253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46253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37342-2023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45156</v>
      </c>
      <c r="E113" s="1" t="n">
        <v>46253</v>
      </c>
      <c r="F113" t="inlineStr">
        <is>
          <t>VÄSTMANLANDS LÄN</t>
        </is>
      </c>
      <c r="G113" t="inlineStr">
        <is>
          <t>SKINNSKATTEBERG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45832</v>
      </c>
      <c r="E114" s="1" t="n">
        <v>46253</v>
      </c>
      <c r="F114" t="inlineStr">
        <is>
          <t>VÄSTMANLANDS LÄN</t>
        </is>
      </c>
      <c r="G114" t="inlineStr">
        <is>
          <t>SKINNSKATTEBERG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40782-2025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45897</v>
      </c>
      <c r="E115" s="1" t="n">
        <v>46253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40783-2025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46253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46253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46253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46253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40776-2025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45897</v>
      </c>
      <c r="E120" s="1" t="n">
        <v>46253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46253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46253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46253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43185-2025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46253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15184-2025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45744</v>
      </c>
      <c r="E125" s="1" t="n">
        <v>46253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45609</v>
      </c>
      <c r="E126" s="1" t="n">
        <v>46253</v>
      </c>
      <c r="F126" t="inlineStr">
        <is>
          <t>VÄSTMANLANDS LÄN</t>
        </is>
      </c>
      <c r="G126" t="inlineStr">
        <is>
          <t>SKINNSKATTEBERG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44179-2025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46253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44184-2025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45915</v>
      </c>
      <c r="E128" s="1" t="n">
        <v>46253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41581-2025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45901</v>
      </c>
      <c r="E129" s="1" t="n">
        <v>46253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45604</v>
      </c>
      <c r="E130" s="1" t="n">
        <v>46253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46253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46253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46253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46253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46253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46253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46253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46253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45537</v>
      </c>
      <c r="E139" s="1" t="n">
        <v>46253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45177</v>
      </c>
      <c r="E140" s="1" t="n">
        <v>46253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44728</v>
      </c>
      <c r="E141" s="1" t="n">
        <v>46253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30988-2022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44768</v>
      </c>
      <c r="E142" s="1" t="n">
        <v>46253</v>
      </c>
      <c r="F142" t="inlineStr">
        <is>
          <t>VÄSTMANLANDS LÄN</t>
        </is>
      </c>
      <c r="G142" t="inlineStr">
        <is>
          <t>SKINNSKATTEBERG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45848</v>
      </c>
      <c r="E143" s="1" t="n">
        <v>46253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46253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46253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15094-2026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46253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46253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46253</v>
      </c>
      <c r="F148" t="inlineStr">
        <is>
          <t>VÄSTMANLANDS LÄN</t>
        </is>
      </c>
      <c r="G148" t="inlineStr">
        <is>
          <t>SKINNSKATTEBERG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46107</v>
      </c>
      <c r="E149" s="1" t="n">
        <v>46253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46253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46107</v>
      </c>
      <c r="E151" s="1" t="n">
        <v>46253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16136-2026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46108</v>
      </c>
      <c r="E152" s="1" t="n">
        <v>46253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45853</v>
      </c>
      <c r="E153" s="1" t="n">
        <v>46253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15955-2026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46108</v>
      </c>
      <c r="E154" s="1" t="n">
        <v>46253</v>
      </c>
      <c r="F154" t="inlineStr">
        <is>
          <t>VÄSTMANLANDS LÄN</t>
        </is>
      </c>
      <c r="G154" t="inlineStr">
        <is>
          <t>SKINNSKATTEBERG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35205-2025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45853</v>
      </c>
      <c r="E155" s="1" t="n">
        <v>46253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46253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45754</v>
      </c>
      <c r="E157" s="1" t="n">
        <v>46253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46253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46253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44648</v>
      </c>
      <c r="E160" s="1" t="n">
        <v>46253</v>
      </c>
      <c r="F160" t="inlineStr">
        <is>
          <t>VÄSTMANLANDS LÄN</t>
        </is>
      </c>
      <c r="G160" t="inlineStr">
        <is>
          <t>SKINNSKATTEBERG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46253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46114</v>
      </c>
      <c r="E162" s="1" t="n">
        <v>46253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46253</v>
      </c>
      <c r="F163" t="inlineStr">
        <is>
          <t>VÄSTMANLANDS LÄN</t>
        </is>
      </c>
      <c r="G163" t="inlineStr">
        <is>
          <t>SKINNSKATTEBERG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46253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51028-2025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45947</v>
      </c>
      <c r="E165" s="1" t="n">
        <v>46253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46253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46253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51026-2025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45947</v>
      </c>
      <c r="E168" s="1" t="n">
        <v>46253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46122</v>
      </c>
      <c r="E169" s="1" t="n">
        <v>46253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46253</v>
      </c>
      <c r="F170" t="inlineStr">
        <is>
          <t>VÄSTMANLANDS LÄN</t>
        </is>
      </c>
      <c r="G170" t="inlineStr">
        <is>
          <t>SKINNSKATTEBERG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45686</v>
      </c>
      <c r="E171" s="1" t="n">
        <v>46253</v>
      </c>
      <c r="F171" t="inlineStr">
        <is>
          <t>VÄSTMANLANDS LÄN</t>
        </is>
      </c>
      <c r="G171" t="inlineStr">
        <is>
          <t>SKINNSKATTEBERG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46253</v>
      </c>
      <c r="F172" t="inlineStr">
        <is>
          <t>VÄSTMANLANDS LÄN</t>
        </is>
      </c>
      <c r="G172" t="inlineStr">
        <is>
          <t>SKINNSKATTEBERG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45957</v>
      </c>
      <c r="E173" s="1" t="n">
        <v>46253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46253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46253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19582-2026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46134</v>
      </c>
      <c r="E176" s="1" t="n">
        <v>46253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46253</v>
      </c>
      <c r="F177" t="inlineStr">
        <is>
          <t>VÄSTMANLANDS LÄN</t>
        </is>
      </c>
      <c r="G177" t="inlineStr">
        <is>
          <t>SKINNSKATTEBERG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19541-2026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46134</v>
      </c>
      <c r="E178" s="1" t="n">
        <v>46253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19540-2026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46134</v>
      </c>
      <c r="E179" s="1" t="n">
        <v>46253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46253</v>
      </c>
      <c r="F180" t="inlineStr">
        <is>
          <t>VÄSTMANLANDS LÄN</t>
        </is>
      </c>
      <c r="G180" t="inlineStr">
        <is>
          <t>SKINNSKATTEBERG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46253</v>
      </c>
      <c r="F181" t="inlineStr">
        <is>
          <t>VÄSTMANLANDS LÄN</t>
        </is>
      </c>
      <c r="G181" t="inlineStr">
        <is>
          <t>SKINNSKATTEBERG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53183-2021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44468</v>
      </c>
      <c r="E182" s="1" t="n">
        <v>46253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46253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46253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46253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46253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8.699999999999999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52600-2021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46253</v>
      </c>
      <c r="F187" t="inlineStr">
        <is>
          <t>VÄSTMANLANDS LÄN</t>
        </is>
      </c>
      <c r="G187" t="inlineStr">
        <is>
          <t>SKINNSKATTEBERG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46253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45264</v>
      </c>
      <c r="E189" s="1" t="n">
        <v>46253</v>
      </c>
      <c r="F189" t="inlineStr">
        <is>
          <t>VÄSTMANLANDS LÄN</t>
        </is>
      </c>
      <c r="G189" t="inlineStr">
        <is>
          <t>SKINNSKATTEBERG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46253</v>
      </c>
      <c r="F190" t="inlineStr">
        <is>
          <t>VÄSTMANLANDS LÄN</t>
        </is>
      </c>
      <c r="G190" t="inlineStr">
        <is>
          <t>SKINNSKATTEBERG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21576-2023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45063</v>
      </c>
      <c r="E191" s="1" t="n">
        <v>46253</v>
      </c>
      <c r="F191" t="inlineStr">
        <is>
          <t>VÄSTMANLANDS LÄN</t>
        </is>
      </c>
      <c r="G191" t="inlineStr">
        <is>
          <t>SKINNSKATTEBERG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46253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46253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46253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56465-2025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45975</v>
      </c>
      <c r="E195" s="1" t="n">
        <v>46253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58834-2022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44903</v>
      </c>
      <c r="E196" s="1" t="n">
        <v>46253</v>
      </c>
      <c r="F196" t="inlineStr">
        <is>
          <t>VÄSTMANLANDS LÄN</t>
        </is>
      </c>
      <c r="G196" t="inlineStr">
        <is>
          <t>SKINNSKATTEBERG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46253</v>
      </c>
      <c r="F197" t="inlineStr">
        <is>
          <t>VÄSTMANLANDS LÄN</t>
        </is>
      </c>
      <c r="G197" t="inlineStr">
        <is>
          <t>SKINNSKATTEBERG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46253</v>
      </c>
      <c r="F198" t="inlineStr">
        <is>
          <t>VÄSTMANLANDS LÄN</t>
        </is>
      </c>
      <c r="G198" t="inlineStr">
        <is>
          <t>SKINNSKATTEBERG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46140</v>
      </c>
      <c r="E199" s="1" t="n">
        <v>46253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20563-2026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46140</v>
      </c>
      <c r="E200" s="1" t="n">
        <v>46253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46253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22611-2024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45447</v>
      </c>
      <c r="E202" s="1" t="n">
        <v>46253</v>
      </c>
      <c r="F202" t="inlineStr">
        <is>
          <t>VÄSTMANLANDS LÄN</t>
        </is>
      </c>
      <c r="G202" t="inlineStr">
        <is>
          <t>SKINNSKATTEBERG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33396-2023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45128</v>
      </c>
      <c r="E203" s="1" t="n">
        <v>46253</v>
      </c>
      <c r="F203" t="inlineStr">
        <is>
          <t>VÄSTMANLANDS LÄN</t>
        </is>
      </c>
      <c r="G203" t="inlineStr">
        <is>
          <t>SKINNSKATTEBERG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45880</v>
      </c>
      <c r="E204" s="1" t="n">
        <v>46253</v>
      </c>
      <c r="F204" t="inlineStr">
        <is>
          <t>VÄSTMANLANDS LÄN</t>
        </is>
      </c>
      <c r="G204" t="inlineStr">
        <is>
          <t>SKINNSKATTEBERG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46253</v>
      </c>
      <c r="F205" t="inlineStr">
        <is>
          <t>VÄSTMANLANDS LÄN</t>
        </is>
      </c>
      <c r="G205" t="inlineStr">
        <is>
          <t>SKINNSKATTEBERG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46253</v>
      </c>
      <c r="F206" t="inlineStr">
        <is>
          <t>VÄSTMANLANDS LÄN</t>
        </is>
      </c>
      <c r="G206" t="inlineStr">
        <is>
          <t>SKINNSKATTEBERG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45375</v>
      </c>
      <c r="E207" s="1" t="n">
        <v>46253</v>
      </c>
      <c r="F207" t="inlineStr">
        <is>
          <t>VÄSTMANLANDS LÄN</t>
        </is>
      </c>
      <c r="G207" t="inlineStr">
        <is>
          <t>SKINNSKATTEBERG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44965</v>
      </c>
      <c r="E208" s="1" t="n">
        <v>46253</v>
      </c>
      <c r="F208" t="inlineStr">
        <is>
          <t>VÄSTMANLANDS LÄN</t>
        </is>
      </c>
      <c r="G208" t="inlineStr">
        <is>
          <t>SKINNSKATTEBERG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46253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45992</v>
      </c>
      <c r="E210" s="1" t="n">
        <v>46253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43400-2024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45568</v>
      </c>
      <c r="E211" s="1" t="n">
        <v>46253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44936</v>
      </c>
      <c r="E212" s="1" t="n">
        <v>46253</v>
      </c>
      <c r="F212" t="inlineStr">
        <is>
          <t>VÄSTMANLANDS LÄN</t>
        </is>
      </c>
      <c r="G212" t="inlineStr">
        <is>
          <t>SKINNSKATTEBERG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46253</v>
      </c>
      <c r="F213" t="inlineStr">
        <is>
          <t>VÄSTMANLANDS LÄN</t>
        </is>
      </c>
      <c r="G213" t="inlineStr">
        <is>
          <t>SKINNSKATTEBERG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46253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45434</v>
      </c>
      <c r="E215" s="1" t="n">
        <v>46253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46142</v>
      </c>
      <c r="E216" s="1" t="n">
        <v>46253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46253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46253</v>
      </c>
      <c r="F218" t="inlineStr">
        <is>
          <t>VÄSTMANLANDS LÄN</t>
        </is>
      </c>
      <c r="G218" t="inlineStr">
        <is>
          <t>SKINNSKATTEBERG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46253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46253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46253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20853-2026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46253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46253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41594-2025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45901</v>
      </c>
      <c r="E224" s="1" t="n">
        <v>46253</v>
      </c>
      <c r="F224" t="inlineStr">
        <is>
          <t>VÄSTMANLANDS LÄN</t>
        </is>
      </c>
      <c r="G224" t="inlineStr">
        <is>
          <t>SKINNSKATTEBERG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20856-2026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46253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46142</v>
      </c>
      <c r="E226" s="1" t="n">
        <v>46253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46009</v>
      </c>
      <c r="E227" s="1" t="n">
        <v>46253</v>
      </c>
      <c r="F227" t="inlineStr">
        <is>
          <t>VÄSTMANLANDS LÄN</t>
        </is>
      </c>
      <c r="G227" t="inlineStr">
        <is>
          <t>SKINNSKATTEBERG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62933-2025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46009</v>
      </c>
      <c r="E228" s="1" t="n">
        <v>46253</v>
      </c>
      <c r="F228" t="inlineStr">
        <is>
          <t>VÄSTMANLANDS LÄN</t>
        </is>
      </c>
      <c r="G228" t="inlineStr">
        <is>
          <t>SKINNSKATTEBERG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45429</v>
      </c>
      <c r="E229" s="1" t="n">
        <v>46253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66584-2021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44519</v>
      </c>
      <c r="E230" s="1" t="n">
        <v>46253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21848-2026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46150</v>
      </c>
      <c r="E231" s="1" t="n">
        <v>46253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46253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46253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46253</v>
      </c>
      <c r="F234" t="inlineStr">
        <is>
          <t>VÄSTMANLANDS LÄN</t>
        </is>
      </c>
      <c r="G234" t="inlineStr">
        <is>
          <t>SKINNSKATTEBERG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15540-2024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45401</v>
      </c>
      <c r="E235" s="1" t="n">
        <v>46253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18161-2024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45420</v>
      </c>
      <c r="E236" s="1" t="n">
        <v>46253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46253</v>
      </c>
      <c r="F237" t="inlineStr">
        <is>
          <t>VÄSTMANLANDS LÄN</t>
        </is>
      </c>
      <c r="G237" t="inlineStr">
        <is>
          <t>SKINNSKATTEBERG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45014</v>
      </c>
      <c r="E238" s="1" t="n">
        <v>46253</v>
      </c>
      <c r="F238" t="inlineStr">
        <is>
          <t>VÄSTMANLANDS LÄN</t>
        </is>
      </c>
      <c r="G238" t="inlineStr">
        <is>
          <t>SKINNSKATTEBERG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14736-2023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46253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46037</v>
      </c>
      <c r="E240" s="1" t="n">
        <v>46253</v>
      </c>
      <c r="F240" t="inlineStr">
        <is>
          <t>VÄSTMANLANDS LÄN</t>
        </is>
      </c>
      <c r="G240" t="inlineStr">
        <is>
          <t>SKINNSKATTEBERG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45643</v>
      </c>
      <c r="E241" s="1" t="n">
        <v>46253</v>
      </c>
      <c r="F241" t="inlineStr">
        <is>
          <t>VÄSTMANLANDS LÄN</t>
        </is>
      </c>
      <c r="G241" t="inlineStr">
        <is>
          <t>SKINNSKATTEBERG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46253</v>
      </c>
      <c r="F242" t="inlineStr">
        <is>
          <t>VÄSTMANLANDS LÄN</t>
        </is>
      </c>
      <c r="G242" t="inlineStr">
        <is>
          <t>SKINNSKATTEBERG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22779-2026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46157</v>
      </c>
      <c r="E243" s="1" t="n">
        <v>46253</v>
      </c>
      <c r="F243" t="inlineStr">
        <is>
          <t>VÄSTMANLANDS LÄN</t>
        </is>
      </c>
      <c r="G243" t="inlineStr">
        <is>
          <t>SKINNSKATTEBERG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47689-2023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46253</v>
      </c>
      <c r="F244" t="inlineStr">
        <is>
          <t>VÄSTMANLANDS LÄN</t>
        </is>
      </c>
      <c r="G244" t="inlineStr">
        <is>
          <t>SKINNSKATTEBERG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46253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46253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46253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23561-2026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46253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46253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46253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46253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46253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24491-2026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46253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46253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46253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46253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45770</v>
      </c>
      <c r="E257" s="1" t="n">
        <v>46253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46253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46253</v>
      </c>
      <c r="F259" t="inlineStr">
        <is>
          <t>VÄSTMANLANDS LÄN</t>
        </is>
      </c>
      <c r="G259" t="inlineStr">
        <is>
          <t>SKINNSKATTEBERG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45174</v>
      </c>
      <c r="E260" s="1" t="n">
        <v>46253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24884-2023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46253</v>
      </c>
      <c r="F261" t="inlineStr">
        <is>
          <t>VÄSTMANLANDS LÄN</t>
        </is>
      </c>
      <c r="G261" t="inlineStr">
        <is>
          <t>SKINNSKATTEBERG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46253</v>
      </c>
      <c r="F262" t="inlineStr">
        <is>
          <t>VÄSTMANLANDS LÄN</t>
        </is>
      </c>
      <c r="G262" t="inlineStr">
        <is>
          <t>SKINNSKATTEBERG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45245</v>
      </c>
      <c r="E263" s="1" t="n">
        <v>46253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44728</v>
      </c>
      <c r="E264" s="1" t="n">
        <v>46253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46253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46253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46253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26356-2026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46182</v>
      </c>
      <c r="E268" s="1" t="n">
        <v>46253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46253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46253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46253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45174</v>
      </c>
      <c r="E272" s="1" t="n">
        <v>46253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26866-2026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46185</v>
      </c>
      <c r="E273" s="1" t="n">
        <v>46253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46253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46253</v>
      </c>
      <c r="F275" t="inlineStr">
        <is>
          <t>VÄSTMANLANDS LÄN</t>
        </is>
      </c>
      <c r="G275" t="inlineStr">
        <is>
          <t>SKINNSKATTEBERG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46253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45420</v>
      </c>
      <c r="E277" s="1" t="n">
        <v>46253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45170</v>
      </c>
      <c r="E278" s="1" t="n">
        <v>46253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46253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46253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46253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45306</v>
      </c>
      <c r="E282" s="1" t="n">
        <v>46253</v>
      </c>
      <c r="F282" t="inlineStr">
        <is>
          <t>VÄSTMANLANDS LÄN</t>
        </is>
      </c>
      <c r="G282" t="inlineStr">
        <is>
          <t>SKINNSKATTEBERG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45306</v>
      </c>
      <c r="E283" s="1" t="n">
        <v>46253</v>
      </c>
      <c r="F283" t="inlineStr">
        <is>
          <t>VÄSTMANLANDS LÄN</t>
        </is>
      </c>
      <c r="G283" t="inlineStr">
        <is>
          <t>SKINNSKATTEBERG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45306</v>
      </c>
      <c r="E284" s="1" t="n">
        <v>46253</v>
      </c>
      <c r="F284" t="inlineStr">
        <is>
          <t>VÄSTMANLANDS LÄN</t>
        </is>
      </c>
      <c r="G284" t="inlineStr">
        <is>
          <t>SKINNSKATTEBERG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46253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46190</v>
      </c>
      <c r="E286" s="1" t="n">
        <v>46253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46253</v>
      </c>
      <c r="F287" t="inlineStr">
        <is>
          <t>VÄSTMANLANDS LÄN</t>
        </is>
      </c>
      <c r="G287" t="inlineStr">
        <is>
          <t>SKINNSKATTEBERG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44974</v>
      </c>
      <c r="E288" s="1" t="n">
        <v>46253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Kyrkan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32217-2026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46237</v>
      </c>
      <c r="E289" s="1" t="n">
        <v>46253</v>
      </c>
      <c r="F289" t="inlineStr">
        <is>
          <t>VÄSTMANLANDS LÄN</t>
        </is>
      </c>
      <c r="G289" t="inlineStr">
        <is>
          <t>SKINNSKATTEBERG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32205-2026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46237</v>
      </c>
      <c r="E290" s="1" t="n">
        <v>46253</v>
      </c>
      <c r="F290" t="inlineStr">
        <is>
          <t>VÄSTMANLANDS LÄN</t>
        </is>
      </c>
      <c r="G290" t="inlineStr">
        <is>
          <t>SKINNSKATTEBERG</t>
        </is>
      </c>
      <c r="I290" t="n">
        <v>12.2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46253</v>
      </c>
      <c r="F291" t="inlineStr">
        <is>
          <t>VÄSTMANLANDS LÄN</t>
        </is>
      </c>
      <c r="G291" t="inlineStr">
        <is>
          <t>SKINNSKATTEBERG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46195</v>
      </c>
      <c r="E292" s="1" t="n">
        <v>46253</v>
      </c>
      <c r="F292" t="inlineStr">
        <is>
          <t>VÄSTMANLANDS LÄN</t>
        </is>
      </c>
      <c r="G292" t="inlineStr">
        <is>
          <t>SKINNSKATTEBERG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46197</v>
      </c>
      <c r="E293" s="1" t="n">
        <v>46253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46197</v>
      </c>
      <c r="E294" s="1" t="n">
        <v>46253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61181-2021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46253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46253</v>
      </c>
      <c r="F296" t="inlineStr">
        <is>
          <t>VÄSTMANLANDS LÄN</t>
        </is>
      </c>
      <c r="G296" t="inlineStr">
        <is>
          <t>SKINNSKATTEBERG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46253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46253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46253</v>
      </c>
      <c r="F299" t="inlineStr">
        <is>
          <t>VÄSTMANLANDS LÄN</t>
        </is>
      </c>
      <c r="G299" t="inlineStr">
        <is>
          <t>SKINNSKATTEBERG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46253</v>
      </c>
      <c r="F300" t="inlineStr">
        <is>
          <t>VÄSTMANLANDS LÄN</t>
        </is>
      </c>
      <c r="G300" t="inlineStr">
        <is>
          <t>SKINNSKATTEBERG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44462</v>
      </c>
      <c r="E301" s="1" t="n">
        <v>46253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29091-2026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46200</v>
      </c>
      <c r="E302" s="1" t="n">
        <v>46253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45063</v>
      </c>
      <c r="E303" s="1" t="n">
        <v>46253</v>
      </c>
      <c r="F303" t="inlineStr">
        <is>
          <t>VÄSTMANLANDS LÄN</t>
        </is>
      </c>
      <c r="G303" t="inlineStr">
        <is>
          <t>SKINNSKATTEBERG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45063</v>
      </c>
      <c r="E304" s="1" t="n">
        <v>46253</v>
      </c>
      <c r="F304" t="inlineStr">
        <is>
          <t>VÄSTMANLANDS LÄN</t>
        </is>
      </c>
      <c r="G304" t="inlineStr">
        <is>
          <t>SKINNSKATTEBERG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46253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46200</v>
      </c>
      <c r="E306" s="1" t="n">
        <v>46253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46244</v>
      </c>
      <c r="E307" s="1" t="n">
        <v>46253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46199</v>
      </c>
      <c r="E308" s="1" t="n">
        <v>46253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46244</v>
      </c>
      <c r="E309" s="1" t="n">
        <v>46253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35683-2024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45532</v>
      </c>
      <c r="E310" s="1" t="n">
        <v>46253</v>
      </c>
      <c r="F310" t="inlineStr">
        <is>
          <t>VÄSTMANLANDS LÄN</t>
        </is>
      </c>
      <c r="G310" t="inlineStr">
        <is>
          <t>SKINNSKATTEBERG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46244</v>
      </c>
      <c r="E311" s="1" t="n">
        <v>46253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46253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48825-2022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46253</v>
      </c>
      <c r="F313" t="inlineStr">
        <is>
          <t>VÄSTMANLANDS LÄN</t>
        </is>
      </c>
      <c r="G313" t="inlineStr">
        <is>
          <t>SKINNSKATTEBERG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53142-2021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44468</v>
      </c>
      <c r="E314" s="1" t="n">
        <v>46253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46247</v>
      </c>
      <c r="E315" s="1" t="n">
        <v>46253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53145-2021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44468</v>
      </c>
      <c r="E316" s="1" t="n">
        <v>46253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45040</v>
      </c>
      <c r="E317" s="1" t="n">
        <v>46253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33553-2026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46248</v>
      </c>
      <c r="E318" s="1" t="n">
        <v>46253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29026-2026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46199</v>
      </c>
      <c r="E319" s="1" t="n">
        <v>46253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11826-2024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45376</v>
      </c>
      <c r="E320" s="1" t="n">
        <v>46253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45058</v>
      </c>
      <c r="E321" s="1" t="n">
        <v>46253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19093-2023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45048</v>
      </c>
      <c r="E322" s="1" t="n">
        <v>46253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46210</v>
      </c>
      <c r="E323" s="1" t="n">
        <v>46253</v>
      </c>
      <c r="F323" t="inlineStr">
        <is>
          <t>VÄSTMANLANDS LÄN</t>
        </is>
      </c>
      <c r="G323" t="inlineStr">
        <is>
          <t>SKINNSKATTEBERG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45250</v>
      </c>
      <c r="E324" s="1" t="n">
        <v>46253</v>
      </c>
      <c r="F324" t="inlineStr">
        <is>
          <t>VÄSTMANLANDS LÄN</t>
        </is>
      </c>
      <c r="G324" t="inlineStr">
        <is>
          <t>SKINNSKATTEBERG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57747-2023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45246</v>
      </c>
      <c r="E325" s="1" t="n">
        <v>46253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44603</v>
      </c>
      <c r="E326" s="1" t="n">
        <v>46253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Kyrkan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18516-2024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45425</v>
      </c>
      <c r="E327" s="1" t="n">
        <v>46253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45111</v>
      </c>
      <c r="E328" s="1" t="n">
        <v>46253</v>
      </c>
      <c r="F328" t="inlineStr">
        <is>
          <t>VÄSTMANLANDS LÄN</t>
        </is>
      </c>
      <c r="G328" t="inlineStr">
        <is>
          <t>SKINNSKATTEBERG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45252</v>
      </c>
      <c r="E329" s="1" t="n">
        <v>46253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13385-2024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45387</v>
      </c>
      <c r="E330" s="1" t="n">
        <v>46253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46253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46253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13713-2024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45390</v>
      </c>
      <c r="E333" s="1" t="n">
        <v>46253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53880-2021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44469</v>
      </c>
      <c r="E334" s="1" t="n">
        <v>46253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25843-2023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45090</v>
      </c>
      <c r="E335" s="1" t="n">
        <v>46253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45762</v>
      </c>
      <c r="E336" s="1" t="n">
        <v>46253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18417-2025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45762</v>
      </c>
      <c r="E337" s="1" t="n">
        <v>46253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59578-2024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46253</v>
      </c>
      <c r="F338" t="inlineStr">
        <is>
          <t>VÄSTMANLANDS LÄN</t>
        </is>
      </c>
      <c r="G338" t="inlineStr">
        <is>
          <t>SKINNSKATTEBERG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45006</v>
      </c>
      <c r="E339" s="1" t="n">
        <v>46253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Allmännings- och besparingsskogar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45056</v>
      </c>
      <c r="E340" s="1" t="n">
        <v>46253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46253</v>
      </c>
      <c r="F341" t="inlineStr">
        <is>
          <t>VÄSTMANLANDS LÄN</t>
        </is>
      </c>
      <c r="G341" t="inlineStr">
        <is>
          <t>SKINNSKATTEBERG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54657-2022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44883</v>
      </c>
      <c r="E342" s="1" t="n">
        <v>46253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36288-2022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44803</v>
      </c>
      <c r="E343" s="1" t="n">
        <v>46253</v>
      </c>
      <c r="F343" t="inlineStr">
        <is>
          <t>VÄSTMANLANDS LÄN</t>
        </is>
      </c>
      <c r="G343" t="inlineStr">
        <is>
          <t>SKINNSKATTEBERG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46253</v>
      </c>
      <c r="F344" t="inlineStr">
        <is>
          <t>VÄSTMANLANDS LÄN</t>
        </is>
      </c>
      <c r="G344" t="inlineStr">
        <is>
          <t>SKINNSKATTEBERG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33900-2023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46253</v>
      </c>
      <c r="F345" t="inlineStr">
        <is>
          <t>VÄSTMANLANDS LÄN</t>
        </is>
      </c>
      <c r="G345" t="inlineStr">
        <is>
          <t>SKINNSKATTEBERG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15561-2024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45401</v>
      </c>
      <c r="E346" s="1" t="n">
        <v>46253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46253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7.9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46253</v>
      </c>
      <c r="F348" t="inlineStr">
        <is>
          <t>VÄSTMANLANDS LÄN</t>
        </is>
      </c>
      <c r="G348" t="inlineStr">
        <is>
          <t>SKINNSKATTEBERG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22394-2022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44713</v>
      </c>
      <c r="E349" s="1" t="n">
        <v>46253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45592</v>
      </c>
      <c r="E350" s="1" t="n">
        <v>46253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45571</v>
      </c>
      <c r="E351" s="1" t="n">
        <v>46253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45571</v>
      </c>
      <c r="E352" s="1" t="n">
        <v>46253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45617</v>
      </c>
      <c r="E353" s="1" t="n">
        <v>46253</v>
      </c>
      <c r="F353" t="inlineStr">
        <is>
          <t>VÄSTMANLANDS LÄN</t>
        </is>
      </c>
      <c r="G353" t="inlineStr">
        <is>
          <t>SKINNSKATTEBERG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31617-2024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45506</v>
      </c>
      <c r="E354" s="1" t="n">
        <v>46253</v>
      </c>
      <c r="F354" t="inlineStr">
        <is>
          <t>VÄSTMANLANDS LÄN</t>
        </is>
      </c>
      <c r="G354" t="inlineStr">
        <is>
          <t>SKINNSKATTEBERG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40545-2023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45170</v>
      </c>
      <c r="E355" s="1" t="n">
        <v>46253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51472-2024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45604</v>
      </c>
      <c r="E356" s="1" t="n">
        <v>46253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46253</v>
      </c>
      <c r="F357" t="inlineStr">
        <is>
          <t>VÄSTMANLANDS LÄN</t>
        </is>
      </c>
      <c r="G357" t="inlineStr">
        <is>
          <t>SKINNSKATTEBERG</t>
        </is>
      </c>
      <c r="I357" t="n">
        <v>10.5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55229-2023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45237</v>
      </c>
      <c r="E358" s="1" t="n">
        <v>46253</v>
      </c>
      <c r="F358" t="inlineStr">
        <is>
          <t>VÄSTMANLANDS LÄN</t>
        </is>
      </c>
      <c r="G358" t="inlineStr">
        <is>
          <t>SKINNSKATTEBERG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37432-2023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45156</v>
      </c>
      <c r="E359" s="1" t="n">
        <v>46253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12888-2024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45385</v>
      </c>
      <c r="E360" s="1" t="n">
        <v>46253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45571</v>
      </c>
      <c r="E361" s="1" t="n">
        <v>46253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14237-2025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45740</v>
      </c>
      <c r="E362" s="1" t="n">
        <v>46253</v>
      </c>
      <c r="F362" t="inlineStr">
        <is>
          <t>VÄSTMANLANDS LÄN</t>
        </is>
      </c>
      <c r="G362" t="inlineStr">
        <is>
          <t>SKINNSKATTEBERG</t>
        </is>
      </c>
      <c r="I362" t="n">
        <v>10.4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27329-2023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46253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40167-2024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45554</v>
      </c>
      <c r="E364" s="1" t="n">
        <v>46253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45617</v>
      </c>
      <c r="E365" s="1" t="n">
        <v>46253</v>
      </c>
      <c r="F365" t="inlineStr">
        <is>
          <t>VÄSTMANLANDS LÄN</t>
        </is>
      </c>
      <c r="G365" t="inlineStr">
        <is>
          <t>SKINNSKATTEBERG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45777</v>
      </c>
      <c r="E366" s="1" t="n">
        <v>46253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46253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50980-2022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44867</v>
      </c>
      <c r="E368" s="1" t="n">
        <v>46253</v>
      </c>
      <c r="F368" t="inlineStr">
        <is>
          <t>VÄSTMANLANDS LÄN</t>
        </is>
      </c>
      <c r="G368" t="inlineStr">
        <is>
          <t>SKINNSKATTEBERG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45377</v>
      </c>
      <c r="E369" s="1" t="n">
        <v>46253</v>
      </c>
      <c r="F369" t="inlineStr">
        <is>
          <t>VÄSTMANLANDS LÄN</t>
        </is>
      </c>
      <c r="G369" t="inlineStr">
        <is>
          <t>SKINNSKATTEBERG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37730-2024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46253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45547</v>
      </c>
      <c r="E371" s="1" t="n">
        <v>46253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28941-2024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45480</v>
      </c>
      <c r="E372" s="1" t="n">
        <v>46253</v>
      </c>
      <c r="F372" t="inlineStr">
        <is>
          <t>VÄSTMANLANDS LÄN</t>
        </is>
      </c>
      <c r="G372" t="inlineStr">
        <is>
          <t>SKINNSKATTEBERG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22285-2025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45786</v>
      </c>
      <c r="E373" s="1" t="n">
        <v>46253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22079-2024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45443</v>
      </c>
      <c r="E374" s="1" t="n">
        <v>46253</v>
      </c>
      <c r="F374" t="inlineStr">
        <is>
          <t>VÄSTMANLANDS LÄN</t>
        </is>
      </c>
      <c r="G374" t="inlineStr">
        <is>
          <t>SKINNSKATTEBERG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45476</v>
      </c>
      <c r="E375" s="1" t="n">
        <v>46253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45527</v>
      </c>
      <c r="E376" s="1" t="n">
        <v>46253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25846-2025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45804</v>
      </c>
      <c r="E377" s="1" t="n">
        <v>46253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1765-2024</t>
        </is>
      </c>
      <c r="B378" t="inlineStr">
        <is>
          <t>samrådsanmälan</t>
        </is>
      </c>
      <c r="C378" t="inlineStr">
        <is>
          <t>Annan skogsbruksåtgärd</t>
        </is>
      </c>
      <c r="D378" s="1" t="n">
        <v>45435</v>
      </c>
      <c r="E378" s="1" t="n">
        <v>46253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1462-2025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45786</v>
      </c>
      <c r="E379" s="1" t="n">
        <v>46253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1931-2025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45827</v>
      </c>
      <c r="E380" s="1" t="n">
        <v>46253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2177-2025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45853</v>
      </c>
      <c r="E381" s="1" t="n">
        <v>46253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2422-2025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45897</v>
      </c>
      <c r="E382" s="1" t="n">
        <v>46253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2421-2025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45897</v>
      </c>
      <c r="E383" s="1" t="n">
        <v>46253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2420-2025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45897</v>
      </c>
      <c r="E384" s="1" t="n">
        <v>46253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2456-2025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45901</v>
      </c>
      <c r="E385" s="1" t="n">
        <v>46253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2578-2025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45915</v>
      </c>
      <c r="E386" s="1" t="n">
        <v>46253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1325-2026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46147</v>
      </c>
      <c r="E387" s="1" t="n">
        <v>46253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65.3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1678-2026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46182</v>
      </c>
      <c r="E388" s="1" t="n">
        <v>46253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1868-2026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46199</v>
      </c>
      <c r="E389" s="1" t="n">
        <v>46253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2026-08-19T01:45:22Z</dcterms:created>
  <dcterms:modified xmlns:dcterms="http://purl.org/dc/terms/" xmlns:xsi="http://www.w3.org/2001/XMLSchema-instance" xsi:type="dcterms:W3CDTF">2026-08-19T01:45:22Z</dcterms:modified>
</cp:coreProperties>
</file>