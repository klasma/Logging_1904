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46273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46273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46273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46273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46273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46273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46273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46273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46273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46273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46273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46273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46273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46273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46273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41868-2022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44829</v>
      </c>
      <c r="E20" s="1" t="n">
        <v>46273</v>
      </c>
      <c r="F20" t="inlineStr">
        <is>
          <t>VÄSTMANLANDS LÄN</t>
        </is>
      </c>
      <c r="G20" t="inlineStr">
        <is>
          <t>SKINNSKATTEBERG</t>
        </is>
      </c>
      <c r="I20" t="n">
        <v>0.9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HYPERLINK("https://klasma.github.io/Logging_1904/artfynd/A 41868-2022 artfynd.xlsx", "A 41868-2022")</f>
        <v/>
      </c>
      <c r="X20">
        <f>HYPERLINK("https://klasma.github.io/Logging_1904/kartor/A 41868-2022 karta.png", "A 41868-2022")</f>
        <v/>
      </c>
      <c r="Y20">
        <f>HYPERLINK("https://klasma.github.io/Logging_1904/kartor_geotiff/A 41868-2022 georefererad karta.tif", "A 41868-2022")</f>
        <v/>
      </c>
      <c r="AA20">
        <f>HYPERLINK("https://klasma.github.io/Logging_1904/klagomål/A 41868-2022 FSC-klagomål.docx", "A 41868-2022")</f>
        <v/>
      </c>
      <c r="AB20">
        <f>HYPERLINK("https://klasma.github.io/Logging_1904/klagomålsmail/A 41868-2022 FSC-klagomål mail.docx", "A 41868-2022")</f>
        <v/>
      </c>
      <c r="AC20">
        <f>HYPERLINK("https://klasma.github.io/Logging_1904/tillsyn/A 41868-2022 tillsynsbegäran.docx", "A 41868-2022")</f>
        <v/>
      </c>
      <c r="AD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46273</v>
      </c>
      <c r="F21" t="inlineStr">
        <is>
          <t>VÄSTMANLANDS LÄN</t>
        </is>
      </c>
      <c r="G21" t="inlineStr">
        <is>
          <t>SKINNSKATTEBERG</t>
        </is>
      </c>
      <c r="I21" t="n">
        <v>14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Klasefibbla</t>
        </is>
      </c>
      <c r="W21">
        <f>HYPERLINK("https://klasma.github.io/Logging_1904/artfynd/A 4000-2024 artfynd.xlsx", "A 4000-2024")</f>
        <v/>
      </c>
      <c r="X21">
        <f>HYPERLINK("https://klasma.github.io/Logging_1904/kartor/A 4000-2024 karta.png", "A 4000-2024")</f>
        <v/>
      </c>
      <c r="Y21">
        <f>HYPERLINK("https://klasma.github.io/Logging_1904/kartor_geotiff/A 4000-2024 georefererad karta.tif", "A 4000-2024")</f>
        <v/>
      </c>
      <c r="AA21">
        <f>HYPERLINK("https://klasma.github.io/Logging_1904/klagomål/A 4000-2024 FSC-klagomål.docx", "A 4000-2024")</f>
        <v/>
      </c>
      <c r="AB21">
        <f>HYPERLINK("https://klasma.github.io/Logging_1904/klagomålsmail/A 4000-2024 FSC-klagomål mail.docx", "A 4000-2024")</f>
        <v/>
      </c>
      <c r="AC21">
        <f>HYPERLINK("https://klasma.github.io/Logging_1904/tillsyn/A 4000-2024 tillsynsbegäran.docx", "A 4000-2024")</f>
        <v/>
      </c>
      <c r="AD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46273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45078</v>
      </c>
      <c r="E23" s="1" t="n">
        <v>46273</v>
      </c>
      <c r="F23" t="inlineStr">
        <is>
          <t>VÄSTMANLANDS LÄN</t>
        </is>
      </c>
      <c r="G23" t="inlineStr">
        <is>
          <t>SKINNSKATTEBERG</t>
        </is>
      </c>
      <c r="I23" t="n">
        <v>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Knärot</t>
        </is>
      </c>
      <c r="W23">
        <f>HYPERLINK("https://klasma.github.io/Logging_1904/artfynd/A 23893-2023 artfynd.xlsx", "A 23893-2023")</f>
        <v/>
      </c>
      <c r="X23">
        <f>HYPERLINK("https://klasma.github.io/Logging_1904/kartor/A 23893-2023 karta.png", "A 23893-2023")</f>
        <v/>
      </c>
      <c r="Y23">
        <f>HYPERLINK("https://klasma.github.io/Logging_1904/kartor_geotiff/A 23893-2023 georefererad karta.tif", "A 23893-2023")</f>
        <v/>
      </c>
      <c r="Z23">
        <f>HYPERLINK("https://klasma.github.io/Logging_1904/knärot/A 23893-2023 karta knärot.png", "A 23893-2023")</f>
        <v/>
      </c>
      <c r="AA23">
        <f>HYPERLINK("https://klasma.github.io/Logging_1904/klagomål/A 23893-2023 FSC-klagomål.docx", "A 23893-2023")</f>
        <v/>
      </c>
      <c r="AB23">
        <f>HYPERLINK("https://klasma.github.io/Logging_1904/klagomålsmail/A 23893-2023 FSC-klagomål mail.docx", "A 23893-2023")</f>
        <v/>
      </c>
      <c r="AC23">
        <f>HYPERLINK("https://klasma.github.io/Logging_1904/tillsyn/A 23893-2023 tillsynsbegäran.docx", "A 23893-2023")</f>
        <v/>
      </c>
      <c r="AD23">
        <f>HYPERLINK("https://klasma.github.io/Logging_1904/tillsynsmail/A 23893-2023 tillsynsbegäran mail.docx", "A 23893-2023")</f>
        <v/>
      </c>
    </row>
    <row r="24" ht="15" customHeight="1">
      <c r="A24" t="inlineStr">
        <is>
          <t>A 9491-2024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46273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Skogshare</t>
        </is>
      </c>
      <c r="W24">
        <f>HYPERLINK("https://klasma.github.io/Logging_1904/artfynd/A 9491-2024 artfynd.xlsx", "A 9491-2024")</f>
        <v/>
      </c>
      <c r="X24">
        <f>HYPERLINK("https://klasma.github.io/Logging_1904/kartor/A 9491-2024 karta.png", "A 9491-2024")</f>
        <v/>
      </c>
      <c r="Y24">
        <f>HYPERLINK("https://klasma.github.io/Logging_1904/kartor_geotiff/A 9491-2024 georefererad karta.tif", "A 9491-2024")</f>
        <v/>
      </c>
      <c r="AA24">
        <f>HYPERLINK("https://klasma.github.io/Logging_1904/klagomål/A 9491-2024 FSC-klagomål.docx", "A 9491-2024")</f>
        <v/>
      </c>
      <c r="AB24">
        <f>HYPERLINK("https://klasma.github.io/Logging_1904/klagomålsmail/A 9491-2024 FSC-klagomål mail.docx", "A 9491-2024")</f>
        <v/>
      </c>
      <c r="AC24">
        <f>HYPERLINK("https://klasma.github.io/Logging_1904/tillsyn/A 9491-2024 tillsynsbegäran.docx", "A 9491-2024")</f>
        <v/>
      </c>
      <c r="AD24">
        <f>HYPERLINK("https://klasma.github.io/Logging_1904/tillsynsmail/A 9491-2024 tillsynsbegäran mail.docx", "A 9491-2024")</f>
        <v/>
      </c>
    </row>
    <row r="25" ht="15" customHeight="1">
      <c r="A25" t="inlineStr">
        <is>
          <t>A 27565-2024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45474</v>
      </c>
      <c r="E25" s="1" t="n">
        <v>46273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HYPERLINK("https://klasma.github.io/Logging_1904/artfynd/A 27565-2024 artfynd.xlsx", "A 27565-2024")</f>
        <v/>
      </c>
      <c r="X25">
        <f>HYPERLINK("https://klasma.github.io/Logging_1904/kartor/A 27565-2024 karta.png", "A 27565-2024")</f>
        <v/>
      </c>
      <c r="Y25">
        <f>HYPERLINK("https://klasma.github.io/Logging_1904/kartor_geotiff/A 27565-2024 georefererad karta.tif", "A 27565-2024")</f>
        <v/>
      </c>
      <c r="AA25">
        <f>HYPERLINK("https://klasma.github.io/Logging_1904/klagomål/A 27565-2024 FSC-klagomål.docx", "A 27565-2024")</f>
        <v/>
      </c>
      <c r="AB25">
        <f>HYPERLINK("https://klasma.github.io/Logging_1904/klagomålsmail/A 27565-2024 FSC-klagomål mail.docx", "A 27565-2024")</f>
        <v/>
      </c>
      <c r="AC25">
        <f>HYPERLINK("https://klasma.github.io/Logging_1904/tillsyn/A 27565-2024 tillsynsbegäran.docx", "A 27565-2024")</f>
        <v/>
      </c>
      <c r="AD25">
        <f>HYPERLINK("https://klasma.github.io/Logging_1904/tillsynsmail/A 27565-2024 tillsynsbegäran mail.docx", "A 27565-2024")</f>
        <v/>
      </c>
    </row>
    <row r="26" ht="15" customHeight="1">
      <c r="A26" t="inlineStr">
        <is>
          <t>A 9490-2024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46273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Nattskärra</t>
        </is>
      </c>
      <c r="W26">
        <f>HYPERLINK("https://klasma.github.io/Logging_1904/artfynd/A 9490-2024 artfynd.xlsx", "A 9490-2024")</f>
        <v/>
      </c>
      <c r="X26">
        <f>HYPERLINK("https://klasma.github.io/Logging_1904/kartor/A 9490-2024 karta.png", "A 9490-2024")</f>
        <v/>
      </c>
      <c r="Y26">
        <f>HYPERLINK("https://klasma.github.io/Logging_1904/kartor_geotiff/A 9490-2024 georefererad karta.tif", "A 9490-2024")</f>
        <v/>
      </c>
      <c r="AA26">
        <f>HYPERLINK("https://klasma.github.io/Logging_1904/klagomål/A 9490-2024 FSC-klagomål.docx", "A 9490-2024")</f>
        <v/>
      </c>
      <c r="AB26">
        <f>HYPERLINK("https://klasma.github.io/Logging_1904/klagomålsmail/A 9490-2024 FSC-klagomål mail.docx", "A 9490-2024")</f>
        <v/>
      </c>
      <c r="AC26">
        <f>HYPERLINK("https://klasma.github.io/Logging_1904/tillsyn/A 9490-2024 tillsynsbegäran.docx", "A 9490-2024")</f>
        <v/>
      </c>
      <c r="AD26">
        <f>HYPERLINK("https://klasma.github.io/Logging_1904/tillsynsmail/A 9490-2024 tillsynsbegäran mail.docx", "A 9490-2024")</f>
        <v/>
      </c>
      <c r="AE26">
        <f>HYPERLINK("https://klasma.github.io/Logging_1904/fåglar/A 9490-2024 prioriterade fågelarter.docx", "A 9490-2024")</f>
        <v/>
      </c>
    </row>
    <row r="27" ht="15" customHeight="1">
      <c r="A27" t="inlineStr">
        <is>
          <t>A 54296-2023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46273</v>
      </c>
      <c r="F27" t="inlineStr">
        <is>
          <t>VÄSTMANLANDS LÄN</t>
        </is>
      </c>
      <c r="G27" t="inlineStr">
        <is>
          <t>SKINNSKATTEBERG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Kopparödla</t>
        </is>
      </c>
      <c r="W27">
        <f>HYPERLINK("https://klasma.github.io/Logging_1904/artfynd/A 54296-2023 artfynd.xlsx", "A 54296-2023")</f>
        <v/>
      </c>
      <c r="X27">
        <f>HYPERLINK("https://klasma.github.io/Logging_1904/kartor/A 54296-2023 karta.png", "A 54296-2023")</f>
        <v/>
      </c>
      <c r="Y27">
        <f>HYPERLINK("https://klasma.github.io/Logging_1904/kartor_geotiff/A 54296-2023 georefererad karta.tif", "A 54296-2023")</f>
        <v/>
      </c>
      <c r="AA27">
        <f>HYPERLINK("https://klasma.github.io/Logging_1904/klagomål/A 54296-2023 FSC-klagomål.docx", "A 54296-2023")</f>
        <v/>
      </c>
      <c r="AB27">
        <f>HYPERLINK("https://klasma.github.io/Logging_1904/klagomålsmail/A 54296-2023 FSC-klagomål mail.docx", "A 54296-2023")</f>
        <v/>
      </c>
      <c r="AC27">
        <f>HYPERLINK("https://klasma.github.io/Logging_1904/tillsyn/A 54296-2023 tillsynsbegäran.docx", "A 54296-2023")</f>
        <v/>
      </c>
      <c r="AD27">
        <f>HYPERLINK("https://klasma.github.io/Logging_1904/tillsynsmail/A 54296-2023 tillsynsbegäran mail.docx", "A 54296-2023")</f>
        <v/>
      </c>
    </row>
    <row r="28" ht="15" customHeight="1">
      <c r="A28" t="inlineStr">
        <is>
          <t>A 20559-2026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46140</v>
      </c>
      <c r="E28" s="1" t="n">
        <v>46273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HYPERLINK("https://klasma.github.io/Logging_1904/artfynd/A 20559-2026 artfynd.xlsx", "A 20559-2026")</f>
        <v/>
      </c>
      <c r="X28">
        <f>HYPERLINK("https://klasma.github.io/Logging_1904/kartor/A 20559-2026 karta.png", "A 20559-2026")</f>
        <v/>
      </c>
      <c r="Y28">
        <f>HYPERLINK("https://klasma.github.io/Logging_1904/kartor_geotiff/A 20559-2026 georefererad karta.tif", "A 20559-2026")</f>
        <v/>
      </c>
      <c r="AA28">
        <f>HYPERLINK("https://klasma.github.io/Logging_1904/klagomål/A 20559-2026 FSC-klagomål.docx", "A 20559-2026")</f>
        <v/>
      </c>
      <c r="AB28">
        <f>HYPERLINK("https://klasma.github.io/Logging_1904/klagomålsmail/A 20559-2026 FSC-klagomål mail.docx", "A 20559-2026")</f>
        <v/>
      </c>
      <c r="AC28">
        <f>HYPERLINK("https://klasma.github.io/Logging_1904/tillsyn/A 20559-2026 tillsynsbegäran.docx", "A 20559-2026")</f>
        <v/>
      </c>
      <c r="AD28">
        <f>HYPERLINK("https://klasma.github.io/Logging_1904/tillsynsmail/A 20559-2026 tillsynsbegäran mail.docx", "A 20559-2026")</f>
        <v/>
      </c>
      <c r="AE28">
        <f>HYPERLINK("https://klasma.github.io/Logging_1904/fåglar/A 20559-2026 prioriterade fågelarter.docx", "A 20559-2026")</f>
        <v/>
      </c>
    </row>
    <row r="29" ht="15" customHeight="1">
      <c r="A29" t="inlineStr">
        <is>
          <t>A 47538-2025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46273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HYPERLINK("https://klasma.github.io/Logging_1904/artfynd/A 47538-2025 artfynd.xlsx", "A 47538-2025")</f>
        <v/>
      </c>
      <c r="X29">
        <f>HYPERLINK("https://klasma.github.io/Logging_1904/kartor/A 47538-2025 karta.png", "A 47538-2025")</f>
        <v/>
      </c>
      <c r="Y29">
        <f>HYPERLINK("https://klasma.github.io/Logging_1904/kartor_geotiff/A 47538-2025 georefererad karta.tif", "A 47538-2025")</f>
        <v/>
      </c>
      <c r="AA29">
        <f>HYPERLINK("https://klasma.github.io/Logging_1904/klagomål/A 47538-2025 FSC-klagomål.docx", "A 47538-2025")</f>
        <v/>
      </c>
      <c r="AB29">
        <f>HYPERLINK("https://klasma.github.io/Logging_1904/klagomålsmail/A 47538-2025 FSC-klagomål mail.docx", "A 47538-2025")</f>
        <v/>
      </c>
      <c r="AC29">
        <f>HYPERLINK("https://klasma.github.io/Logging_1904/tillsyn/A 47538-2025 tillsynsbegäran.docx", "A 47538-2025")</f>
        <v/>
      </c>
      <c r="AD29">
        <f>HYPERLINK("https://klasma.github.io/Logging_1904/tillsynsmail/A 47538-2025 tillsynsbegäran mail.docx", "A 47538-2025")</f>
        <v/>
      </c>
    </row>
    <row r="30" ht="15" customHeight="1">
      <c r="A30" t="inlineStr">
        <is>
          <t>A 21849-2026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46150</v>
      </c>
      <c r="E30" s="1" t="n">
        <v>46273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12.5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HYPERLINK("https://klasma.github.io/Logging_1904/artfynd/A 21849-2026 artfynd.xlsx", "A 21849-2026")</f>
        <v/>
      </c>
      <c r="X30">
        <f>HYPERLINK("https://klasma.github.io/Logging_1904/kartor/A 21849-2026 karta.png", "A 21849-2026")</f>
        <v/>
      </c>
      <c r="Y30">
        <f>HYPERLINK("https://klasma.github.io/Logging_1904/kartor_geotiff/A 21849-2026 georefererad karta.tif", "A 21849-2026")</f>
        <v/>
      </c>
      <c r="Z30">
        <f>HYPERLINK("https://klasma.github.io/Logging_1904/knärot/A 21849-2026 karta knärot.png", "A 21849-2026")</f>
        <v/>
      </c>
      <c r="AA30">
        <f>HYPERLINK("https://klasma.github.io/Logging_1904/klagomål/A 21849-2026 FSC-klagomål.docx", "A 21849-2026")</f>
        <v/>
      </c>
      <c r="AB30">
        <f>HYPERLINK("https://klasma.github.io/Logging_1904/klagomålsmail/A 21849-2026 FSC-klagomål mail.docx", "A 21849-2026")</f>
        <v/>
      </c>
      <c r="AC30">
        <f>HYPERLINK("https://klasma.github.io/Logging_1904/tillsyn/A 21849-2026 tillsynsbegäran.docx", "A 21849-2026")</f>
        <v/>
      </c>
      <c r="AD30">
        <f>HYPERLINK("https://klasma.github.io/Logging_1904/tillsynsmail/A 21849-2026 tillsynsbegäran mail.docx", "A 21849-2026")</f>
        <v/>
      </c>
    </row>
    <row r="31" ht="15" customHeight="1">
      <c r="A31" t="inlineStr">
        <is>
          <t>A 49630-2024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46273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7.3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HYPERLINK("https://klasma.github.io/Logging_1904/artfynd/A 49630-2024 artfynd.xlsx", "A 49630-2024")</f>
        <v/>
      </c>
      <c r="X31">
        <f>HYPERLINK("https://klasma.github.io/Logging_1904/kartor/A 49630-2024 karta.png", "A 49630-2024")</f>
        <v/>
      </c>
      <c r="Y31">
        <f>HYPERLINK("https://klasma.github.io/Logging_1904/kartor_geotiff/A 49630-2024 georefererad karta.tif", "A 49630-2024")</f>
        <v/>
      </c>
      <c r="AA31">
        <f>HYPERLINK("https://klasma.github.io/Logging_1904/klagomål/A 49630-2024 FSC-klagomål.docx", "A 49630-2024")</f>
        <v/>
      </c>
      <c r="AB31">
        <f>HYPERLINK("https://klasma.github.io/Logging_1904/klagomålsmail/A 49630-2024 FSC-klagomål mail.docx", "A 49630-2024")</f>
        <v/>
      </c>
      <c r="AC31">
        <f>HYPERLINK("https://klasma.github.io/Logging_1904/tillsyn/A 49630-2024 tillsynsbegäran.docx", "A 49630-2024")</f>
        <v/>
      </c>
      <c r="AD31">
        <f>HYPERLINK("https://klasma.github.io/Logging_1904/tillsynsmail/A 49630-2024 tillsynsbegäran mail.docx", "A 49630-2024")</f>
        <v/>
      </c>
    </row>
    <row r="32" ht="15" customHeight="1">
      <c r="A32" t="inlineStr">
        <is>
          <t>A 24492-2026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46170</v>
      </c>
      <c r="E32" s="1" t="n">
        <v>46273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24492-2026 artfynd.xlsx", "A 24492-2026")</f>
        <v/>
      </c>
      <c r="X32">
        <f>HYPERLINK("https://klasma.github.io/Logging_1904/kartor/A 24492-2026 karta.png", "A 24492-2026")</f>
        <v/>
      </c>
      <c r="Y32">
        <f>HYPERLINK("https://klasma.github.io/Logging_1904/kartor_geotiff/A 24492-2026 georefererad karta.tif", "A 24492-2026")</f>
        <v/>
      </c>
      <c r="AA32">
        <f>HYPERLINK("https://klasma.github.io/Logging_1904/klagomål/A 24492-2026 FSC-klagomål.docx", "A 24492-2026")</f>
        <v/>
      </c>
      <c r="AB32">
        <f>HYPERLINK("https://klasma.github.io/Logging_1904/klagomålsmail/A 24492-2026 FSC-klagomål mail.docx", "A 24492-2026")</f>
        <v/>
      </c>
      <c r="AC32">
        <f>HYPERLINK("https://klasma.github.io/Logging_1904/tillsyn/A 24492-2026 tillsynsbegäran.docx", "A 24492-2026")</f>
        <v/>
      </c>
      <c r="AD32">
        <f>HYPERLINK("https://klasma.github.io/Logging_1904/tillsynsmail/A 24492-2026 tillsynsbegäran mail.docx", "A 24492-2026")</f>
        <v/>
      </c>
      <c r="AE32">
        <f>HYPERLINK("https://klasma.github.io/Logging_1904/fåglar/A 24492-2026 prioriterade fågelarter.docx", "A 24492-2026")</f>
        <v/>
      </c>
    </row>
    <row r="33" ht="15" customHeight="1">
      <c r="A33" t="inlineStr">
        <is>
          <t>A 43413-2024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45568</v>
      </c>
      <c r="E33" s="1" t="n">
        <v>46273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Orange taggsvamp</t>
        </is>
      </c>
      <c r="W33">
        <f>HYPERLINK("https://klasma.github.io/Logging_1904/artfynd/A 43413-2024 artfynd.xlsx", "A 43413-2024")</f>
        <v/>
      </c>
      <c r="X33">
        <f>HYPERLINK("https://klasma.github.io/Logging_1904/kartor/A 43413-2024 karta.png", "A 43413-2024")</f>
        <v/>
      </c>
      <c r="Y33">
        <f>HYPERLINK("https://klasma.github.io/Logging_1904/kartor_geotiff/A 43413-2024 georefererad karta.tif", "A 43413-2024")</f>
        <v/>
      </c>
      <c r="AA33">
        <f>HYPERLINK("https://klasma.github.io/Logging_1904/klagomål/A 43413-2024 FSC-klagomål.docx", "A 43413-2024")</f>
        <v/>
      </c>
      <c r="AB33">
        <f>HYPERLINK("https://klasma.github.io/Logging_1904/klagomålsmail/A 43413-2024 FSC-klagomål mail.docx", "A 43413-2024")</f>
        <v/>
      </c>
      <c r="AC33">
        <f>HYPERLINK("https://klasma.github.io/Logging_1904/tillsyn/A 43413-2024 tillsynsbegäran.docx", "A 43413-2024")</f>
        <v/>
      </c>
      <c r="AD33">
        <f>HYPERLINK("https://klasma.github.io/Logging_1904/tillsynsmail/A 43413-2024 tillsynsbegäran mail.docx", "A 43413-2024")</f>
        <v/>
      </c>
    </row>
    <row r="34" ht="15" customHeight="1">
      <c r="A34" t="inlineStr">
        <is>
          <t>A 24944-2026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46273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8.4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Garnlav</t>
        </is>
      </c>
      <c r="W34">
        <f>HYPERLINK("https://klasma.github.io/Logging_1904/artfynd/A 24944-2026 artfynd.xlsx", "A 24944-2026")</f>
        <v/>
      </c>
      <c r="X34">
        <f>HYPERLINK("https://klasma.github.io/Logging_1904/kartor/A 24944-2026 karta.png", "A 24944-2026")</f>
        <v/>
      </c>
      <c r="Y34">
        <f>HYPERLINK("https://klasma.github.io/Logging_1904/kartor_geotiff/A 24944-2026 georefererad karta.tif", "A 24944-2026")</f>
        <v/>
      </c>
      <c r="AA34">
        <f>HYPERLINK("https://klasma.github.io/Logging_1904/klagomål/A 24944-2026 FSC-klagomål.docx", "A 24944-2026")</f>
        <v/>
      </c>
      <c r="AB34">
        <f>HYPERLINK("https://klasma.github.io/Logging_1904/klagomålsmail/A 24944-2026 FSC-klagomål mail.docx", "A 24944-2026")</f>
        <v/>
      </c>
      <c r="AC34">
        <f>HYPERLINK("https://klasma.github.io/Logging_1904/tillsyn/A 24944-2026 tillsynsbegäran.docx", "A 24944-2026")</f>
        <v/>
      </c>
      <c r="AD34">
        <f>HYPERLINK("https://klasma.github.io/Logging_1904/tillsynsmail/A 24944-2026 tillsynsbegäran mail.docx", "A 24944-2026")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46273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Nattskärra</t>
        </is>
      </c>
      <c r="W35">
        <f>HYPERLINK("https://klasma.github.io/Logging_1904/artfynd/A 33435-2024 artfynd.xlsx", "A 33435-2024")</f>
        <v/>
      </c>
      <c r="X35">
        <f>HYPERLINK("https://klasma.github.io/Logging_1904/kartor/A 33435-2024 karta.png", "A 33435-2024")</f>
        <v/>
      </c>
      <c r="Y35">
        <f>HYPERLINK("https://klasma.github.io/Logging_1904/kartor_geotiff/A 33435-2024 georefererad karta.tif", "A 33435-2024")</f>
        <v/>
      </c>
      <c r="AA35">
        <f>HYPERLINK("https://klasma.github.io/Logging_1904/klagomål/A 33435-2024 FSC-klagomål.docx", "A 33435-2024")</f>
        <v/>
      </c>
      <c r="AB35">
        <f>HYPERLINK("https://klasma.github.io/Logging_1904/klagomålsmail/A 33435-2024 FSC-klagomål mail.docx", "A 33435-2024")</f>
        <v/>
      </c>
      <c r="AC35">
        <f>HYPERLINK("https://klasma.github.io/Logging_1904/tillsyn/A 33435-2024 tillsynsbegäran.docx", "A 33435-2024")</f>
        <v/>
      </c>
      <c r="AD35">
        <f>HYPERLINK("https://klasma.github.io/Logging_1904/tillsynsmail/A 33435-2024 tillsynsbegäran mail.docx", "A 33435-2024")</f>
        <v/>
      </c>
      <c r="AE35">
        <f>HYPERLINK("https://klasma.github.io/Logging_1904/fåglar/A 33435-2024 prioriterade fågelarter.docx", "A 33435-2024")</f>
        <v/>
      </c>
    </row>
    <row r="36" ht="15" customHeight="1">
      <c r="A36" t="inlineStr">
        <is>
          <t>A 57395-2025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46273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HYPERLINK("https://klasma.github.io/Logging_1904/artfynd/A 57395-2025 artfynd.xlsx", "A 57395-2025")</f>
        <v/>
      </c>
      <c r="X36">
        <f>HYPERLINK("https://klasma.github.io/Logging_1904/kartor/A 57395-2025 karta.png", "A 57395-2025")</f>
        <v/>
      </c>
      <c r="Y36">
        <f>HYPERLINK("https://klasma.github.io/Logging_1904/kartor_geotiff/A 57395-2025 georefererad karta.tif", "A 57395-2025")</f>
        <v/>
      </c>
      <c r="AA36">
        <f>HYPERLINK("https://klasma.github.io/Logging_1904/klagomål/A 57395-2025 FSC-klagomål.docx", "A 57395-2025")</f>
        <v/>
      </c>
      <c r="AB36">
        <f>HYPERLINK("https://klasma.github.io/Logging_1904/klagomålsmail/A 57395-2025 FSC-klagomål mail.docx", "A 57395-2025")</f>
        <v/>
      </c>
      <c r="AC36">
        <f>HYPERLINK("https://klasma.github.io/Logging_1904/tillsyn/A 57395-2025 tillsynsbegäran.docx", "A 57395-2025")</f>
        <v/>
      </c>
      <c r="AD36">
        <f>HYPERLINK("https://klasma.github.io/Logging_1904/tillsynsmail/A 57395-2025 tillsynsbegäran mail.docx", "A 57395-2025")</f>
        <v/>
      </c>
    </row>
    <row r="37" ht="15" customHeight="1">
      <c r="A37" t="inlineStr">
        <is>
          <t>A 12024-2023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44995</v>
      </c>
      <c r="E37" s="1" t="n">
        <v>46273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HYPERLINK("https://klasma.github.io/Logging_1904/artfynd/A 12024-2023 artfynd.xlsx", "A 12024-2023")</f>
        <v/>
      </c>
      <c r="X37">
        <f>HYPERLINK("https://klasma.github.io/Logging_1904/kartor/A 12024-2023 karta.png", "A 12024-2023")</f>
        <v/>
      </c>
      <c r="Y37">
        <f>HYPERLINK("https://klasma.github.io/Logging_1904/kartor_geotiff/A 12024-2023 georefererad karta.tif", "A 12024-2023")</f>
        <v/>
      </c>
      <c r="AA37">
        <f>HYPERLINK("https://klasma.github.io/Logging_1904/klagomål/A 12024-2023 FSC-klagomål.docx", "A 12024-2023")</f>
        <v/>
      </c>
      <c r="AB37">
        <f>HYPERLINK("https://klasma.github.io/Logging_1904/klagomålsmail/A 12024-2023 FSC-klagomål mail.docx", "A 12024-2023")</f>
        <v/>
      </c>
      <c r="AC37">
        <f>HYPERLINK("https://klasma.github.io/Logging_1904/tillsyn/A 12024-2023 tillsynsbegäran.docx", "A 12024-2023")</f>
        <v/>
      </c>
      <c r="AD37">
        <f>HYPERLINK("https://klasma.github.io/Logging_1904/tillsynsmail/A 12024-2023 tillsynsbegäran mail.docx", "A 12024-2023")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46273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Kungsörn</t>
        </is>
      </c>
      <c r="W38">
        <f>HYPERLINK("https://klasma.github.io/Logging_1904/artfynd/A 26860-2026 artfynd.xlsx", "A 26860-2026")</f>
        <v/>
      </c>
      <c r="X38">
        <f>HYPERLINK("https://klasma.github.io/Logging_1904/kartor/A 26860-2026 karta.png", "A 26860-2026")</f>
        <v/>
      </c>
      <c r="Y38">
        <f>HYPERLINK("https://klasma.github.io/Logging_1904/kartor_geotiff/A 26860-2026 georefererad karta.tif", "A 26860-2026")</f>
        <v/>
      </c>
      <c r="AA38">
        <f>HYPERLINK("https://klasma.github.io/Logging_1904/klagomål/A 26860-2026 FSC-klagomål.docx", "A 26860-2026")</f>
        <v/>
      </c>
      <c r="AB38">
        <f>HYPERLINK("https://klasma.github.io/Logging_1904/klagomålsmail/A 26860-2026 FSC-klagomål mail.docx", "A 26860-2026")</f>
        <v/>
      </c>
      <c r="AC38">
        <f>HYPERLINK("https://klasma.github.io/Logging_1904/tillsyn/A 26860-2026 tillsynsbegäran.docx", "A 26860-2026")</f>
        <v/>
      </c>
      <c r="AD38">
        <f>HYPERLINK("https://klasma.github.io/Logging_1904/tillsynsmail/A 26860-2026 tillsynsbegäran mail.docx", "A 26860-2026")</f>
        <v/>
      </c>
      <c r="AE38">
        <f>HYPERLINK("https://klasma.github.io/Logging_1904/fåglar/A 26860-2026 prioriterade fågelarter.docx", "A 26860-2026")</f>
        <v/>
      </c>
    </row>
    <row r="39" ht="15" customHeight="1">
      <c r="A39" t="inlineStr">
        <is>
          <t>A 19205-2024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46273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Järpe</t>
        </is>
      </c>
      <c r="W39">
        <f>HYPERLINK("https://klasma.github.io/Logging_1904/artfynd/A 19205-2024 artfynd.xlsx", "A 19205-2024")</f>
        <v/>
      </c>
      <c r="X39">
        <f>HYPERLINK("https://klasma.github.io/Logging_1904/kartor/A 19205-2024 karta.png", "A 19205-2024")</f>
        <v/>
      </c>
      <c r="Y39">
        <f>HYPERLINK("https://klasma.github.io/Logging_1904/kartor_geotiff/A 19205-2024 georefererad karta.tif", "A 19205-2024")</f>
        <v/>
      </c>
      <c r="AA39">
        <f>HYPERLINK("https://klasma.github.io/Logging_1904/klagomål/A 19205-2024 FSC-klagomål.docx", "A 19205-2024")</f>
        <v/>
      </c>
      <c r="AB39">
        <f>HYPERLINK("https://klasma.github.io/Logging_1904/klagomålsmail/A 19205-2024 FSC-klagomål mail.docx", "A 19205-2024")</f>
        <v/>
      </c>
      <c r="AC39">
        <f>HYPERLINK("https://klasma.github.io/Logging_1904/tillsyn/A 19205-2024 tillsynsbegäran.docx", "A 19205-2024")</f>
        <v/>
      </c>
      <c r="AD39">
        <f>HYPERLINK("https://klasma.github.io/Logging_1904/tillsynsmail/A 19205-2024 tillsynsbegäran mail.docx", "A 19205-2024")</f>
        <v/>
      </c>
      <c r="AE39">
        <f>HYPERLINK("https://klasma.github.io/Logging_1904/fåglar/A 19205-2024 prioriterade fågelarter.docx", "A 19205-2024")</f>
        <v/>
      </c>
    </row>
    <row r="40" ht="15" customHeight="1">
      <c r="A40" t="inlineStr">
        <is>
          <t>A 34303-2026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46254</v>
      </c>
      <c r="E40" s="1" t="n">
        <v>46273</v>
      </c>
      <c r="F40" t="inlineStr">
        <is>
          <t>VÄSTMANLANDS LÄN</t>
        </is>
      </c>
      <c r="G40" t="inlineStr">
        <is>
          <t>SKINNSKATTEBERG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HYPERLINK("https://klasma.github.io/Logging_1904/artfynd/A 34303-2026 artfynd.xlsx", "A 34303-2026")</f>
        <v/>
      </c>
      <c r="X40">
        <f>HYPERLINK("https://klasma.github.io/Logging_1904/kartor/A 34303-2026 karta.png", "A 34303-2026")</f>
        <v/>
      </c>
      <c r="Y40">
        <f>HYPERLINK("https://klasma.github.io/Logging_1904/kartor_geotiff/A 34303-2026 georefererad karta.tif", "A 34303-2026")</f>
        <v/>
      </c>
      <c r="AA40">
        <f>HYPERLINK("https://klasma.github.io/Logging_1904/klagomål/A 34303-2026 FSC-klagomål.docx", "A 34303-2026")</f>
        <v/>
      </c>
      <c r="AB40">
        <f>HYPERLINK("https://klasma.github.io/Logging_1904/klagomålsmail/A 34303-2026 FSC-klagomål mail.docx", "A 34303-2026")</f>
        <v/>
      </c>
      <c r="AC40">
        <f>HYPERLINK("https://klasma.github.io/Logging_1904/tillsyn/A 34303-2026 tillsynsbegäran.docx", "A 34303-2026")</f>
        <v/>
      </c>
      <c r="AD40">
        <f>HYPERLINK("https://klasma.github.io/Logging_1904/tillsynsmail/A 34303-2026 tillsynsbegäran mail.docx", "A 34303-2026")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46273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HYPERLINK("https://klasma.github.io/Logging_1904/artfynd/A 30579-2026 artfynd.xlsx", "A 30579-2026")</f>
        <v/>
      </c>
      <c r="X41">
        <f>HYPERLINK("https://klasma.github.io/Logging_1904/kartor/A 30579-2026 karta.png", "A 30579-2026")</f>
        <v/>
      </c>
      <c r="Y41">
        <f>HYPERLINK("https://klasma.github.io/Logging_1904/kartor_geotiff/A 30579-2026 georefererad karta.tif", "A 30579-2026")</f>
        <v/>
      </c>
      <c r="AA41">
        <f>HYPERLINK("https://klasma.github.io/Logging_1904/klagomål/A 30579-2026 FSC-klagomål.docx", "A 30579-2026")</f>
        <v/>
      </c>
      <c r="AB41">
        <f>HYPERLINK("https://klasma.github.io/Logging_1904/klagomålsmail/A 30579-2026 FSC-klagomål mail.docx", "A 30579-2026")</f>
        <v/>
      </c>
      <c r="AC41">
        <f>HYPERLINK("https://klasma.github.io/Logging_1904/tillsyn/A 30579-2026 tillsynsbegäran.docx", "A 30579-2026")</f>
        <v/>
      </c>
      <c r="AD41">
        <f>HYPERLINK("https://klasma.github.io/Logging_1904/tillsynsmail/A 30579-2026 tillsynsbegäran mail.docx", "A 30579-2026")</f>
        <v/>
      </c>
    </row>
    <row r="42" ht="15" customHeight="1">
      <c r="A42" t="inlineStr">
        <is>
          <t>A 15734-2026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46107</v>
      </c>
      <c r="E42" s="1" t="n">
        <v>46273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Koppartaggsvamp</t>
        </is>
      </c>
      <c r="W42">
        <f>HYPERLINK("https://klasma.github.io/Logging_1904/artfynd/A 15734-2026 artfynd.xlsx", "A 15734-2026")</f>
        <v/>
      </c>
      <c r="X42">
        <f>HYPERLINK("https://klasma.github.io/Logging_1904/kartor/A 15734-2026 karta.png", "A 15734-2026")</f>
        <v/>
      </c>
      <c r="Y42">
        <f>HYPERLINK("https://klasma.github.io/Logging_1904/kartor_geotiff/A 15734-2026 georefererad karta.tif", "A 15734-2026")</f>
        <v/>
      </c>
      <c r="AA42">
        <f>HYPERLINK("https://klasma.github.io/Logging_1904/klagomål/A 15734-2026 FSC-klagomål.docx", "A 15734-2026")</f>
        <v/>
      </c>
      <c r="AB42">
        <f>HYPERLINK("https://klasma.github.io/Logging_1904/klagomålsmail/A 15734-2026 FSC-klagomål mail.docx", "A 15734-2026")</f>
        <v/>
      </c>
      <c r="AC42">
        <f>HYPERLINK("https://klasma.github.io/Logging_1904/tillsyn/A 15734-2026 tillsynsbegäran.docx", "A 15734-2026")</f>
        <v/>
      </c>
      <c r="AD42">
        <f>HYPERLINK("https://klasma.github.io/Logging_1904/tillsynsmail/A 15734-2026 tillsynsbegäran mail.docx", "A 15734-2026")</f>
        <v/>
      </c>
    </row>
    <row r="43" ht="15" customHeight="1">
      <c r="A43" t="inlineStr">
        <is>
          <t>A 35371-2026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46273</v>
      </c>
      <c r="F43" t="inlineStr">
        <is>
          <t>VÄSTMANLANDS LÄN</t>
        </is>
      </c>
      <c r="G43" t="inlineStr">
        <is>
          <t>SKINNSKATTEBERG</t>
        </is>
      </c>
      <c r="I43" t="n">
        <v>1.3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HYPERLINK("https://klasma.github.io/Logging_1904/artfynd/A 35371-2026 artfynd.xlsx", "A 35371-2026")</f>
        <v/>
      </c>
      <c r="X43">
        <f>HYPERLINK("https://klasma.github.io/Logging_1904/kartor/A 35371-2026 karta.png", "A 35371-2026")</f>
        <v/>
      </c>
      <c r="Y43">
        <f>HYPERLINK("https://klasma.github.io/Logging_1904/kartor_geotiff/A 35371-2026 georefererad karta.tif", "A 35371-2026")</f>
        <v/>
      </c>
      <c r="AA43">
        <f>HYPERLINK("https://klasma.github.io/Logging_1904/klagomål/A 35371-2026 FSC-klagomål.docx", "A 35371-2026")</f>
        <v/>
      </c>
      <c r="AB43">
        <f>HYPERLINK("https://klasma.github.io/Logging_1904/klagomålsmail/A 35371-2026 FSC-klagomål mail.docx", "A 35371-2026")</f>
        <v/>
      </c>
      <c r="AC43">
        <f>HYPERLINK("https://klasma.github.io/Logging_1904/tillsyn/A 35371-2026 tillsynsbegäran.docx", "A 35371-2026")</f>
        <v/>
      </c>
      <c r="AD43">
        <f>HYPERLINK("https://klasma.github.io/Logging_1904/tillsynsmail/A 35371-2026 tillsynsbegäran mail.docx", "A 35371-2026")</f>
        <v/>
      </c>
      <c r="AE43">
        <f>HYPERLINK("https://klasma.github.io/Logging_1904/fåglar/A 35371-2026 prioriterade fågelarter.docx", "A 35371-2026")</f>
        <v/>
      </c>
    </row>
    <row r="44" ht="15" customHeight="1">
      <c r="A44" t="inlineStr">
        <is>
          <t>A 36263-2026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46273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Lopplummer (aggregat)</t>
        </is>
      </c>
      <c r="W44">
        <f>HYPERLINK("https://klasma.github.io/Logging_1904/artfynd/A 36263-2026 artfynd.xlsx", "A 36263-2026")</f>
        <v/>
      </c>
      <c r="X44">
        <f>HYPERLINK("https://klasma.github.io/Logging_1904/kartor/A 36263-2026 karta.png", "A 36263-2026")</f>
        <v/>
      </c>
      <c r="Y44">
        <f>HYPERLINK("https://klasma.github.io/Logging_1904/kartor_geotiff/A 36263-2026 georefererad karta.tif", "A 36263-2026")</f>
        <v/>
      </c>
      <c r="AA44">
        <f>HYPERLINK("https://klasma.github.io/Logging_1904/klagomål/A 36263-2026 FSC-klagomål.docx", "A 36263-2026")</f>
        <v/>
      </c>
      <c r="AB44">
        <f>HYPERLINK("https://klasma.github.io/Logging_1904/klagomålsmail/A 36263-2026 FSC-klagomål mail.docx", "A 36263-2026")</f>
        <v/>
      </c>
      <c r="AC44">
        <f>HYPERLINK("https://klasma.github.io/Logging_1904/tillsyn/A 36263-2026 tillsynsbegäran.docx", "A 36263-2026")</f>
        <v/>
      </c>
      <c r="AD44">
        <f>HYPERLINK("https://klasma.github.io/Logging_1904/tillsynsmail/A 36263-2026 tillsynsbegäran mail.docx", "A 36263-2026")</f>
        <v/>
      </c>
    </row>
    <row r="45" ht="15" customHeight="1">
      <c r="A45" t="inlineStr">
        <is>
          <t>A 28312-2023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46273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HYPERLINK("https://klasma.github.io/Logging_1904/artfynd/A 28312-2023 artfynd.xlsx", "A 28312-2023")</f>
        <v/>
      </c>
      <c r="X45">
        <f>HYPERLINK("https://klasma.github.io/Logging_1904/kartor/A 28312-2023 karta.png", "A 28312-2023")</f>
        <v/>
      </c>
      <c r="Y45">
        <f>HYPERLINK("https://klasma.github.io/Logging_1904/kartor_geotiff/A 28312-2023 georefererad karta.tif", "A 28312-2023")</f>
        <v/>
      </c>
      <c r="AA45">
        <f>HYPERLINK("https://klasma.github.io/Logging_1904/klagomål/A 28312-2023 FSC-klagomål.docx", "A 28312-2023")</f>
        <v/>
      </c>
      <c r="AB45">
        <f>HYPERLINK("https://klasma.github.io/Logging_1904/klagomålsmail/A 28312-2023 FSC-klagomål mail.docx", "A 28312-2023")</f>
        <v/>
      </c>
      <c r="AC45">
        <f>HYPERLINK("https://klasma.github.io/Logging_1904/tillsyn/A 28312-2023 tillsynsbegäran.docx", "A 28312-2023")</f>
        <v/>
      </c>
      <c r="AD45">
        <f>HYPERLINK("https://klasma.github.io/Logging_1904/tillsynsmail/A 28312-2023 tillsynsbegäran mail.docx", "A 28312-2023")</f>
        <v/>
      </c>
    </row>
    <row r="46" ht="15" customHeight="1">
      <c r="A46" t="inlineStr">
        <is>
          <t>A 57747-2023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45246</v>
      </c>
      <c r="E46" s="1" t="n">
        <v>46273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Myopa fasciata</t>
        </is>
      </c>
      <c r="W46">
        <f>HYPERLINK("https://klasma.github.io/Logging_1904/artfynd/A 57747-2023 artfynd.xlsx", "A 57747-2023")</f>
        <v/>
      </c>
      <c r="X46">
        <f>HYPERLINK("https://klasma.github.io/Logging_1904/kartor/A 57747-2023 karta.png", "A 57747-2023")</f>
        <v/>
      </c>
      <c r="Y46">
        <f>HYPERLINK("https://klasma.github.io/Logging_1904/kartor_geotiff/A 57747-2023 georefererad karta.tif", "A 57747-2023")</f>
        <v/>
      </c>
      <c r="AA46">
        <f>HYPERLINK("https://klasma.github.io/Logging_1904/klagomål/A 57747-2023 FSC-klagomål.docx", "A 57747-2023")</f>
        <v/>
      </c>
      <c r="AB46">
        <f>HYPERLINK("https://klasma.github.io/Logging_1904/klagomålsmail/A 57747-2023 FSC-klagomål mail.docx", "A 57747-2023")</f>
        <v/>
      </c>
      <c r="AC46">
        <f>HYPERLINK("https://klasma.github.io/Logging_1904/tillsyn/A 57747-2023 tillsynsbegäran.docx", "A 57747-2023")</f>
        <v/>
      </c>
      <c r="AD46">
        <f>HYPERLINK("https://klasma.github.io/Logging_1904/tillsynsmail/A 57747-2023 tillsynsbegäran mail.docx", "A 57747-2023")</f>
        <v/>
      </c>
    </row>
    <row r="47" ht="15" customHeight="1">
      <c r="A47" t="inlineStr">
        <is>
          <t>A 31006-2025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45832</v>
      </c>
      <c r="E47" s="1" t="n">
        <v>46273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HYPERLINK("https://klasma.github.io/Logging_1904/artfynd/A 31006-2025 artfynd.xlsx", "A 31006-2025")</f>
        <v/>
      </c>
      <c r="X47">
        <f>HYPERLINK("https://klasma.github.io/Logging_1904/kartor/A 31006-2025 karta.png", "A 31006-2025")</f>
        <v/>
      </c>
      <c r="Y47">
        <f>HYPERLINK("https://klasma.github.io/Logging_1904/kartor_geotiff/A 31006-2025 georefererad karta.tif", "A 31006-2025")</f>
        <v/>
      </c>
      <c r="AA47">
        <f>HYPERLINK("https://klasma.github.io/Logging_1904/klagomål/A 31006-2025 FSC-klagomål.docx", "A 31006-2025")</f>
        <v/>
      </c>
      <c r="AB47">
        <f>HYPERLINK("https://klasma.github.io/Logging_1904/klagomålsmail/A 31006-2025 FSC-klagomål mail.docx", "A 31006-2025")</f>
        <v/>
      </c>
      <c r="AC47">
        <f>HYPERLINK("https://klasma.github.io/Logging_1904/tillsyn/A 31006-2025 tillsynsbegäran.docx", "A 31006-2025")</f>
        <v/>
      </c>
      <c r="AD47">
        <f>HYPERLINK("https://klasma.github.io/Logging_1904/tillsynsmail/A 31006-2025 tillsynsbegäran mail.docx", "A 31006-2025")</f>
        <v/>
      </c>
      <c r="AE47">
        <f>HYPERLINK("https://klasma.github.io/Logging_1904/fåglar/A 31006-2025 prioriterade fågelarter.docx", "A 31006-2025")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46273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46273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46273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46273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46273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46273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46273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46273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46273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46273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46273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46273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46273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46273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46273</v>
      </c>
      <c r="F62" t="inlineStr">
        <is>
          <t>VÄSTMANLANDS LÄN</t>
        </is>
      </c>
      <c r="G62" t="inlineStr">
        <is>
          <t>SKINNSKATTEBERG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46273</v>
      </c>
      <c r="F63" t="inlineStr">
        <is>
          <t>VÄSTMANLANDS LÄN</t>
        </is>
      </c>
      <c r="G63" t="inlineStr">
        <is>
          <t>SKINNSKATTEBERG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46273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46273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46273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46273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46273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46273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46273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46273</v>
      </c>
      <c r="F71" t="inlineStr">
        <is>
          <t>VÄSTMANLANDS LÄN</t>
        </is>
      </c>
      <c r="G71" t="inlineStr">
        <is>
          <t>SKINNSKATTEBERG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46273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46273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45082</v>
      </c>
      <c r="E74" s="1" t="n">
        <v>46273</v>
      </c>
      <c r="F74" t="inlineStr">
        <is>
          <t>VÄSTMANLANDS LÄN</t>
        </is>
      </c>
      <c r="G74" t="inlineStr">
        <is>
          <t>SKINNSKATTEBERG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46273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56921-2023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46273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Kyrkan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20248-2024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45434</v>
      </c>
      <c r="E77" s="1" t="n">
        <v>46273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46273</v>
      </c>
      <c r="F78" t="inlineStr">
        <is>
          <t>VÄSTMANLANDS LÄN</t>
        </is>
      </c>
      <c r="G78" t="inlineStr">
        <is>
          <t>SKINNSKATTEBERG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46273</v>
      </c>
      <c r="F79" t="inlineStr">
        <is>
          <t>VÄSTMANLANDS LÄN</t>
        </is>
      </c>
      <c r="G79" t="inlineStr">
        <is>
          <t>SKINNSKATTEBERG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16729-2024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45410</v>
      </c>
      <c r="E80" s="1" t="n">
        <v>46273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45447</v>
      </c>
      <c r="E81" s="1" t="n">
        <v>46273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46273</v>
      </c>
      <c r="F82" t="inlineStr">
        <is>
          <t>VÄSTMANLANDS LÄN</t>
        </is>
      </c>
      <c r="G82" t="inlineStr">
        <is>
          <t>SKINNSKATTEBERG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46273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45247</v>
      </c>
      <c r="E84" s="1" t="n">
        <v>46273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46273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46273</v>
      </c>
      <c r="F86" t="inlineStr">
        <is>
          <t>VÄSTMANLANDS LÄN</t>
        </is>
      </c>
      <c r="G86" t="inlineStr">
        <is>
          <t>SKINNSKATTEBERG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46273</v>
      </c>
      <c r="F87" t="inlineStr">
        <is>
          <t>VÄSTMANLANDS LÄN</t>
        </is>
      </c>
      <c r="G87" t="inlineStr">
        <is>
          <t>SKINNSKATTEBERG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55428-2021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44475</v>
      </c>
      <c r="E88" s="1" t="n">
        <v>46273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46273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45406</v>
      </c>
      <c r="E90" s="1" t="n">
        <v>46273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46273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31302-2024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45504</v>
      </c>
      <c r="E92" s="1" t="n">
        <v>46273</v>
      </c>
      <c r="F92" t="inlineStr">
        <is>
          <t>VÄSTMANLANDS LÄN</t>
        </is>
      </c>
      <c r="G92" t="inlineStr">
        <is>
          <t>SKINNSKATTEBERG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46273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45555</v>
      </c>
      <c r="E94" s="1" t="n">
        <v>46273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40176-2024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46273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46273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44967</v>
      </c>
      <c r="E97" s="1" t="n">
        <v>46273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46273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Kyrkan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46273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45156</v>
      </c>
      <c r="E100" s="1" t="n">
        <v>46273</v>
      </c>
      <c r="F100" t="inlineStr">
        <is>
          <t>VÄSTMANLANDS LÄN</t>
        </is>
      </c>
      <c r="G100" t="inlineStr">
        <is>
          <t>SKINNSKATTEBERG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46273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15184-2025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45744</v>
      </c>
      <c r="E102" s="1" t="n">
        <v>46273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45609</v>
      </c>
      <c r="E103" s="1" t="n">
        <v>46273</v>
      </c>
      <c r="F103" t="inlineStr">
        <is>
          <t>VÄSTMANLANDS LÄN</t>
        </is>
      </c>
      <c r="G103" t="inlineStr">
        <is>
          <t>SKINNSKATTEBERG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45604</v>
      </c>
      <c r="E104" s="1" t="n">
        <v>46273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44993</v>
      </c>
      <c r="E105" s="1" t="n">
        <v>46273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46273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52696-2024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46273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46273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36248-2024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46273</v>
      </c>
      <c r="F109" t="inlineStr">
        <is>
          <t>VÄSTMANLANDS LÄN</t>
        </is>
      </c>
      <c r="G109" t="inlineStr">
        <is>
          <t>SKINNSKATTEBERG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46273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20563-2026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46140</v>
      </c>
      <c r="E111" s="1" t="n">
        <v>46273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46273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22611-2024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46273</v>
      </c>
      <c r="F113" t="inlineStr">
        <is>
          <t>VÄSTMANLANDS LÄN</t>
        </is>
      </c>
      <c r="G113" t="inlineStr">
        <is>
          <t>SKINNSKATTEBERG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40782-2025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45897</v>
      </c>
      <c r="E114" s="1" t="n">
        <v>46273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46273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46273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46273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46273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46273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40776-2025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45897</v>
      </c>
      <c r="E120" s="1" t="n">
        <v>46273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46273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30988-2022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46273</v>
      </c>
      <c r="F122" t="inlineStr">
        <is>
          <t>VÄSTMANLANDS LÄN</t>
        </is>
      </c>
      <c r="G122" t="inlineStr">
        <is>
          <t>SKINNSKATTEBERG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46273</v>
      </c>
      <c r="F123" t="inlineStr">
        <is>
          <t>VÄSTMANLANDS LÄN</t>
        </is>
      </c>
      <c r="G123" t="inlineStr">
        <is>
          <t>SKINNSKATTEBERG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46273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46273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46273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46273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44184-2025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45915</v>
      </c>
      <c r="E128" s="1" t="n">
        <v>46273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46273</v>
      </c>
      <c r="F129" t="inlineStr">
        <is>
          <t>VÄSTMANLANDS LÄN</t>
        </is>
      </c>
      <c r="G129" t="inlineStr">
        <is>
          <t>SKINNSKATTEBERG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41581-2025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45901</v>
      </c>
      <c r="E130" s="1" t="n">
        <v>46273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46273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46273</v>
      </c>
      <c r="F132" t="inlineStr">
        <is>
          <t>VÄSTMANLANDS LÄN</t>
        </is>
      </c>
      <c r="G132" t="inlineStr">
        <is>
          <t>SKINNSKATTEBERG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20848-2026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46142</v>
      </c>
      <c r="E133" s="1" t="n">
        <v>46273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46273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46273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46273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46273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46273</v>
      </c>
      <c r="F138" t="inlineStr">
        <is>
          <t>VÄSTMANLANDS LÄN</t>
        </is>
      </c>
      <c r="G138" t="inlineStr">
        <is>
          <t>SKINNSKATTEBERG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45586</v>
      </c>
      <c r="E139" s="1" t="n">
        <v>46273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45485</v>
      </c>
      <c r="E140" s="1" t="n">
        <v>46273</v>
      </c>
      <c r="F140" t="inlineStr">
        <is>
          <t>VÄSTMANLANDS LÄN</t>
        </is>
      </c>
      <c r="G140" t="inlineStr">
        <is>
          <t>SKINNSKATTEBERG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46142</v>
      </c>
      <c r="E141" s="1" t="n">
        <v>46273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46142</v>
      </c>
      <c r="E142" s="1" t="n">
        <v>46273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46142</v>
      </c>
      <c r="E143" s="1" t="n">
        <v>46273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46142</v>
      </c>
      <c r="E144" s="1" t="n">
        <v>46273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46273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46142</v>
      </c>
      <c r="E146" s="1" t="n">
        <v>46273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46273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46273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46273</v>
      </c>
      <c r="F149" t="inlineStr">
        <is>
          <t>VÄSTMANLANDS LÄN</t>
        </is>
      </c>
      <c r="G149" t="inlineStr">
        <is>
          <t>SKINNSKATTEBERG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21848-2026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46150</v>
      </c>
      <c r="E150" s="1" t="n">
        <v>46273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46273</v>
      </c>
      <c r="F151" t="inlineStr">
        <is>
          <t>VÄSTMANLANDS LÄN</t>
        </is>
      </c>
      <c r="G151" t="inlineStr">
        <is>
          <t>SKINNSKATTEBERG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46273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46273</v>
      </c>
      <c r="F153" t="inlineStr">
        <is>
          <t>VÄSTMANLANDS LÄN</t>
        </is>
      </c>
      <c r="G153" t="inlineStr">
        <is>
          <t>SKINNSKATTEBERG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53183-2021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44468</v>
      </c>
      <c r="E154" s="1" t="n">
        <v>46273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46273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22779-2026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46157</v>
      </c>
      <c r="E156" s="1" t="n">
        <v>46273</v>
      </c>
      <c r="F156" t="inlineStr">
        <is>
          <t>VÄSTMANLANDS LÄN</t>
        </is>
      </c>
      <c r="G156" t="inlineStr">
        <is>
          <t>SKINNSKATTEBERG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45947</v>
      </c>
      <c r="E157" s="1" t="n">
        <v>46273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46273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46273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45947</v>
      </c>
      <c r="E160" s="1" t="n">
        <v>46273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52600-2021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46273</v>
      </c>
      <c r="F161" t="inlineStr">
        <is>
          <t>VÄSTMANLANDS LÄN</t>
        </is>
      </c>
      <c r="G161" t="inlineStr">
        <is>
          <t>SKINNSKATTEBERG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45406</v>
      </c>
      <c r="E162" s="1" t="n">
        <v>46273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52018-2025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46273</v>
      </c>
      <c r="F163" t="inlineStr">
        <is>
          <t>VÄSTMANLANDS LÄN</t>
        </is>
      </c>
      <c r="G163" t="inlineStr">
        <is>
          <t>SKINNSKATTEBERG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45264</v>
      </c>
      <c r="E164" s="1" t="n">
        <v>46273</v>
      </c>
      <c r="F164" t="inlineStr">
        <is>
          <t>VÄSTMANLANDS LÄN</t>
        </is>
      </c>
      <c r="G164" t="inlineStr">
        <is>
          <t>SKINNSKATTEBERG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46273</v>
      </c>
      <c r="F165" t="inlineStr">
        <is>
          <t>VÄSTMANLANDS LÄN</t>
        </is>
      </c>
      <c r="G165" t="inlineStr">
        <is>
          <t>SKINNSKATTEBERG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46273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46273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46273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46273</v>
      </c>
      <c r="F169" t="inlineStr">
        <is>
          <t>VÄSTMANLANDS LÄN</t>
        </is>
      </c>
      <c r="G169" t="inlineStr">
        <is>
          <t>SKINNSKATTEBERG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46273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46273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46273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46273</v>
      </c>
      <c r="F173" t="inlineStr">
        <is>
          <t>VÄSTMANLANDS LÄN</t>
        </is>
      </c>
      <c r="G173" t="inlineStr">
        <is>
          <t>SKINNSKATTEBERG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46273</v>
      </c>
      <c r="F174" t="inlineStr">
        <is>
          <t>VÄSTMANLANDS LÄN</t>
        </is>
      </c>
      <c r="G174" t="inlineStr">
        <is>
          <t>SKINNSKATTEBERG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46273</v>
      </c>
      <c r="F175" t="inlineStr">
        <is>
          <t>VÄSTMANLANDS LÄN</t>
        </is>
      </c>
      <c r="G175" t="inlineStr">
        <is>
          <t>SKINNSKATTEBERG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45555</v>
      </c>
      <c r="E176" s="1" t="n">
        <v>46273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45128</v>
      </c>
      <c r="E177" s="1" t="n">
        <v>46273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46273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46273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46273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46273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46273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46273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46273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46273</v>
      </c>
      <c r="F185" t="inlineStr">
        <is>
          <t>VÄSTMANLANDS LÄN</t>
        </is>
      </c>
      <c r="G185" t="inlineStr">
        <is>
          <t>SKINNSKATTEBERG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46170</v>
      </c>
      <c r="E186" s="1" t="n">
        <v>46273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45375</v>
      </c>
      <c r="E187" s="1" t="n">
        <v>46273</v>
      </c>
      <c r="F187" t="inlineStr">
        <is>
          <t>VÄSTMANLANDS LÄN</t>
        </is>
      </c>
      <c r="G187" t="inlineStr">
        <is>
          <t>SKINNSKATTEBERG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46273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44965</v>
      </c>
      <c r="E189" s="1" t="n">
        <v>46273</v>
      </c>
      <c r="F189" t="inlineStr">
        <is>
          <t>VÄSTMANLANDS LÄN</t>
        </is>
      </c>
      <c r="G189" t="inlineStr">
        <is>
          <t>SKINNSKATTEBERG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46273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46273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46273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45975</v>
      </c>
      <c r="E193" s="1" t="n">
        <v>46273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46273</v>
      </c>
      <c r="F194" t="inlineStr">
        <is>
          <t>VÄSTMANLANDS LÄN</t>
        </is>
      </c>
      <c r="G194" t="inlineStr">
        <is>
          <t>SKINNSKATTEBERG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46273</v>
      </c>
      <c r="F195" t="inlineStr">
        <is>
          <t>VÄSTMANLANDS LÄN</t>
        </is>
      </c>
      <c r="G195" t="inlineStr">
        <is>
          <t>SKINNSKATTEBERG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46273</v>
      </c>
      <c r="F196" t="inlineStr">
        <is>
          <t>VÄSTMANLANDS LÄN</t>
        </is>
      </c>
      <c r="G196" t="inlineStr">
        <is>
          <t>SKINNSKATTEBERG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46273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46273</v>
      </c>
      <c r="F198" t="inlineStr">
        <is>
          <t>VÄSTMANLANDS LÄN</t>
        </is>
      </c>
      <c r="G198" t="inlineStr">
        <is>
          <t>SKINNSKATTEBERG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46273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46273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46273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46273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45987</v>
      </c>
      <c r="E203" s="1" t="n">
        <v>46273</v>
      </c>
      <c r="F203" t="inlineStr">
        <is>
          <t>VÄSTMANLANDS LÄN</t>
        </is>
      </c>
      <c r="G203" t="inlineStr">
        <is>
          <t>SKINNSKATTEBERG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46273</v>
      </c>
      <c r="F204" t="inlineStr">
        <is>
          <t>VÄSTMANLANDS LÄN</t>
        </is>
      </c>
      <c r="G204" t="inlineStr">
        <is>
          <t>SKINNSKATTEBERG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46273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46273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26356-2026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46182</v>
      </c>
      <c r="E207" s="1" t="n">
        <v>46273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46273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46185</v>
      </c>
      <c r="E209" s="1" t="n">
        <v>46273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46185</v>
      </c>
      <c r="E210" s="1" t="n">
        <v>46273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46185</v>
      </c>
      <c r="E211" s="1" t="n">
        <v>46273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46273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66584-2021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44519</v>
      </c>
      <c r="E213" s="1" t="n">
        <v>46273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44995</v>
      </c>
      <c r="E214" s="1" t="n">
        <v>46273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46003</v>
      </c>
      <c r="E215" s="1" t="n">
        <v>46273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46273</v>
      </c>
      <c r="F216" t="inlineStr">
        <is>
          <t>VÄSTMANLANDS LÄN</t>
        </is>
      </c>
      <c r="G216" t="inlineStr">
        <is>
          <t>SKINNSKATTEBERG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46273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46190</v>
      </c>
      <c r="E218" s="1" t="n">
        <v>46273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46190</v>
      </c>
      <c r="E219" s="1" t="n">
        <v>46273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45401</v>
      </c>
      <c r="E220" s="1" t="n">
        <v>46273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18161-2024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45420</v>
      </c>
      <c r="E221" s="1" t="n">
        <v>46273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46191</v>
      </c>
      <c r="E222" s="1" t="n">
        <v>46273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45901</v>
      </c>
      <c r="E223" s="1" t="n">
        <v>46273</v>
      </c>
      <c r="F223" t="inlineStr">
        <is>
          <t>VÄSTMANLANDS LÄN</t>
        </is>
      </c>
      <c r="G223" t="inlineStr">
        <is>
          <t>SKINNSKATTEBERG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45014</v>
      </c>
      <c r="E224" s="1" t="n">
        <v>46273</v>
      </c>
      <c r="F224" t="inlineStr">
        <is>
          <t>VÄSTMANLANDS LÄN</t>
        </is>
      </c>
      <c r="G224" t="inlineStr">
        <is>
          <t>SKINNSKATTEBERG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14736-2023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45014</v>
      </c>
      <c r="E225" s="1" t="n">
        <v>46273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27634-2026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46273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46273</v>
      </c>
      <c r="F227" t="inlineStr">
        <is>
          <t>VÄSTMANLANDS LÄN</t>
        </is>
      </c>
      <c r="G227" t="inlineStr">
        <is>
          <t>SKINNSKATTEBERG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62933-2025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46009</v>
      </c>
      <c r="E228" s="1" t="n">
        <v>46273</v>
      </c>
      <c r="F228" t="inlineStr">
        <is>
          <t>VÄSTMANLANDS LÄN</t>
        </is>
      </c>
      <c r="G228" t="inlineStr">
        <is>
          <t>SKINNSKATTEBERG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45643</v>
      </c>
      <c r="E229" s="1" t="n">
        <v>46273</v>
      </c>
      <c r="F229" t="inlineStr">
        <is>
          <t>VÄSTMANLANDS LÄN</t>
        </is>
      </c>
      <c r="G229" t="inlineStr">
        <is>
          <t>SKINNSKATTEBERG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32217-2026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46237</v>
      </c>
      <c r="E230" s="1" t="n">
        <v>46273</v>
      </c>
      <c r="F230" t="inlineStr">
        <is>
          <t>VÄSTMANLANDS LÄN</t>
        </is>
      </c>
      <c r="G230" t="inlineStr">
        <is>
          <t>SKINNSKATTEBERG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46273</v>
      </c>
      <c r="F231" t="inlineStr">
        <is>
          <t>VÄSTMANLANDS LÄN</t>
        </is>
      </c>
      <c r="G231" t="inlineStr">
        <is>
          <t>SKINNSKATTEBERG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46273</v>
      </c>
      <c r="F232" t="inlineStr">
        <is>
          <t>VÄSTMANLANDS LÄN</t>
        </is>
      </c>
      <c r="G232" t="inlineStr">
        <is>
          <t>SKINNSKATTEBERG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46197</v>
      </c>
      <c r="E233" s="1" t="n">
        <v>46273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46197</v>
      </c>
      <c r="E234" s="1" t="n">
        <v>46273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45686</v>
      </c>
      <c r="E235" s="1" t="n">
        <v>46273</v>
      </c>
      <c r="F235" t="inlineStr">
        <is>
          <t>VÄSTMANLANDS LÄN</t>
        </is>
      </c>
      <c r="G235" t="inlineStr">
        <is>
          <t>SKINNSKATTEBERG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45407</v>
      </c>
      <c r="E236" s="1" t="n">
        <v>46273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46273</v>
      </c>
      <c r="F237" t="inlineStr">
        <is>
          <t>VÄSTMANLANDS LÄN</t>
        </is>
      </c>
      <c r="G237" t="inlineStr">
        <is>
          <t>SKINNSKATTEBERG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46273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46037</v>
      </c>
      <c r="E239" s="1" t="n">
        <v>46273</v>
      </c>
      <c r="F239" t="inlineStr">
        <is>
          <t>VÄSTMANLANDS LÄN</t>
        </is>
      </c>
      <c r="G239" t="inlineStr">
        <is>
          <t>SKINNSKATTEBERG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45393</v>
      </c>
      <c r="E240" s="1" t="n">
        <v>46273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45170</v>
      </c>
      <c r="E241" s="1" t="n">
        <v>46273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46200</v>
      </c>
      <c r="E242" s="1" t="n">
        <v>46273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45114</v>
      </c>
      <c r="E243" s="1" t="n">
        <v>46273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46199</v>
      </c>
      <c r="E244" s="1" t="n">
        <v>46273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29090-2026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46200</v>
      </c>
      <c r="E245" s="1" t="n">
        <v>46273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46244</v>
      </c>
      <c r="E246" s="1" t="n">
        <v>46273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46199</v>
      </c>
      <c r="E247" s="1" t="n">
        <v>46273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46244</v>
      </c>
      <c r="E248" s="1" t="n">
        <v>46273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46244</v>
      </c>
      <c r="E249" s="1" t="n">
        <v>46273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46244</v>
      </c>
      <c r="E250" s="1" t="n">
        <v>46273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45770</v>
      </c>
      <c r="E251" s="1" t="n">
        <v>46273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5704-2026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46051</v>
      </c>
      <c r="E252" s="1" t="n">
        <v>46273</v>
      </c>
      <c r="F252" t="inlineStr">
        <is>
          <t>VÄSTMANLANDS LÄN</t>
        </is>
      </c>
      <c r="G252" t="inlineStr">
        <is>
          <t>SKINNSKATTEBERG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5693-2026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46051</v>
      </c>
      <c r="E253" s="1" t="n">
        <v>46273</v>
      </c>
      <c r="F253" t="inlineStr">
        <is>
          <t>VÄSTMANLANDS LÄN</t>
        </is>
      </c>
      <c r="G253" t="inlineStr">
        <is>
          <t>SKINNSKATTEBERG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5675-2026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46051</v>
      </c>
      <c r="E254" s="1" t="n">
        <v>46273</v>
      </c>
      <c r="F254" t="inlineStr">
        <is>
          <t>VÄSTMANLANDS LÄN</t>
        </is>
      </c>
      <c r="G254" t="inlineStr">
        <is>
          <t>SKINNSKATTEBERG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46273</v>
      </c>
      <c r="F255" t="inlineStr">
        <is>
          <t>VÄSTMANLANDS LÄN</t>
        </is>
      </c>
      <c r="G255" t="inlineStr">
        <is>
          <t>SKINNSKATTEBERG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45174</v>
      </c>
      <c r="E256" s="1" t="n">
        <v>46273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45085</v>
      </c>
      <c r="E257" s="1" t="n">
        <v>46273</v>
      </c>
      <c r="F257" t="inlineStr">
        <is>
          <t>VÄSTMANLANDS LÄN</t>
        </is>
      </c>
      <c r="G257" t="inlineStr">
        <is>
          <t>SKINNSKATTEBERG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33454-2026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46247</v>
      </c>
      <c r="E258" s="1" t="n">
        <v>46273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45245</v>
      </c>
      <c r="E259" s="1" t="n">
        <v>46273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44728</v>
      </c>
      <c r="E260" s="1" t="n">
        <v>46273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46248</v>
      </c>
      <c r="E261" s="1" t="n">
        <v>46273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29026-2026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46199</v>
      </c>
      <c r="E262" s="1" t="n">
        <v>46273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16397-2024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46273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46273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46273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45169</v>
      </c>
      <c r="E266" s="1" t="n">
        <v>46273</v>
      </c>
      <c r="F266" t="inlineStr">
        <is>
          <t>VÄSTMANLANDS LÄN</t>
        </is>
      </c>
      <c r="G266" t="inlineStr">
        <is>
          <t>SKINNSKATTEBERG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45420</v>
      </c>
      <c r="E267" s="1" t="n">
        <v>46273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30471-2026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46210</v>
      </c>
      <c r="E268" s="1" t="n">
        <v>46273</v>
      </c>
      <c r="F268" t="inlineStr">
        <is>
          <t>VÄSTMANLANDS LÄN</t>
        </is>
      </c>
      <c r="G268" t="inlineStr">
        <is>
          <t>SKINNSKATTEBERG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46253</v>
      </c>
      <c r="E269" s="1" t="n">
        <v>46273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32205-2026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46237</v>
      </c>
      <c r="E270" s="1" t="n">
        <v>46273</v>
      </c>
      <c r="F270" t="inlineStr">
        <is>
          <t>VÄSTMANLANDS LÄN</t>
        </is>
      </c>
      <c r="G270" t="inlineStr">
        <is>
          <t>SKINNSKATTEBERG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46273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46273</v>
      </c>
      <c r="F272" t="inlineStr">
        <is>
          <t>VÄSTMANLANDS LÄN</t>
        </is>
      </c>
      <c r="G272" t="inlineStr">
        <is>
          <t>SKINNSKATTEBERG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46273</v>
      </c>
      <c r="F273" t="inlineStr">
        <is>
          <t>VÄSTMANLANDS LÄN</t>
        </is>
      </c>
      <c r="G273" t="inlineStr">
        <is>
          <t>SKINNSKATTEBERG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46273</v>
      </c>
      <c r="F274" t="inlineStr">
        <is>
          <t>VÄSTMANLANDS LÄN</t>
        </is>
      </c>
      <c r="G274" t="inlineStr">
        <is>
          <t>SKINNSKATTEBERG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46273</v>
      </c>
      <c r="F275" t="inlineStr">
        <is>
          <t>VÄSTMANLANDS LÄN</t>
        </is>
      </c>
      <c r="G275" t="inlineStr">
        <is>
          <t>SKINNSKATTEBERG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46273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Kyrkan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46260</v>
      </c>
      <c r="E277" s="1" t="n">
        <v>46273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46273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35168-2026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46260</v>
      </c>
      <c r="E279" s="1" t="n">
        <v>46273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46107</v>
      </c>
      <c r="E280" s="1" t="n">
        <v>46273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46273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46273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46262</v>
      </c>
      <c r="E283" s="1" t="n">
        <v>46273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16136-2026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46108</v>
      </c>
      <c r="E284" s="1" t="n">
        <v>46273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46262</v>
      </c>
      <c r="E285" s="1" t="n">
        <v>46273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35582-2026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46262</v>
      </c>
      <c r="E286" s="1" t="n">
        <v>46273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46262</v>
      </c>
      <c r="E287" s="1" t="n">
        <v>46273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15955-2026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46108</v>
      </c>
      <c r="E288" s="1" t="n">
        <v>46273</v>
      </c>
      <c r="F288" t="inlineStr">
        <is>
          <t>VÄSTMANLANDS LÄN</t>
        </is>
      </c>
      <c r="G288" t="inlineStr">
        <is>
          <t>SKINNSKATTEBERG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46273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46273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35589-2026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46262</v>
      </c>
      <c r="E291" s="1" t="n">
        <v>46273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46273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46273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46273</v>
      </c>
      <c r="F294" t="inlineStr">
        <is>
          <t>VÄSTMANLANDS LÄN</t>
        </is>
      </c>
      <c r="G294" t="inlineStr">
        <is>
          <t>SKINNSKATTEBERG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46273</v>
      </c>
      <c r="F295" t="inlineStr">
        <is>
          <t>VÄSTMANLANDS LÄN</t>
        </is>
      </c>
      <c r="G295" t="inlineStr">
        <is>
          <t>SKINNSKATTEBERG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45407</v>
      </c>
      <c r="E296" s="1" t="n">
        <v>46273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51508-2021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44462</v>
      </c>
      <c r="E297" s="1" t="n">
        <v>46273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35746-2026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46265</v>
      </c>
      <c r="E298" s="1" t="n">
        <v>46273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46273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46273</v>
      </c>
      <c r="F300" t="inlineStr">
        <is>
          <t>VÄSTMANLANDS LÄN</t>
        </is>
      </c>
      <c r="G300" t="inlineStr">
        <is>
          <t>SKINNSKATTEBERG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45063</v>
      </c>
      <c r="E301" s="1" t="n">
        <v>46273</v>
      </c>
      <c r="F301" t="inlineStr">
        <is>
          <t>VÄSTMANLANDS LÄN</t>
        </is>
      </c>
      <c r="G301" t="inlineStr">
        <is>
          <t>SKINNSKATTEBERG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46273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17933-2026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46273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45532</v>
      </c>
      <c r="E304" s="1" t="n">
        <v>46273</v>
      </c>
      <c r="F304" t="inlineStr">
        <is>
          <t>VÄSTMANLANDS LÄN</t>
        </is>
      </c>
      <c r="G304" t="inlineStr">
        <is>
          <t>SKINNSKATTEBERG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46273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48825-2022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44859</v>
      </c>
      <c r="E306" s="1" t="n">
        <v>46273</v>
      </c>
      <c r="F306" t="inlineStr">
        <is>
          <t>VÄSTMANLANDS LÄN</t>
        </is>
      </c>
      <c r="G306" t="inlineStr">
        <is>
          <t>SKINNSKATTEBERG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46273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19582-2026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46134</v>
      </c>
      <c r="E308" s="1" t="n">
        <v>46273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19541-2026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46134</v>
      </c>
      <c r="E309" s="1" t="n">
        <v>46273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19540-2026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46134</v>
      </c>
      <c r="E310" s="1" t="n">
        <v>46273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53142-2021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44468</v>
      </c>
      <c r="E311" s="1" t="n">
        <v>46273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53145-2021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44468</v>
      </c>
      <c r="E312" s="1" t="n">
        <v>46273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45040</v>
      </c>
      <c r="E313" s="1" t="n">
        <v>46273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46273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46273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45058</v>
      </c>
      <c r="E316" s="1" t="n">
        <v>46273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45048</v>
      </c>
      <c r="E317" s="1" t="n">
        <v>46273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45250</v>
      </c>
      <c r="E318" s="1" t="n">
        <v>46273</v>
      </c>
      <c r="F318" t="inlineStr">
        <is>
          <t>VÄSTMANLANDS LÄN</t>
        </is>
      </c>
      <c r="G318" t="inlineStr">
        <is>
          <t>SKINNSKATTEBERG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44603</v>
      </c>
      <c r="E319" s="1" t="n">
        <v>46273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Kyrkan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45425</v>
      </c>
      <c r="E320" s="1" t="n">
        <v>46273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46273</v>
      </c>
      <c r="F321" t="inlineStr">
        <is>
          <t>VÄSTMANLANDS LÄN</t>
        </is>
      </c>
      <c r="G321" t="inlineStr">
        <is>
          <t>SKINNSKATTEBERG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45252</v>
      </c>
      <c r="E322" s="1" t="n">
        <v>46273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46273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46273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46273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13713-2024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45390</v>
      </c>
      <c r="E326" s="1" t="n">
        <v>46273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53880-2021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44469</v>
      </c>
      <c r="E327" s="1" t="n">
        <v>46273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25843-2023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45090</v>
      </c>
      <c r="E328" s="1" t="n">
        <v>46273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45762</v>
      </c>
      <c r="E329" s="1" t="n">
        <v>46273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46273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46273</v>
      </c>
      <c r="F331" t="inlineStr">
        <is>
          <t>VÄSTMANLANDS LÄN</t>
        </is>
      </c>
      <c r="G331" t="inlineStr">
        <is>
          <t>SKINNSKATTEBERG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45006</v>
      </c>
      <c r="E332" s="1" t="n">
        <v>46273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Allmännings- och besparingsskogar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45056</v>
      </c>
      <c r="E333" s="1" t="n">
        <v>46273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46273</v>
      </c>
      <c r="F334" t="inlineStr">
        <is>
          <t>VÄSTMANLANDS LÄN</t>
        </is>
      </c>
      <c r="G334" t="inlineStr">
        <is>
          <t>SKINNSKATTEBERG</t>
        </is>
      </c>
      <c r="I334" t="n">
        <v>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54657-2022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44883</v>
      </c>
      <c r="E335" s="1" t="n">
        <v>46273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36288-2022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44803</v>
      </c>
      <c r="E336" s="1" t="n">
        <v>46273</v>
      </c>
      <c r="F336" t="inlineStr">
        <is>
          <t>VÄSTMANLANDS LÄN</t>
        </is>
      </c>
      <c r="G336" t="inlineStr">
        <is>
          <t>SKINNSKATTEBERG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44910</v>
      </c>
      <c r="E337" s="1" t="n">
        <v>46273</v>
      </c>
      <c r="F337" t="inlineStr">
        <is>
          <t>VÄSTMANLANDS LÄN</t>
        </is>
      </c>
      <c r="G337" t="inlineStr">
        <is>
          <t>SKINNSKATTEBERG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45134</v>
      </c>
      <c r="E338" s="1" t="n">
        <v>46273</v>
      </c>
      <c r="F338" t="inlineStr">
        <is>
          <t>VÄSTMANLANDS LÄN</t>
        </is>
      </c>
      <c r="G338" t="inlineStr">
        <is>
          <t>SKINNSKATTEBERG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15561-2024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45401</v>
      </c>
      <c r="E339" s="1" t="n">
        <v>46273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46273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21908-2023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46273</v>
      </c>
      <c r="F341" t="inlineStr">
        <is>
          <t>VÄSTMANLANDS LÄN</t>
        </is>
      </c>
      <c r="G341" t="inlineStr">
        <is>
          <t>SKINNSKATTEBERG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22394-2022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44713</v>
      </c>
      <c r="E342" s="1" t="n">
        <v>46273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45592</v>
      </c>
      <c r="E343" s="1" t="n">
        <v>46273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43805-2024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45571</v>
      </c>
      <c r="E344" s="1" t="n">
        <v>46273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45571</v>
      </c>
      <c r="E345" s="1" t="n">
        <v>46273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45617</v>
      </c>
      <c r="E346" s="1" t="n">
        <v>46273</v>
      </c>
      <c r="F346" t="inlineStr">
        <is>
          <t>VÄSTMANLANDS LÄN</t>
        </is>
      </c>
      <c r="G346" t="inlineStr">
        <is>
          <t>SKINNSKATTEBERG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45506</v>
      </c>
      <c r="E347" s="1" t="n">
        <v>46273</v>
      </c>
      <c r="F347" t="inlineStr">
        <is>
          <t>VÄSTMANLANDS LÄN</t>
        </is>
      </c>
      <c r="G347" t="inlineStr">
        <is>
          <t>SKINNSKATTEBERG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40545-2023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45170</v>
      </c>
      <c r="E348" s="1" t="n">
        <v>46273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46273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46273</v>
      </c>
      <c r="F350" t="inlineStr">
        <is>
          <t>VÄSTMANLANDS LÄN</t>
        </is>
      </c>
      <c r="G350" t="inlineStr">
        <is>
          <t>SKINNSKATTEBERG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46273</v>
      </c>
      <c r="F351" t="inlineStr">
        <is>
          <t>VÄSTMANLANDS LÄN</t>
        </is>
      </c>
      <c r="G351" t="inlineStr">
        <is>
          <t>SKINNSKATTEBERG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45156</v>
      </c>
      <c r="E352" s="1" t="n">
        <v>46273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45385</v>
      </c>
      <c r="E353" s="1" t="n">
        <v>46273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45571</v>
      </c>
      <c r="E354" s="1" t="n">
        <v>46273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45740</v>
      </c>
      <c r="E355" s="1" t="n">
        <v>46273</v>
      </c>
      <c r="F355" t="inlineStr">
        <is>
          <t>VÄSTMANLANDS LÄN</t>
        </is>
      </c>
      <c r="G355" t="inlineStr">
        <is>
          <t>SKINNSKATTEBERG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45096</v>
      </c>
      <c r="E356" s="1" t="n">
        <v>46273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40167-2024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45554</v>
      </c>
      <c r="E357" s="1" t="n">
        <v>46273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54589-2024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45617</v>
      </c>
      <c r="E358" s="1" t="n">
        <v>46273</v>
      </c>
      <c r="F358" t="inlineStr">
        <is>
          <t>VÄSTMANLANDS LÄN</t>
        </is>
      </c>
      <c r="G358" t="inlineStr">
        <is>
          <t>SKINNSKATTEBERG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46273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45777</v>
      </c>
      <c r="E360" s="1" t="n">
        <v>46273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50980-2022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44867</v>
      </c>
      <c r="E361" s="1" t="n">
        <v>46273</v>
      </c>
      <c r="F361" t="inlineStr">
        <is>
          <t>VÄSTMANLANDS LÄN</t>
        </is>
      </c>
      <c r="G361" t="inlineStr">
        <is>
          <t>SKINNSKATTEBERG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45377</v>
      </c>
      <c r="E362" s="1" t="n">
        <v>46273</v>
      </c>
      <c r="F362" t="inlineStr">
        <is>
          <t>VÄSTMANLANDS LÄN</t>
        </is>
      </c>
      <c r="G362" t="inlineStr">
        <is>
          <t>SKINNSKATTEBERG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46273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45547</v>
      </c>
      <c r="E364" s="1" t="n">
        <v>46273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45480</v>
      </c>
      <c r="E365" s="1" t="n">
        <v>46273</v>
      </c>
      <c r="F365" t="inlineStr">
        <is>
          <t>VÄSTMANLANDS LÄN</t>
        </is>
      </c>
      <c r="G365" t="inlineStr">
        <is>
          <t>SKINNSKATTEBERG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22285-2025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45786</v>
      </c>
      <c r="E366" s="1" t="n">
        <v>46273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45443</v>
      </c>
      <c r="E367" s="1" t="n">
        <v>46273</v>
      </c>
      <c r="F367" t="inlineStr">
        <is>
          <t>VÄSTMANLANDS LÄN</t>
        </is>
      </c>
      <c r="G367" t="inlineStr">
        <is>
          <t>SKINNSKATTEBERG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45476</v>
      </c>
      <c r="E368" s="1" t="n">
        <v>46273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35051-2024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45527</v>
      </c>
      <c r="E369" s="1" t="n">
        <v>46273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25846-2025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45804</v>
      </c>
      <c r="E370" s="1" t="n">
        <v>46273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28940-2024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45480</v>
      </c>
      <c r="E371" s="1" t="n">
        <v>46273</v>
      </c>
      <c r="F371" t="inlineStr">
        <is>
          <t>VÄSTMANLANDS LÄN</t>
        </is>
      </c>
      <c r="G371" t="inlineStr">
        <is>
          <t>SKINNSKATTEBERG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28873-2025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45820</v>
      </c>
      <c r="E372" s="1" t="n">
        <v>46273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28831-2025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45820</v>
      </c>
      <c r="E373" s="1" t="n">
        <v>46273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29808-2025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45825</v>
      </c>
      <c r="E374" s="1" t="n">
        <v>46273</v>
      </c>
      <c r="F374" t="inlineStr">
        <is>
          <t>VÄSTMANLANDS LÄN</t>
        </is>
      </c>
      <c r="G374" t="inlineStr">
        <is>
          <t>SKINNSKATTEBERG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29810-2025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45825</v>
      </c>
      <c r="E375" s="1" t="n">
        <v>46273</v>
      </c>
      <c r="F375" t="inlineStr">
        <is>
          <t>VÄSTMANLANDS LÄN</t>
        </is>
      </c>
      <c r="G375" t="inlineStr">
        <is>
          <t>SKINNSKATTEBERG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46273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30439-2025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45827</v>
      </c>
      <c r="E377" s="1" t="n">
        <v>46273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46273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46273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31234-2025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45832</v>
      </c>
      <c r="E380" s="1" t="n">
        <v>46273</v>
      </c>
      <c r="F380" t="inlineStr">
        <is>
          <t>VÄSTMANLANDS LÄN</t>
        </is>
      </c>
      <c r="G380" t="inlineStr">
        <is>
          <t>SKINNSKATTEBERG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45848</v>
      </c>
      <c r="E381" s="1" t="n">
        <v>46273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46273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45853</v>
      </c>
      <c r="E383" s="1" t="n">
        <v>46273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35205-2025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45853</v>
      </c>
      <c r="E384" s="1" t="n">
        <v>46273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46273</v>
      </c>
      <c r="F385" t="inlineStr">
        <is>
          <t>VÄSTMANLANDS LÄN</t>
        </is>
      </c>
      <c r="G385" t="inlineStr">
        <is>
          <t>SKINNSKATTEBERG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1765-2024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45435</v>
      </c>
      <c r="E386" s="1" t="n">
        <v>46273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1462-2025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46273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1931-2025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45827</v>
      </c>
      <c r="E388" s="1" t="n">
        <v>46273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2177-2025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45853</v>
      </c>
      <c r="E389" s="1" t="n">
        <v>46273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2422-2025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45897</v>
      </c>
      <c r="E390" s="1" t="n">
        <v>46273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2421-2025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46273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2420-2025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2456-2025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45901</v>
      </c>
      <c r="E393" s="1" t="n">
        <v>46273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2578-2025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45915</v>
      </c>
      <c r="E394" s="1" t="n">
        <v>46273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1325-2026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46147</v>
      </c>
      <c r="E395" s="1" t="n">
        <v>46273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65.3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46273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46273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2239-2026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46260</v>
      </c>
      <c r="E398" s="1" t="n">
        <v>46273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>
      <c r="A399" t="inlineStr">
        <is>
          <t>S 2266-2026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46262</v>
      </c>
      <c r="E399" s="1" t="n">
        <v>46273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2026-09-08T02:10:03Z</dcterms:created>
  <dcterms:modified xmlns:dcterms="http://purl.org/dc/terms/" xmlns:xsi="http://www.w3.org/2001/XMLSchema-instance" xsi:type="dcterms:W3CDTF">2026-09-08T02:10:03Z</dcterms:modified>
</cp:coreProperties>
</file>