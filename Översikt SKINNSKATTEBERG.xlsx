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46281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46281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46281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46281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46281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46281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46281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46281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13715-2024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45390</v>
      </c>
      <c r="E11" s="1" t="n">
        <v>46281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5</v>
      </c>
      <c r="U11" t="n">
        <v>4</v>
      </c>
      <c r="V11" s="2" t="inlineStr">
        <is>
          <t>Krusfrö
Järpe
Tjäder</t>
        </is>
      </c>
      <c r="W11">
        <f>HYPERLINK("https://klasma.github.io/Logging_1904/artfynd/A 13715-2024 artfynd.xlsx", "A 13715-2024")</f>
        <v/>
      </c>
      <c r="X11">
        <f>HYPERLINK("https://klasma.github.io/Logging_1904/kartor/A 13715-2024 karta.png", "A 13715-2024")</f>
        <v/>
      </c>
      <c r="Y11">
        <f>HYPERLINK("https://klasma.github.io/Logging_1904/kartor_geotiff/A 13715-2024 georefererad karta.tif", "A 13715-2024")</f>
        <v/>
      </c>
      <c r="AA11">
        <f>HYPERLINK("https://klasma.github.io/Logging_1904/klagomål/A 13715-2024 FSC-klagomål.docx", "A 13715-2024")</f>
        <v/>
      </c>
      <c r="AB11">
        <f>HYPERLINK("https://klasma.github.io/Logging_1904/klagomålsmail/A 13715-2024 FSC-klagomål mail.docx", "A 13715-2024")</f>
        <v/>
      </c>
      <c r="AC11">
        <f>HYPERLINK("https://klasma.github.io/Logging_1904/tillsyn/A 13715-2024 tillsynsbegäran.docx", "A 13715-2024")</f>
        <v/>
      </c>
      <c r="AD11">
        <f>HYPERLINK("https://klasma.github.io/Logging_1904/tillsynsmail/A 13715-2024 tillsynsbegäran mail.docx", "A 13715-2024")</f>
        <v/>
      </c>
      <c r="AE11">
        <f>HYPERLINK("https://klasma.github.io/Logging_1904/fåglar/A 13715-2024 prioriterade fågelarter.docx", "A 13715-2024")</f>
        <v/>
      </c>
    </row>
    <row r="12" ht="15" customHeight="1">
      <c r="A12" t="inlineStr">
        <is>
          <t>A 44698-2024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45574</v>
      </c>
      <c r="E12" s="1" t="n">
        <v>46281</v>
      </c>
      <c r="F12" t="inlineStr">
        <is>
          <t>VÄSTMANLANDS LÄN</t>
        </is>
      </c>
      <c r="G12" t="inlineStr">
        <is>
          <t>SKINNSKATTEBERG</t>
        </is>
      </c>
      <c r="I12" t="n">
        <v>1.3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Hässleklocka
Tibast
Gullviva</t>
        </is>
      </c>
      <c r="W12">
        <f>HYPERLINK("https://klasma.github.io/Logging_1904/artfynd/A 44698-2024 artfynd.xlsx", "A 44698-2024")</f>
        <v/>
      </c>
      <c r="X12">
        <f>HYPERLINK("https://klasma.github.io/Logging_1904/kartor/A 44698-2024 karta.png", "A 44698-2024")</f>
        <v/>
      </c>
      <c r="Y12">
        <f>HYPERLINK("https://klasma.github.io/Logging_1904/kartor_geotiff/A 44698-2024 georefererad karta.tif", "A 44698-2024")</f>
        <v/>
      </c>
      <c r="AA12">
        <f>HYPERLINK("https://klasma.github.io/Logging_1904/klagomål/A 44698-2024 FSC-klagomål.docx", "A 44698-2024")</f>
        <v/>
      </c>
      <c r="AB12">
        <f>HYPERLINK("https://klasma.github.io/Logging_1904/klagomålsmail/A 44698-2024 FSC-klagomål mail.docx", "A 44698-2024")</f>
        <v/>
      </c>
      <c r="AC12">
        <f>HYPERLINK("https://klasma.github.io/Logging_1904/tillsyn/A 44698-2024 tillsynsbegäran.docx", "A 44698-2024")</f>
        <v/>
      </c>
      <c r="AD12">
        <f>HYPERLINK("https://klasma.github.io/Logging_1904/tillsynsmail/A 44698-2024 tillsynsbegäran mail.docx", "A 44698-2024")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46281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46281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46281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19656-2025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46281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3.8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Rynkskinn
Ullticka
Brandticka</t>
        </is>
      </c>
      <c r="W16">
        <f>HYPERLINK("https://klasma.github.io/Logging_1904/artfynd/A 19656-2025 artfynd.xlsx", "A 19656-2025")</f>
        <v/>
      </c>
      <c r="X16">
        <f>HYPERLINK("https://klasma.github.io/Logging_1904/kartor/A 19656-2025 karta.png", "A 19656-2025")</f>
        <v/>
      </c>
      <c r="Y16">
        <f>HYPERLINK("https://klasma.github.io/Logging_1904/kartor_geotiff/A 19656-2025 georefererad karta.tif", "A 19656-2025")</f>
        <v/>
      </c>
      <c r="AA16">
        <f>HYPERLINK("https://klasma.github.io/Logging_1904/klagomål/A 19656-2025 FSC-klagomål.docx", "A 19656-2025")</f>
        <v/>
      </c>
      <c r="AB16">
        <f>HYPERLINK("https://klasma.github.io/Logging_1904/klagomålsmail/A 19656-2025 FSC-klagomål mail.docx", "A 19656-2025")</f>
        <v/>
      </c>
      <c r="AC16">
        <f>HYPERLINK("https://klasma.github.io/Logging_1904/tillsyn/A 19656-2025 tillsynsbegäran.docx", "A 19656-2025")</f>
        <v/>
      </c>
      <c r="AD16">
        <f>HYPERLINK("https://klasma.github.io/Logging_1904/tillsynsmail/A 19656-2025 tillsynsbegäran mail.docx", "A 19656-2025")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46281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34303-2026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46254</v>
      </c>
      <c r="E18" s="1" t="n">
        <v>46281</v>
      </c>
      <c r="F18" t="inlineStr">
        <is>
          <t>VÄSTMANLANDS LÄN</t>
        </is>
      </c>
      <c r="G18" t="inlineStr">
        <is>
          <t>SKINNSKATTEBERG</t>
        </is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Tibast
Brudborste</t>
        </is>
      </c>
      <c r="W18">
        <f>HYPERLINK("https://klasma.github.io/Logging_1904/artfynd/A 34303-2026 artfynd.xlsx", "A 34303-2026")</f>
        <v/>
      </c>
      <c r="X18">
        <f>HYPERLINK("https://klasma.github.io/Logging_1904/kartor/A 34303-2026 karta.png", "A 34303-2026")</f>
        <v/>
      </c>
      <c r="Y18">
        <f>HYPERLINK("https://klasma.github.io/Logging_1904/kartor_geotiff/A 34303-2026 georefererad karta.tif", "A 34303-2026")</f>
        <v/>
      </c>
      <c r="AA18">
        <f>HYPERLINK("https://klasma.github.io/Logging_1904/klagomål/A 34303-2026 FSC-klagomål.docx", "A 34303-2026")</f>
        <v/>
      </c>
      <c r="AB18">
        <f>HYPERLINK("https://klasma.github.io/Logging_1904/klagomålsmail/A 34303-2026 FSC-klagomål mail.docx", "A 34303-2026")</f>
        <v/>
      </c>
      <c r="AC18">
        <f>HYPERLINK("https://klasma.github.io/Logging_1904/tillsyn/A 34303-2026 tillsynsbegäran.docx", "A 34303-2026")</f>
        <v/>
      </c>
      <c r="AD18">
        <f>HYPERLINK("https://klasma.github.io/Logging_1904/tillsynsmail/A 34303-2026 tillsynsbegäran mail.docx", "A 34303-2026")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46281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46281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4000-2024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46281</v>
      </c>
      <c r="F21" t="inlineStr">
        <is>
          <t>VÄSTMANLANDS LÄN</t>
        </is>
      </c>
      <c r="G21" t="inlineStr">
        <is>
          <t>SKINNSKATTEBERG</t>
        </is>
      </c>
      <c r="I21" t="n">
        <v>14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Klasefibbla</t>
        </is>
      </c>
      <c r="W21">
        <f>HYPERLINK("https://klasma.github.io/Logging_1904/artfynd/A 4000-2024 artfynd.xlsx", "A 4000-2024")</f>
        <v/>
      </c>
      <c r="X21">
        <f>HYPERLINK("https://klasma.github.io/Logging_1904/kartor/A 4000-2024 karta.png", "A 4000-2024")</f>
        <v/>
      </c>
      <c r="Y21">
        <f>HYPERLINK("https://klasma.github.io/Logging_1904/kartor_geotiff/A 4000-2024 georefererad karta.tif", "A 4000-2024")</f>
        <v/>
      </c>
      <c r="AA21">
        <f>HYPERLINK("https://klasma.github.io/Logging_1904/klagomål/A 4000-2024 FSC-klagomål.docx", "A 4000-2024")</f>
        <v/>
      </c>
      <c r="AB21">
        <f>HYPERLINK("https://klasma.github.io/Logging_1904/klagomålsmail/A 4000-2024 FSC-klagomål mail.docx", "A 4000-2024")</f>
        <v/>
      </c>
      <c r="AC21">
        <f>HYPERLINK("https://klasma.github.io/Logging_1904/tillsyn/A 4000-2024 tillsynsbegäran.docx", "A 4000-2024")</f>
        <v/>
      </c>
      <c r="AD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46281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45078</v>
      </c>
      <c r="E23" s="1" t="n">
        <v>46281</v>
      </c>
      <c r="F23" t="inlineStr">
        <is>
          <t>VÄSTMANLANDS LÄN</t>
        </is>
      </c>
      <c r="G23" t="inlineStr">
        <is>
          <t>SKINNSKATTEBERG</t>
        </is>
      </c>
      <c r="I23" t="n">
        <v>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Knärot</t>
        </is>
      </c>
      <c r="W23">
        <f>HYPERLINK("https://klasma.github.io/Logging_1904/artfynd/A 23893-2023 artfynd.xlsx", "A 23893-2023")</f>
        <v/>
      </c>
      <c r="X23">
        <f>HYPERLINK("https://klasma.github.io/Logging_1904/kartor/A 23893-2023 karta.png", "A 23893-2023")</f>
        <v/>
      </c>
      <c r="Y23">
        <f>HYPERLINK("https://klasma.github.io/Logging_1904/kartor_geotiff/A 23893-2023 georefererad karta.tif", "A 23893-2023")</f>
        <v/>
      </c>
      <c r="Z23">
        <f>HYPERLINK("https://klasma.github.io/Logging_1904/knärot/A 23893-2023 karta knärot.png", "A 23893-2023")</f>
        <v/>
      </c>
      <c r="AA23">
        <f>HYPERLINK("https://klasma.github.io/Logging_1904/klagomål/A 23893-2023 FSC-klagomål.docx", "A 23893-2023")</f>
        <v/>
      </c>
      <c r="AB23">
        <f>HYPERLINK("https://klasma.github.io/Logging_1904/klagomålsmail/A 23893-2023 FSC-klagomål mail.docx", "A 23893-2023")</f>
        <v/>
      </c>
      <c r="AC23">
        <f>HYPERLINK("https://klasma.github.io/Logging_1904/tillsyn/A 23893-2023 tillsynsbegäran.docx", "A 23893-2023")</f>
        <v/>
      </c>
      <c r="AD23">
        <f>HYPERLINK("https://klasma.github.io/Logging_1904/tillsynsmail/A 23893-2023 tillsynsbegäran mail.docx", "A 23893-2023")</f>
        <v/>
      </c>
    </row>
    <row r="24" ht="15" customHeight="1">
      <c r="A24" t="inlineStr">
        <is>
          <t>A 41868-2022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44829</v>
      </c>
      <c r="E24" s="1" t="n">
        <v>46281</v>
      </c>
      <c r="F24" t="inlineStr">
        <is>
          <t>VÄSTMANLANDS LÄN</t>
        </is>
      </c>
      <c r="G24" t="inlineStr">
        <is>
          <t>SKINNSKATTEBERG</t>
        </is>
      </c>
      <c r="I24" t="n">
        <v>0.9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HYPERLINK("https://klasma.github.io/Logging_1904/artfynd/A 41868-2022 artfynd.xlsx", "A 41868-2022")</f>
        <v/>
      </c>
      <c r="X24">
        <f>HYPERLINK("https://klasma.github.io/Logging_1904/kartor/A 41868-2022 karta.png", "A 41868-2022")</f>
        <v/>
      </c>
      <c r="Y24">
        <f>HYPERLINK("https://klasma.github.io/Logging_1904/kartor_geotiff/A 41868-2022 georefererad karta.tif", "A 41868-2022")</f>
        <v/>
      </c>
      <c r="AA24">
        <f>HYPERLINK("https://klasma.github.io/Logging_1904/klagomål/A 41868-2022 FSC-klagomål.docx", "A 41868-2022")</f>
        <v/>
      </c>
      <c r="AB24">
        <f>HYPERLINK("https://klasma.github.io/Logging_1904/klagomålsmail/A 41868-2022 FSC-klagomål mail.docx", "A 41868-2022")</f>
        <v/>
      </c>
      <c r="AC24">
        <f>HYPERLINK("https://klasma.github.io/Logging_1904/tillsyn/A 41868-2022 tillsynsbegäran.docx", "A 41868-2022")</f>
        <v/>
      </c>
      <c r="AD24">
        <f>HYPERLINK("https://klasma.github.io/Logging_1904/tillsynsmail/A 41868-2022 tillsynsbegäran mail.docx", "A 41868-2022")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46281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46281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15734-2026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46107</v>
      </c>
      <c r="E27" s="1" t="n">
        <v>46281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Koppartaggsvamp</t>
        </is>
      </c>
      <c r="W27">
        <f>HYPERLINK("https://klasma.github.io/Logging_1904/artfynd/A 15734-2026 artfynd.xlsx", "A 15734-2026")</f>
        <v/>
      </c>
      <c r="X27">
        <f>HYPERLINK("https://klasma.github.io/Logging_1904/kartor/A 15734-2026 karta.png", "A 15734-2026")</f>
        <v/>
      </c>
      <c r="Y27">
        <f>HYPERLINK("https://klasma.github.io/Logging_1904/kartor_geotiff/A 15734-2026 georefererad karta.tif", "A 15734-2026")</f>
        <v/>
      </c>
      <c r="AA27">
        <f>HYPERLINK("https://klasma.github.io/Logging_1904/klagomål/A 15734-2026 FSC-klagomål.docx", "A 15734-2026")</f>
        <v/>
      </c>
      <c r="AB27">
        <f>HYPERLINK("https://klasma.github.io/Logging_1904/klagomålsmail/A 15734-2026 FSC-klagomål mail.docx", "A 15734-2026")</f>
        <v/>
      </c>
      <c r="AC27">
        <f>HYPERLINK("https://klasma.github.io/Logging_1904/tillsyn/A 15734-2026 tillsynsbegäran.docx", "A 15734-2026")</f>
        <v/>
      </c>
      <c r="AD27">
        <f>HYPERLINK("https://klasma.github.io/Logging_1904/tillsynsmail/A 15734-2026 tillsynsbegäran mail.docx", "A 15734-2026")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46281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9490-2024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46281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HYPERLINK("https://klasma.github.io/Logging_1904/artfynd/A 9490-2024 artfynd.xlsx", "A 9490-2024")</f>
        <v/>
      </c>
      <c r="X29">
        <f>HYPERLINK("https://klasma.github.io/Logging_1904/kartor/A 9490-2024 karta.png", "A 9490-2024")</f>
        <v/>
      </c>
      <c r="Y29">
        <f>HYPERLINK("https://klasma.github.io/Logging_1904/kartor_geotiff/A 9490-2024 georefererad karta.tif", "A 9490-2024")</f>
        <v/>
      </c>
      <c r="AA29">
        <f>HYPERLINK("https://klasma.github.io/Logging_1904/klagomål/A 9490-2024 FSC-klagomål.docx", "A 9490-2024")</f>
        <v/>
      </c>
      <c r="AB29">
        <f>HYPERLINK("https://klasma.github.io/Logging_1904/klagomålsmail/A 9490-2024 FSC-klagomål mail.docx", "A 9490-2024")</f>
        <v/>
      </c>
      <c r="AC29">
        <f>HYPERLINK("https://klasma.github.io/Logging_1904/tillsyn/A 9490-2024 tillsynsbegäran.docx", "A 9490-2024")</f>
        <v/>
      </c>
      <c r="AD29">
        <f>HYPERLINK("https://klasma.github.io/Logging_1904/tillsynsmail/A 9490-2024 tillsynsbegäran mail.docx", "A 9490-2024")</f>
        <v/>
      </c>
      <c r="AE29">
        <f>HYPERLINK("https://klasma.github.io/Logging_1904/fåglar/A 9490-2024 prioriterade fågelarter.docx", "A 9490-2024")</f>
        <v/>
      </c>
    </row>
    <row r="30" ht="15" customHeight="1">
      <c r="A30" t="inlineStr">
        <is>
          <t>A 54296-2023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46281</v>
      </c>
      <c r="F30" t="inlineStr">
        <is>
          <t>VÄSTMANLANDS LÄN</t>
        </is>
      </c>
      <c r="G30" t="inlineStr">
        <is>
          <t>SKINNSKATTEBERG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Kopparödla</t>
        </is>
      </c>
      <c r="W30">
        <f>HYPERLINK("https://klasma.github.io/Logging_1904/artfynd/A 54296-2023 artfynd.xlsx", "A 54296-2023")</f>
        <v/>
      </c>
      <c r="X30">
        <f>HYPERLINK("https://klasma.github.io/Logging_1904/kartor/A 54296-2023 karta.png", "A 54296-2023")</f>
        <v/>
      </c>
      <c r="Y30">
        <f>HYPERLINK("https://klasma.github.io/Logging_1904/kartor_geotiff/A 54296-2023 georefererad karta.tif", "A 54296-2023")</f>
        <v/>
      </c>
      <c r="AA30">
        <f>HYPERLINK("https://klasma.github.io/Logging_1904/klagomål/A 54296-2023 FSC-klagomål.docx", "A 54296-2023")</f>
        <v/>
      </c>
      <c r="AB30">
        <f>HYPERLINK("https://klasma.github.io/Logging_1904/klagomålsmail/A 54296-2023 FSC-klagomål mail.docx", "A 54296-2023")</f>
        <v/>
      </c>
      <c r="AC30">
        <f>HYPERLINK("https://klasma.github.io/Logging_1904/tillsyn/A 54296-2023 tillsynsbegäran.docx", "A 54296-2023")</f>
        <v/>
      </c>
      <c r="AD30">
        <f>HYPERLINK("https://klasma.github.io/Logging_1904/tillsynsmail/A 54296-2023 tillsynsbegäran mail.docx", "A 54296-2023")</f>
        <v/>
      </c>
    </row>
    <row r="31" ht="15" customHeight="1">
      <c r="A31" t="inlineStr">
        <is>
          <t>A 28312-2023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45099</v>
      </c>
      <c r="E31" s="1" t="n">
        <v>46281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Skrovlig taggsvamp</t>
        </is>
      </c>
      <c r="W31">
        <f>HYPERLINK("https://klasma.github.io/Logging_1904/artfynd/A 28312-2023 artfynd.xlsx", "A 28312-2023")</f>
        <v/>
      </c>
      <c r="X31">
        <f>HYPERLINK("https://klasma.github.io/Logging_1904/kartor/A 28312-2023 karta.png", "A 28312-2023")</f>
        <v/>
      </c>
      <c r="Y31">
        <f>HYPERLINK("https://klasma.github.io/Logging_1904/kartor_geotiff/A 28312-2023 georefererad karta.tif", "A 28312-2023")</f>
        <v/>
      </c>
      <c r="AA31">
        <f>HYPERLINK("https://klasma.github.io/Logging_1904/klagomål/A 28312-2023 FSC-klagomål.docx", "A 28312-2023")</f>
        <v/>
      </c>
      <c r="AB31">
        <f>HYPERLINK("https://klasma.github.io/Logging_1904/klagomålsmail/A 28312-2023 FSC-klagomål mail.docx", "A 28312-2023")</f>
        <v/>
      </c>
      <c r="AC31">
        <f>HYPERLINK("https://klasma.github.io/Logging_1904/tillsyn/A 28312-2023 tillsynsbegäran.docx", "A 28312-2023")</f>
        <v/>
      </c>
      <c r="AD31">
        <f>HYPERLINK("https://klasma.github.io/Logging_1904/tillsynsmail/A 28312-2023 tillsynsbegäran mail.docx", "A 28312-2023")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46281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20559-2026 artfynd.xlsx", "A 20559-2026")</f>
        <v/>
      </c>
      <c r="X32">
        <f>HYPERLINK("https://klasma.github.io/Logging_1904/kartor/A 20559-2026 karta.png", "A 20559-2026")</f>
        <v/>
      </c>
      <c r="Y32">
        <f>HYPERLINK("https://klasma.github.io/Logging_1904/kartor_geotiff/A 20559-2026 georefererad karta.tif", "A 20559-2026")</f>
        <v/>
      </c>
      <c r="AA32">
        <f>HYPERLINK("https://klasma.github.io/Logging_1904/klagomål/A 20559-2026 FSC-klagomål.docx", "A 20559-2026")</f>
        <v/>
      </c>
      <c r="AB32">
        <f>HYPERLINK("https://klasma.github.io/Logging_1904/klagomålsmail/A 20559-2026 FSC-klagomål mail.docx", "A 20559-2026")</f>
        <v/>
      </c>
      <c r="AC32">
        <f>HYPERLINK("https://klasma.github.io/Logging_1904/tillsyn/A 20559-2026 tillsynsbegäran.docx", "A 20559-2026")</f>
        <v/>
      </c>
      <c r="AD32">
        <f>HYPERLINK("https://klasma.github.io/Logging_1904/tillsynsmail/A 20559-2026 tillsynsbegäran mail.docx", "A 20559-2026")</f>
        <v/>
      </c>
      <c r="AE32">
        <f>HYPERLINK("https://klasma.github.io/Logging_1904/fåglar/A 20559-2026 prioriterade fågelarter.docx", "A 20559-2026")</f>
        <v/>
      </c>
    </row>
    <row r="33" ht="15" customHeight="1">
      <c r="A33" t="inlineStr">
        <is>
          <t>A 57395-2025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45980</v>
      </c>
      <c r="E33" s="1" t="n">
        <v>46281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Vedticka</t>
        </is>
      </c>
      <c r="W33">
        <f>HYPERLINK("https://klasma.github.io/Logging_1904/artfynd/A 57395-2025 artfynd.xlsx", "A 57395-2025")</f>
        <v/>
      </c>
      <c r="X33">
        <f>HYPERLINK("https://klasma.github.io/Logging_1904/kartor/A 57395-2025 karta.png", "A 57395-2025")</f>
        <v/>
      </c>
      <c r="Y33">
        <f>HYPERLINK("https://klasma.github.io/Logging_1904/kartor_geotiff/A 57395-2025 georefererad karta.tif", "A 57395-2025")</f>
        <v/>
      </c>
      <c r="AA33">
        <f>HYPERLINK("https://klasma.github.io/Logging_1904/klagomål/A 57395-2025 FSC-klagomål.docx", "A 57395-2025")</f>
        <v/>
      </c>
      <c r="AB33">
        <f>HYPERLINK("https://klasma.github.io/Logging_1904/klagomålsmail/A 57395-2025 FSC-klagomål mail.docx", "A 57395-2025")</f>
        <v/>
      </c>
      <c r="AC33">
        <f>HYPERLINK("https://klasma.github.io/Logging_1904/tillsyn/A 57395-2025 tillsynsbegäran.docx", "A 57395-2025")</f>
        <v/>
      </c>
      <c r="AD33">
        <f>HYPERLINK("https://klasma.github.io/Logging_1904/tillsynsmail/A 57395-2025 tillsynsbegäran mail.docx", "A 57395-2025")</f>
        <v/>
      </c>
    </row>
    <row r="34" ht="15" customHeight="1">
      <c r="A34" t="inlineStr">
        <is>
          <t>A 57747-2023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45246</v>
      </c>
      <c r="E34" s="1" t="n">
        <v>46281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Myopa fasciata</t>
        </is>
      </c>
      <c r="W34">
        <f>HYPERLINK("https://klasma.github.io/Logging_1904/artfynd/A 57747-2023 artfynd.xlsx", "A 57747-2023")</f>
        <v/>
      </c>
      <c r="X34">
        <f>HYPERLINK("https://klasma.github.io/Logging_1904/kartor/A 57747-2023 karta.png", "A 57747-2023")</f>
        <v/>
      </c>
      <c r="Y34">
        <f>HYPERLINK("https://klasma.github.io/Logging_1904/kartor_geotiff/A 57747-2023 georefererad karta.tif", "A 57747-2023")</f>
        <v/>
      </c>
      <c r="AA34">
        <f>HYPERLINK("https://klasma.github.io/Logging_1904/klagomål/A 57747-2023 FSC-klagomål.docx", "A 57747-2023")</f>
        <v/>
      </c>
      <c r="AB34">
        <f>HYPERLINK("https://klasma.github.io/Logging_1904/klagomålsmail/A 57747-2023 FSC-klagomål mail.docx", "A 57747-2023")</f>
        <v/>
      </c>
      <c r="AC34">
        <f>HYPERLINK("https://klasma.github.io/Logging_1904/tillsyn/A 57747-2023 tillsynsbegäran.docx", "A 57747-2023")</f>
        <v/>
      </c>
      <c r="AD34">
        <f>HYPERLINK("https://klasma.github.io/Logging_1904/tillsynsmail/A 57747-2023 tillsynsbegäran mail.docx", "A 57747-2023")</f>
        <v/>
      </c>
    </row>
    <row r="35" ht="15" customHeight="1">
      <c r="A35" t="inlineStr">
        <is>
          <t>A 21849-2026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46281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12.5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HYPERLINK("https://klasma.github.io/Logging_1904/artfynd/A 21849-2026 artfynd.xlsx", "A 21849-2026")</f>
        <v/>
      </c>
      <c r="X35">
        <f>HYPERLINK("https://klasma.github.io/Logging_1904/kartor/A 21849-2026 karta.png", "A 21849-2026")</f>
        <v/>
      </c>
      <c r="Y35">
        <f>HYPERLINK("https://klasma.github.io/Logging_1904/kartor_geotiff/A 21849-2026 georefererad karta.tif", "A 21849-2026")</f>
        <v/>
      </c>
      <c r="Z35">
        <f>HYPERLINK("https://klasma.github.io/Logging_1904/knärot/A 21849-2026 karta knärot.png", "A 21849-2026")</f>
        <v/>
      </c>
      <c r="AA35">
        <f>HYPERLINK("https://klasma.github.io/Logging_1904/klagomål/A 21849-2026 FSC-klagomål.docx", "A 21849-2026")</f>
        <v/>
      </c>
      <c r="AB35">
        <f>HYPERLINK("https://klasma.github.io/Logging_1904/klagomålsmail/A 21849-2026 FSC-klagomål mail.docx", "A 21849-2026")</f>
        <v/>
      </c>
      <c r="AC35">
        <f>HYPERLINK("https://klasma.github.io/Logging_1904/tillsyn/A 21849-2026 tillsynsbegäran.docx", "A 21849-2026")</f>
        <v/>
      </c>
      <c r="AD35">
        <f>HYPERLINK("https://klasma.github.io/Logging_1904/tillsynsmail/A 21849-2026 tillsynsbegäran mail.docx", "A 21849-2026")</f>
        <v/>
      </c>
    </row>
    <row r="36" ht="15" customHeight="1">
      <c r="A36" t="inlineStr">
        <is>
          <t>A 24492-2026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46170</v>
      </c>
      <c r="E36" s="1" t="n">
        <v>46281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HYPERLINK("https://klasma.github.io/Logging_1904/artfynd/A 24492-2026 artfynd.xlsx", "A 24492-2026")</f>
        <v/>
      </c>
      <c r="X36">
        <f>HYPERLINK("https://klasma.github.io/Logging_1904/kartor/A 24492-2026 karta.png", "A 24492-2026")</f>
        <v/>
      </c>
      <c r="Y36">
        <f>HYPERLINK("https://klasma.github.io/Logging_1904/kartor_geotiff/A 24492-2026 georefererad karta.tif", "A 24492-2026")</f>
        <v/>
      </c>
      <c r="AA36">
        <f>HYPERLINK("https://klasma.github.io/Logging_1904/klagomål/A 24492-2026 FSC-klagomål.docx", "A 24492-2026")</f>
        <v/>
      </c>
      <c r="AB36">
        <f>HYPERLINK("https://klasma.github.io/Logging_1904/klagomålsmail/A 24492-2026 FSC-klagomål mail.docx", "A 24492-2026")</f>
        <v/>
      </c>
      <c r="AC36">
        <f>HYPERLINK("https://klasma.github.io/Logging_1904/tillsyn/A 24492-2026 tillsynsbegäran.docx", "A 24492-2026")</f>
        <v/>
      </c>
      <c r="AD36">
        <f>HYPERLINK("https://klasma.github.io/Logging_1904/tillsynsmail/A 24492-2026 tillsynsbegäran mail.docx", "A 24492-2026")</f>
        <v/>
      </c>
      <c r="AE36">
        <f>HYPERLINK("https://klasma.github.io/Logging_1904/fåglar/A 24492-2026 prioriterade fågelarter.docx", "A 24492-2026")</f>
        <v/>
      </c>
    </row>
    <row r="37" ht="15" customHeight="1">
      <c r="A37" t="inlineStr">
        <is>
          <t>A 24944-2026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46281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8.4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Garnlav</t>
        </is>
      </c>
      <c r="W37">
        <f>HYPERLINK("https://klasma.github.io/Logging_1904/artfynd/A 24944-2026 artfynd.xlsx", "A 24944-2026")</f>
        <v/>
      </c>
      <c r="X37">
        <f>HYPERLINK("https://klasma.github.io/Logging_1904/kartor/A 24944-2026 karta.png", "A 24944-2026")</f>
        <v/>
      </c>
      <c r="Y37">
        <f>HYPERLINK("https://klasma.github.io/Logging_1904/kartor_geotiff/A 24944-2026 georefererad karta.tif", "A 24944-2026")</f>
        <v/>
      </c>
      <c r="AA37">
        <f>HYPERLINK("https://klasma.github.io/Logging_1904/klagomål/A 24944-2026 FSC-klagomål.docx", "A 24944-2026")</f>
        <v/>
      </c>
      <c r="AB37">
        <f>HYPERLINK("https://klasma.github.io/Logging_1904/klagomålsmail/A 24944-2026 FSC-klagomål mail.docx", "A 24944-2026")</f>
        <v/>
      </c>
      <c r="AC37">
        <f>HYPERLINK("https://klasma.github.io/Logging_1904/tillsyn/A 24944-2026 tillsynsbegäran.docx", "A 24944-2026")</f>
        <v/>
      </c>
      <c r="AD37">
        <f>HYPERLINK("https://klasma.github.io/Logging_1904/tillsynsmail/A 24944-2026 tillsynsbegäran mail.docx", "A 24944-2026")</f>
        <v/>
      </c>
    </row>
    <row r="38" ht="15" customHeight="1">
      <c r="A38" t="inlineStr">
        <is>
          <t>A 49630-2024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46281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7.3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HYPERLINK("https://klasma.github.io/Logging_1904/artfynd/A 49630-2024 artfynd.xlsx", "A 49630-2024")</f>
        <v/>
      </c>
      <c r="X38">
        <f>HYPERLINK("https://klasma.github.io/Logging_1904/kartor/A 49630-2024 karta.png", "A 49630-2024")</f>
        <v/>
      </c>
      <c r="Y38">
        <f>HYPERLINK("https://klasma.github.io/Logging_1904/kartor_geotiff/A 49630-2024 georefererad karta.tif", "A 49630-2024")</f>
        <v/>
      </c>
      <c r="AA38">
        <f>HYPERLINK("https://klasma.github.io/Logging_1904/klagomål/A 49630-2024 FSC-klagomål.docx", "A 49630-2024")</f>
        <v/>
      </c>
      <c r="AB38">
        <f>HYPERLINK("https://klasma.github.io/Logging_1904/klagomålsmail/A 49630-2024 FSC-klagomål mail.docx", "A 49630-2024")</f>
        <v/>
      </c>
      <c r="AC38">
        <f>HYPERLINK("https://klasma.github.io/Logging_1904/tillsyn/A 49630-2024 tillsynsbegäran.docx", "A 49630-2024")</f>
        <v/>
      </c>
      <c r="AD38">
        <f>HYPERLINK("https://klasma.github.io/Logging_1904/tillsynsmail/A 49630-2024 tillsynsbegäran mail.docx", "A 49630-2024")</f>
        <v/>
      </c>
    </row>
    <row r="39" ht="15" customHeight="1">
      <c r="A39" t="inlineStr">
        <is>
          <t>A 26860-2026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46281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10.3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Kungsörn</t>
        </is>
      </c>
      <c r="W39">
        <f>HYPERLINK("https://klasma.github.io/Logging_1904/artfynd/A 26860-2026 artfynd.xlsx", "A 26860-2026")</f>
        <v/>
      </c>
      <c r="X39">
        <f>HYPERLINK("https://klasma.github.io/Logging_1904/kartor/A 26860-2026 karta.png", "A 26860-2026")</f>
        <v/>
      </c>
      <c r="Y39">
        <f>HYPERLINK("https://klasma.github.io/Logging_1904/kartor_geotiff/A 26860-2026 georefererad karta.tif", "A 26860-2026")</f>
        <v/>
      </c>
      <c r="AA39">
        <f>HYPERLINK("https://klasma.github.io/Logging_1904/klagomål/A 26860-2026 FSC-klagomål.docx", "A 26860-2026")</f>
        <v/>
      </c>
      <c r="AB39">
        <f>HYPERLINK("https://klasma.github.io/Logging_1904/klagomålsmail/A 26860-2026 FSC-klagomål mail.docx", "A 26860-2026")</f>
        <v/>
      </c>
      <c r="AC39">
        <f>HYPERLINK("https://klasma.github.io/Logging_1904/tillsyn/A 26860-2026 tillsynsbegäran.docx", "A 26860-2026")</f>
        <v/>
      </c>
      <c r="AD39">
        <f>HYPERLINK("https://klasma.github.io/Logging_1904/tillsynsmail/A 26860-2026 tillsynsbegäran mail.docx", "A 26860-2026")</f>
        <v/>
      </c>
      <c r="AE39">
        <f>HYPERLINK("https://klasma.github.io/Logging_1904/fåglar/A 26860-2026 prioriterade fågelarter.docx", "A 26860-2026")</f>
        <v/>
      </c>
    </row>
    <row r="40" ht="15" customHeight="1">
      <c r="A40" t="inlineStr">
        <is>
          <t>A 43413-2024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46281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Orange taggsvamp</t>
        </is>
      </c>
      <c r="W40">
        <f>HYPERLINK("https://klasma.github.io/Logging_1904/artfynd/A 43413-2024 artfynd.xlsx", "A 43413-2024")</f>
        <v/>
      </c>
      <c r="X40">
        <f>HYPERLINK("https://klasma.github.io/Logging_1904/kartor/A 43413-2024 karta.png", "A 43413-2024")</f>
        <v/>
      </c>
      <c r="Y40">
        <f>HYPERLINK("https://klasma.github.io/Logging_1904/kartor_geotiff/A 43413-2024 georefererad karta.tif", "A 43413-2024")</f>
        <v/>
      </c>
      <c r="AA40">
        <f>HYPERLINK("https://klasma.github.io/Logging_1904/klagomål/A 43413-2024 FSC-klagomål.docx", "A 43413-2024")</f>
        <v/>
      </c>
      <c r="AB40">
        <f>HYPERLINK("https://klasma.github.io/Logging_1904/klagomålsmail/A 43413-2024 FSC-klagomål mail.docx", "A 43413-2024")</f>
        <v/>
      </c>
      <c r="AC40">
        <f>HYPERLINK("https://klasma.github.io/Logging_1904/tillsyn/A 43413-2024 tillsynsbegäran.docx", "A 43413-2024")</f>
        <v/>
      </c>
      <c r="AD40">
        <f>HYPERLINK("https://klasma.github.io/Logging_1904/tillsynsmail/A 43413-2024 tillsynsbegäran mail.docx", "A 43413-2024")</f>
        <v/>
      </c>
    </row>
    <row r="41" ht="15" customHeight="1">
      <c r="A41" t="inlineStr">
        <is>
          <t>A 33435-2024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46281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33435-2024 artfynd.xlsx", "A 33435-2024")</f>
        <v/>
      </c>
      <c r="X41">
        <f>HYPERLINK("https://klasma.github.io/Logging_1904/kartor/A 33435-2024 karta.png", "A 33435-2024")</f>
        <v/>
      </c>
      <c r="Y41">
        <f>HYPERLINK("https://klasma.github.io/Logging_1904/kartor_geotiff/A 33435-2024 georefererad karta.tif", "A 33435-2024")</f>
        <v/>
      </c>
      <c r="AA41">
        <f>HYPERLINK("https://klasma.github.io/Logging_1904/klagomål/A 33435-2024 FSC-klagomål.docx", "A 33435-2024")</f>
        <v/>
      </c>
      <c r="AB41">
        <f>HYPERLINK("https://klasma.github.io/Logging_1904/klagomålsmail/A 33435-2024 FSC-klagomål mail.docx", "A 33435-2024")</f>
        <v/>
      </c>
      <c r="AC41">
        <f>HYPERLINK("https://klasma.github.io/Logging_1904/tillsyn/A 33435-2024 tillsynsbegäran.docx", "A 33435-2024")</f>
        <v/>
      </c>
      <c r="AD41">
        <f>HYPERLINK("https://klasma.github.io/Logging_1904/tillsynsmail/A 33435-2024 tillsynsbegäran mail.docx", "A 33435-2024")</f>
        <v/>
      </c>
      <c r="AE41">
        <f>HYPERLINK("https://klasma.github.io/Logging_1904/fåglar/A 33435-2024 prioriterade fågelarter.docx", "A 33435-2024")</f>
        <v/>
      </c>
    </row>
    <row r="42" ht="15" customHeight="1">
      <c r="A42" t="inlineStr">
        <is>
          <t>A 12024-2023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44995</v>
      </c>
      <c r="E42" s="1" t="n">
        <v>46281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HYPERLINK("https://klasma.github.io/Logging_1904/artfynd/A 12024-2023 artfynd.xlsx", "A 12024-2023")</f>
        <v/>
      </c>
      <c r="X42">
        <f>HYPERLINK("https://klasma.github.io/Logging_1904/kartor/A 12024-2023 karta.png", "A 12024-2023")</f>
        <v/>
      </c>
      <c r="Y42">
        <f>HYPERLINK("https://klasma.github.io/Logging_1904/kartor_geotiff/A 12024-2023 georefererad karta.tif", "A 12024-2023")</f>
        <v/>
      </c>
      <c r="AA42">
        <f>HYPERLINK("https://klasma.github.io/Logging_1904/klagomål/A 12024-2023 FSC-klagomål.docx", "A 12024-2023")</f>
        <v/>
      </c>
      <c r="AB42">
        <f>HYPERLINK("https://klasma.github.io/Logging_1904/klagomålsmail/A 12024-2023 FSC-klagomål mail.docx", "A 12024-2023")</f>
        <v/>
      </c>
      <c r="AC42">
        <f>HYPERLINK("https://klasma.github.io/Logging_1904/tillsyn/A 12024-2023 tillsynsbegäran.docx", "A 12024-2023")</f>
        <v/>
      </c>
      <c r="AD42">
        <f>HYPERLINK("https://klasma.github.io/Logging_1904/tillsynsmail/A 12024-2023 tillsynsbegäran mail.docx", "A 12024-2023")</f>
        <v/>
      </c>
    </row>
    <row r="43" ht="15" customHeight="1">
      <c r="A43" t="inlineStr">
        <is>
          <t>A 19205-2024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46281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3.4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Järpe</t>
        </is>
      </c>
      <c r="W43">
        <f>HYPERLINK("https://klasma.github.io/Logging_1904/artfynd/A 19205-2024 artfynd.xlsx", "A 19205-2024")</f>
        <v/>
      </c>
      <c r="X43">
        <f>HYPERLINK("https://klasma.github.io/Logging_1904/kartor/A 19205-2024 karta.png", "A 19205-2024")</f>
        <v/>
      </c>
      <c r="Y43">
        <f>HYPERLINK("https://klasma.github.io/Logging_1904/kartor_geotiff/A 19205-2024 georefererad karta.tif", "A 19205-2024")</f>
        <v/>
      </c>
      <c r="AA43">
        <f>HYPERLINK("https://klasma.github.io/Logging_1904/klagomål/A 19205-2024 FSC-klagomål.docx", "A 19205-2024")</f>
        <v/>
      </c>
      <c r="AB43">
        <f>HYPERLINK("https://klasma.github.io/Logging_1904/klagomålsmail/A 19205-2024 FSC-klagomål mail.docx", "A 19205-2024")</f>
        <v/>
      </c>
      <c r="AC43">
        <f>HYPERLINK("https://klasma.github.io/Logging_1904/tillsyn/A 19205-2024 tillsynsbegäran.docx", "A 19205-2024")</f>
        <v/>
      </c>
      <c r="AD43">
        <f>HYPERLINK("https://klasma.github.io/Logging_1904/tillsynsmail/A 19205-2024 tillsynsbegäran mail.docx", "A 19205-2024")</f>
        <v/>
      </c>
      <c r="AE43">
        <f>HYPERLINK("https://klasma.github.io/Logging_1904/fåglar/A 19205-2024 prioriterade fågelarter.docx", "A 19205-2024")</f>
        <v/>
      </c>
    </row>
    <row r="44" ht="15" customHeight="1">
      <c r="A44" t="inlineStr">
        <is>
          <t>A 30579-2026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46210</v>
      </c>
      <c r="E44" s="1" t="n">
        <v>46281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HYPERLINK("https://klasma.github.io/Logging_1904/artfynd/A 30579-2026 artfynd.xlsx", "A 30579-2026")</f>
        <v/>
      </c>
      <c r="X44">
        <f>HYPERLINK("https://klasma.github.io/Logging_1904/kartor/A 30579-2026 karta.png", "A 30579-2026")</f>
        <v/>
      </c>
      <c r="Y44">
        <f>HYPERLINK("https://klasma.github.io/Logging_1904/kartor_geotiff/A 30579-2026 georefererad karta.tif", "A 30579-2026")</f>
        <v/>
      </c>
      <c r="AA44">
        <f>HYPERLINK("https://klasma.github.io/Logging_1904/klagomål/A 30579-2026 FSC-klagomål.docx", "A 30579-2026")</f>
        <v/>
      </c>
      <c r="AB44">
        <f>HYPERLINK("https://klasma.github.io/Logging_1904/klagomålsmail/A 30579-2026 FSC-klagomål mail.docx", "A 30579-2026")</f>
        <v/>
      </c>
      <c r="AC44">
        <f>HYPERLINK("https://klasma.github.io/Logging_1904/tillsyn/A 30579-2026 tillsynsbegäran.docx", "A 30579-2026")</f>
        <v/>
      </c>
      <c r="AD44">
        <f>HYPERLINK("https://klasma.github.io/Logging_1904/tillsynsmail/A 30579-2026 tillsynsbegäran mail.docx", "A 30579-2026")</f>
        <v/>
      </c>
    </row>
    <row r="45" ht="15" customHeight="1">
      <c r="A45" t="inlineStr">
        <is>
          <t>A 35371-2026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46281</v>
      </c>
      <c r="F45" t="inlineStr">
        <is>
          <t>VÄSTMANLANDS LÄN</t>
        </is>
      </c>
      <c r="G45" t="inlineStr">
        <is>
          <t>SKINNSKATTEBERG</t>
        </is>
      </c>
      <c r="I45" t="n">
        <v>1.3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HYPERLINK("https://klasma.github.io/Logging_1904/artfynd/A 35371-2026 artfynd.xlsx", "A 35371-2026")</f>
        <v/>
      </c>
      <c r="X45">
        <f>HYPERLINK("https://klasma.github.io/Logging_1904/kartor/A 35371-2026 karta.png", "A 35371-2026")</f>
        <v/>
      </c>
      <c r="Y45">
        <f>HYPERLINK("https://klasma.github.io/Logging_1904/kartor_geotiff/A 35371-2026 georefererad karta.tif", "A 35371-2026")</f>
        <v/>
      </c>
      <c r="AA45">
        <f>HYPERLINK("https://klasma.github.io/Logging_1904/klagomål/A 35371-2026 FSC-klagomål.docx", "A 35371-2026")</f>
        <v/>
      </c>
      <c r="AB45">
        <f>HYPERLINK("https://klasma.github.io/Logging_1904/klagomålsmail/A 35371-2026 FSC-klagomål mail.docx", "A 35371-2026")</f>
        <v/>
      </c>
      <c r="AC45">
        <f>HYPERLINK("https://klasma.github.io/Logging_1904/tillsyn/A 35371-2026 tillsynsbegäran.docx", "A 35371-2026")</f>
        <v/>
      </c>
      <c r="AD45">
        <f>HYPERLINK("https://klasma.github.io/Logging_1904/tillsynsmail/A 35371-2026 tillsynsbegäran mail.docx", "A 35371-2026")</f>
        <v/>
      </c>
      <c r="AE45">
        <f>HYPERLINK("https://klasma.github.io/Logging_1904/fåglar/A 35371-2026 prioriterade fågelarter.docx", "A 35371-2026")</f>
        <v/>
      </c>
    </row>
    <row r="46" ht="15" customHeight="1">
      <c r="A46" t="inlineStr">
        <is>
          <t>A 36263-2026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46281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Lopplummer (aggregat)</t>
        </is>
      </c>
      <c r="W46">
        <f>HYPERLINK("https://klasma.github.io/Logging_1904/artfynd/A 36263-2026 artfynd.xlsx", "A 36263-2026")</f>
        <v/>
      </c>
      <c r="X46">
        <f>HYPERLINK("https://klasma.github.io/Logging_1904/kartor/A 36263-2026 karta.png", "A 36263-2026")</f>
        <v/>
      </c>
      <c r="Y46">
        <f>HYPERLINK("https://klasma.github.io/Logging_1904/kartor_geotiff/A 36263-2026 georefererad karta.tif", "A 36263-2026")</f>
        <v/>
      </c>
      <c r="AA46">
        <f>HYPERLINK("https://klasma.github.io/Logging_1904/klagomål/A 36263-2026 FSC-klagomål.docx", "A 36263-2026")</f>
        <v/>
      </c>
      <c r="AB46">
        <f>HYPERLINK("https://klasma.github.io/Logging_1904/klagomålsmail/A 36263-2026 FSC-klagomål mail.docx", "A 36263-2026")</f>
        <v/>
      </c>
      <c r="AC46">
        <f>HYPERLINK("https://klasma.github.io/Logging_1904/tillsyn/A 36263-2026 tillsynsbegäran.docx", "A 36263-2026")</f>
        <v/>
      </c>
      <c r="AD46">
        <f>HYPERLINK("https://klasma.github.io/Logging_1904/tillsynsmail/A 36263-2026 tillsynsbegäran mail.docx", "A 36263-2026")</f>
        <v/>
      </c>
    </row>
    <row r="47" ht="15" customHeight="1">
      <c r="A47" t="inlineStr">
        <is>
          <t>A 37900-2026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46281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9.199999999999999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HYPERLINK("https://klasma.github.io/Logging_1904/artfynd/A 37900-2026 artfynd.xlsx", "A 37900-2026")</f>
        <v/>
      </c>
      <c r="X47">
        <f>HYPERLINK("https://klasma.github.io/Logging_1904/kartor/A 37900-2026 karta.png", "A 37900-2026")</f>
        <v/>
      </c>
      <c r="Y47">
        <f>HYPERLINK("https://klasma.github.io/Logging_1904/kartor_geotiff/A 37900-2026 georefererad karta.tif", "A 37900-2026")</f>
        <v/>
      </c>
      <c r="AA47">
        <f>HYPERLINK("https://klasma.github.io/Logging_1904/klagomål/A 37900-2026 FSC-klagomål.docx", "A 37900-2026")</f>
        <v/>
      </c>
      <c r="AB47">
        <f>HYPERLINK("https://klasma.github.io/Logging_1904/klagomålsmail/A 37900-2026 FSC-klagomål mail.docx", "A 37900-2026")</f>
        <v/>
      </c>
      <c r="AC47">
        <f>HYPERLINK("https://klasma.github.io/Logging_1904/tillsyn/A 37900-2026 tillsynsbegäran.docx", "A 37900-2026")</f>
        <v/>
      </c>
      <c r="AD47">
        <f>HYPERLINK("https://klasma.github.io/Logging_1904/tillsynsmail/A 37900-2026 tillsynsbegäran mail.docx", "A 37900-2026")</f>
        <v/>
      </c>
      <c r="AE47">
        <f>HYPERLINK("https://klasma.github.io/Logging_1904/fåglar/A 37900-2026 prioriterade fågelarter.docx", "A 37900-2026")</f>
        <v/>
      </c>
    </row>
    <row r="48" ht="15" customHeight="1">
      <c r="A48" t="inlineStr">
        <is>
          <t>A 31006-2025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45832</v>
      </c>
      <c r="E48" s="1" t="n">
        <v>46281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HYPERLINK("https://klasma.github.io/Logging_1904/artfynd/A 31006-2025 artfynd.xlsx", "A 31006-2025")</f>
        <v/>
      </c>
      <c r="X48">
        <f>HYPERLINK("https://klasma.github.io/Logging_1904/kartor/A 31006-2025 karta.png", "A 31006-2025")</f>
        <v/>
      </c>
      <c r="Y48">
        <f>HYPERLINK("https://klasma.github.io/Logging_1904/kartor_geotiff/A 31006-2025 georefererad karta.tif", "A 31006-2025")</f>
        <v/>
      </c>
      <c r="AA48">
        <f>HYPERLINK("https://klasma.github.io/Logging_1904/klagomål/A 31006-2025 FSC-klagomål.docx", "A 31006-2025")</f>
        <v/>
      </c>
      <c r="AB48">
        <f>HYPERLINK("https://klasma.github.io/Logging_1904/klagomålsmail/A 31006-2025 FSC-klagomål mail.docx", "A 31006-2025")</f>
        <v/>
      </c>
      <c r="AC48">
        <f>HYPERLINK("https://klasma.github.io/Logging_1904/tillsyn/A 31006-2025 tillsynsbegäran.docx", "A 31006-2025")</f>
        <v/>
      </c>
      <c r="AD48">
        <f>HYPERLINK("https://klasma.github.io/Logging_1904/tillsynsmail/A 31006-2025 tillsynsbegäran mail.docx", "A 31006-2025")</f>
        <v/>
      </c>
      <c r="AE48">
        <f>HYPERLINK("https://klasma.github.io/Logging_1904/fåglar/A 31006-2025 prioriterade fågelarter.docx", "A 31006-2025")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46281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46281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46281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46281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46281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46281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46281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46281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46281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46281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46281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46281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46281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46281</v>
      </c>
      <c r="F62" t="inlineStr">
        <is>
          <t>VÄSTMANLANDS LÄN</t>
        </is>
      </c>
      <c r="G62" t="inlineStr">
        <is>
          <t>SKINNSKATTEBERG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46281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44741</v>
      </c>
      <c r="E64" s="1" t="n">
        <v>46281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46281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46281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46281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46281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46281</v>
      </c>
      <c r="F69" t="inlineStr">
        <is>
          <t>VÄSTMANLANDS LÄN</t>
        </is>
      </c>
      <c r="G69" t="inlineStr">
        <is>
          <t>SKINNSKATTEBERG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45512</v>
      </c>
      <c r="E70" s="1" t="n">
        <v>46281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44852</v>
      </c>
      <c r="E71" s="1" t="n">
        <v>46281</v>
      </c>
      <c r="F71" t="inlineStr">
        <is>
          <t>VÄSTMANLANDS LÄN</t>
        </is>
      </c>
      <c r="G71" t="inlineStr">
        <is>
          <t>SKINNSKATTEBERG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46281</v>
      </c>
      <c r="F72" t="inlineStr">
        <is>
          <t>VÄSTMANLANDS LÄN</t>
        </is>
      </c>
      <c r="G72" t="inlineStr">
        <is>
          <t>SKINNSKATTEBERG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24427-2023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45082</v>
      </c>
      <c r="E73" s="1" t="n">
        <v>46281</v>
      </c>
      <c r="F73" t="inlineStr">
        <is>
          <t>VÄSTMANLANDS LÄN</t>
        </is>
      </c>
      <c r="G73" t="inlineStr">
        <is>
          <t>SKINNSKATTEBERG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49847-2021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46281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45407</v>
      </c>
      <c r="E75" s="1" t="n">
        <v>46281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27328-2023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46281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20248-2024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45434</v>
      </c>
      <c r="E77" s="1" t="n">
        <v>46281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46281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40320-2023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45169</v>
      </c>
      <c r="E79" s="1" t="n">
        <v>46281</v>
      </c>
      <c r="F79" t="inlineStr">
        <is>
          <t>VÄSTMANLANDS LÄN</t>
        </is>
      </c>
      <c r="G79" t="inlineStr">
        <is>
          <t>SKINNSKATTEBERG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46281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46281</v>
      </c>
      <c r="F81" t="inlineStr">
        <is>
          <t>VÄSTMANLANDS LÄN</t>
        </is>
      </c>
      <c r="G81" t="inlineStr">
        <is>
          <t>SKINNSKATTEBERG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46281</v>
      </c>
      <c r="F82" t="inlineStr">
        <is>
          <t>VÄSTMANLANDS LÄN</t>
        </is>
      </c>
      <c r="G82" t="inlineStr">
        <is>
          <t>SKINNSKATTEBERG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45420</v>
      </c>
      <c r="E83" s="1" t="n">
        <v>46281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46281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Kyrkan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46281</v>
      </c>
      <c r="F85" t="inlineStr">
        <is>
          <t>VÄSTMANLANDS LÄN</t>
        </is>
      </c>
      <c r="G85" t="inlineStr">
        <is>
          <t>SKINNSKATTEBERG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45880</v>
      </c>
      <c r="E86" s="1" t="n">
        <v>46281</v>
      </c>
      <c r="F86" t="inlineStr">
        <is>
          <t>VÄSTMANLANDS LÄN</t>
        </is>
      </c>
      <c r="G86" t="inlineStr">
        <is>
          <t>SKINNSKATTEBERG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16729-2024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45410</v>
      </c>
      <c r="E87" s="1" t="n">
        <v>46281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37210-2022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46281</v>
      </c>
      <c r="F88" t="inlineStr">
        <is>
          <t>VÄSTMANLANDS LÄN</t>
        </is>
      </c>
      <c r="G88" t="inlineStr">
        <is>
          <t>SKINNSKATTEBERG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46281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45447</v>
      </c>
      <c r="E90" s="1" t="n">
        <v>46281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45306</v>
      </c>
      <c r="E91" s="1" t="n">
        <v>46281</v>
      </c>
      <c r="F91" t="inlineStr">
        <is>
          <t>VÄSTMANLANDS LÄN</t>
        </is>
      </c>
      <c r="G91" t="inlineStr">
        <is>
          <t>SKINNSKATTEBERG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45306</v>
      </c>
      <c r="E92" s="1" t="n">
        <v>46281</v>
      </c>
      <c r="F92" t="inlineStr">
        <is>
          <t>VÄSTMANLANDS LÄN</t>
        </is>
      </c>
      <c r="G92" t="inlineStr">
        <is>
          <t>SKINNSKATTEBERG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46281</v>
      </c>
      <c r="F93" t="inlineStr">
        <is>
          <t>VÄSTMANLANDS LÄN</t>
        </is>
      </c>
      <c r="G93" t="inlineStr">
        <is>
          <t>SKINNSKATTEBERG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46281</v>
      </c>
      <c r="F94" t="inlineStr">
        <is>
          <t>VÄSTMANLANDS LÄN</t>
        </is>
      </c>
      <c r="G94" t="inlineStr">
        <is>
          <t>SKINNSKATTEBERG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46281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Kyrkan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27653-2023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45097</v>
      </c>
      <c r="E96" s="1" t="n">
        <v>46281</v>
      </c>
      <c r="F96" t="inlineStr">
        <is>
          <t>VÄSTMANLANDS LÄN</t>
        </is>
      </c>
      <c r="G96" t="inlineStr">
        <is>
          <t>SKINNSKATTEBERG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44498</v>
      </c>
      <c r="E97" s="1" t="n">
        <v>46281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44468</v>
      </c>
      <c r="E98" s="1" t="n">
        <v>46281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45247</v>
      </c>
      <c r="E99" s="1" t="n">
        <v>46281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46281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46281</v>
      </c>
      <c r="F101" t="inlineStr">
        <is>
          <t>VÄSTMANLANDS LÄN</t>
        </is>
      </c>
      <c r="G101" t="inlineStr">
        <is>
          <t>SKINNSKATTEBERG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45532</v>
      </c>
      <c r="E102" s="1" t="n">
        <v>46281</v>
      </c>
      <c r="F102" t="inlineStr">
        <is>
          <t>VÄSTMANLANDS LÄN</t>
        </is>
      </c>
      <c r="G102" t="inlineStr">
        <is>
          <t>SKINNSKATTEBERG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44693-2024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46281</v>
      </c>
      <c r="F103" t="inlineStr">
        <is>
          <t>VÄSTMANLANDS LÄN</t>
        </is>
      </c>
      <c r="G103" t="inlineStr">
        <is>
          <t>SKINNSKATTEBERG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45574</v>
      </c>
      <c r="E104" s="1" t="n">
        <v>46281</v>
      </c>
      <c r="F104" t="inlineStr">
        <is>
          <t>VÄSTMANLANDS LÄN</t>
        </is>
      </c>
      <c r="G104" t="inlineStr">
        <is>
          <t>SKINNSKATTEBERG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51508-2021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46281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55428-2021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44475</v>
      </c>
      <c r="E106" s="1" t="n">
        <v>46281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45063</v>
      </c>
      <c r="E107" s="1" t="n">
        <v>46281</v>
      </c>
      <c r="F107" t="inlineStr">
        <is>
          <t>VÄSTMANLANDS LÄN</t>
        </is>
      </c>
      <c r="G107" t="inlineStr">
        <is>
          <t>SKINNSKATTEBERG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40782-2025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46281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40783-2025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45897</v>
      </c>
      <c r="E109" s="1" t="n">
        <v>46281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46281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45063</v>
      </c>
      <c r="E111" s="1" t="n">
        <v>46281</v>
      </c>
      <c r="F111" t="inlineStr">
        <is>
          <t>VÄSTMANLANDS LÄN</t>
        </is>
      </c>
      <c r="G111" t="inlineStr">
        <is>
          <t>SKINNSKATTEBERG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46281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46281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40776-2025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45897</v>
      </c>
      <c r="E114" s="1" t="n">
        <v>46281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46281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46281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45054</v>
      </c>
      <c r="E117" s="1" t="n">
        <v>46281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46281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15094-2026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46105</v>
      </c>
      <c r="E119" s="1" t="n">
        <v>46281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15732-2026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46107</v>
      </c>
      <c r="E120" s="1" t="n">
        <v>46281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15730-2026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46107</v>
      </c>
      <c r="E121" s="1" t="n">
        <v>46281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46107</v>
      </c>
      <c r="E122" s="1" t="n">
        <v>46281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45915</v>
      </c>
      <c r="E123" s="1" t="n">
        <v>46281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44184-2025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45915</v>
      </c>
      <c r="E124" s="1" t="n">
        <v>46281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16088-2024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45406</v>
      </c>
      <c r="E125" s="1" t="n">
        <v>46281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45554</v>
      </c>
      <c r="E126" s="1" t="n">
        <v>46281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41581-2025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46281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45216</v>
      </c>
      <c r="E128" s="1" t="n">
        <v>46281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16136-2026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46108</v>
      </c>
      <c r="E129" s="1" t="n">
        <v>46281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45506</v>
      </c>
      <c r="E130" s="1" t="n">
        <v>46281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15955-2026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46108</v>
      </c>
      <c r="E131" s="1" t="n">
        <v>46281</v>
      </c>
      <c r="F131" t="inlineStr">
        <is>
          <t>VÄSTMANLANDS LÄN</t>
        </is>
      </c>
      <c r="G131" t="inlineStr">
        <is>
          <t>SKINNSKATTEBERG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46281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46281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46281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46281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45504</v>
      </c>
      <c r="E136" s="1" t="n">
        <v>46281</v>
      </c>
      <c r="F136" t="inlineStr">
        <is>
          <t>VÄSTMANLANDS LÄN</t>
        </is>
      </c>
      <c r="G136" t="inlineStr">
        <is>
          <t>SKINNSKATTEBERG</t>
        </is>
      </c>
      <c r="I136" t="n">
        <v>17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46281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45532</v>
      </c>
      <c r="E138" s="1" t="n">
        <v>46281</v>
      </c>
      <c r="F138" t="inlineStr">
        <is>
          <t>VÄSTMANLANDS LÄN</t>
        </is>
      </c>
      <c r="G138" t="inlineStr">
        <is>
          <t>SKINNSKATTEBERG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46114</v>
      </c>
      <c r="E139" s="1" t="n">
        <v>46281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46281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46281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46281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46281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17344-2026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46281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48825-2022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46281</v>
      </c>
      <c r="F145" t="inlineStr">
        <is>
          <t>VÄSTMANLANDS LÄN</t>
        </is>
      </c>
      <c r="G145" t="inlineStr">
        <is>
          <t>SKINNSKATTEBERG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46122</v>
      </c>
      <c r="E146" s="1" t="n">
        <v>46281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46281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46281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46281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46281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46129</v>
      </c>
      <c r="E151" s="1" t="n">
        <v>46281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19582-2026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46134</v>
      </c>
      <c r="E152" s="1" t="n">
        <v>46281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19541-2026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46134</v>
      </c>
      <c r="E153" s="1" t="n">
        <v>46281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19540-2026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46134</v>
      </c>
      <c r="E154" s="1" t="n">
        <v>46281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46281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Kyrkan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53142-2021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44468</v>
      </c>
      <c r="E156" s="1" t="n">
        <v>46281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46281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46136</v>
      </c>
      <c r="E158" s="1" t="n">
        <v>46281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53145-2021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44468</v>
      </c>
      <c r="E159" s="1" t="n">
        <v>46281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45947</v>
      </c>
      <c r="E160" s="1" t="n">
        <v>46281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46281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51025-2025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46281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51026-2025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45947</v>
      </c>
      <c r="E163" s="1" t="n">
        <v>46281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45156</v>
      </c>
      <c r="E164" s="1" t="n">
        <v>46281</v>
      </c>
      <c r="F164" t="inlineStr">
        <is>
          <t>VÄSTMANLANDS LÄN</t>
        </is>
      </c>
      <c r="G164" t="inlineStr">
        <is>
          <t>SKINNSKATTEBERG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45952</v>
      </c>
      <c r="E165" s="1" t="n">
        <v>46281</v>
      </c>
      <c r="F165" t="inlineStr">
        <is>
          <t>VÄSTMANLANDS LÄN</t>
        </is>
      </c>
      <c r="G165" t="inlineStr">
        <is>
          <t>SKINNSKATTEBERG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46281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53132-2025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46281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46281</v>
      </c>
      <c r="F168" t="inlineStr">
        <is>
          <t>VÄSTMANLANDS LÄN</t>
        </is>
      </c>
      <c r="G168" t="inlineStr">
        <is>
          <t>SKINNSKATTEBERG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36248-2024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45534</v>
      </c>
      <c r="E169" s="1" t="n">
        <v>46281</v>
      </c>
      <c r="F169" t="inlineStr">
        <is>
          <t>VÄSTMANLANDS LÄN</t>
        </is>
      </c>
      <c r="G169" t="inlineStr">
        <is>
          <t>SKINNSKATTEBERG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46281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20563-2026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46140</v>
      </c>
      <c r="E171" s="1" t="n">
        <v>46281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46281</v>
      </c>
      <c r="F172" t="inlineStr">
        <is>
          <t>VÄSTMANLANDS LÄN</t>
        </is>
      </c>
      <c r="G172" t="inlineStr">
        <is>
          <t>SKINNSKATTEBERG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46281</v>
      </c>
      <c r="F173" t="inlineStr">
        <is>
          <t>VÄSTMANLANDS LÄN</t>
        </is>
      </c>
      <c r="G173" t="inlineStr">
        <is>
          <t>SKINNSKATTEBERG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45447</v>
      </c>
      <c r="E174" s="1" t="n">
        <v>46281</v>
      </c>
      <c r="F174" t="inlineStr">
        <is>
          <t>VÄSTMANLANDS LÄN</t>
        </is>
      </c>
      <c r="G174" t="inlineStr">
        <is>
          <t>SKINNSKATTEBERG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15184-2025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45744</v>
      </c>
      <c r="E175" s="1" t="n">
        <v>46281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46281</v>
      </c>
      <c r="F176" t="inlineStr">
        <is>
          <t>VÄSTMANLANDS LÄN</t>
        </is>
      </c>
      <c r="G176" t="inlineStr">
        <is>
          <t>SKINNSKATTEBERG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46281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46281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46281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45040</v>
      </c>
      <c r="E180" s="1" t="n">
        <v>46281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46281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46281</v>
      </c>
      <c r="F182" t="inlineStr">
        <is>
          <t>VÄSTMANLANDS LÄN</t>
        </is>
      </c>
      <c r="G182" t="inlineStr">
        <is>
          <t>SKINNSKATTEBERG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46281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46281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46281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45376</v>
      </c>
      <c r="E186" s="1" t="n">
        <v>46281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56465-2025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45975</v>
      </c>
      <c r="E187" s="1" t="n">
        <v>46281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20816-2023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46281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46281</v>
      </c>
      <c r="F189" t="inlineStr">
        <is>
          <t>VÄSTMANLANDS LÄN</t>
        </is>
      </c>
      <c r="G189" t="inlineStr">
        <is>
          <t>SKINNSKATTEBERG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44993</v>
      </c>
      <c r="E190" s="1" t="n">
        <v>46281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46281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45048</v>
      </c>
      <c r="E192" s="1" t="n">
        <v>46281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46281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46281</v>
      </c>
      <c r="F194" t="inlineStr">
        <is>
          <t>VÄSTMANLANDS LÄN</t>
        </is>
      </c>
      <c r="G194" t="inlineStr">
        <is>
          <t>SKINNSKATTEBERG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46281</v>
      </c>
      <c r="F195" t="inlineStr">
        <is>
          <t>VÄSTMANLANDS LÄN</t>
        </is>
      </c>
      <c r="G195" t="inlineStr">
        <is>
          <t>SKINNSKATTEBERG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46281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46142</v>
      </c>
      <c r="E197" s="1" t="n">
        <v>46281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45987</v>
      </c>
      <c r="E198" s="1" t="n">
        <v>46281</v>
      </c>
      <c r="F198" t="inlineStr">
        <is>
          <t>VÄSTMANLANDS LÄN</t>
        </is>
      </c>
      <c r="G198" t="inlineStr">
        <is>
          <t>SKINNSKATTEBERG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46281</v>
      </c>
      <c r="F199" t="inlineStr">
        <is>
          <t>VÄSTMANLANDS LÄN</t>
        </is>
      </c>
      <c r="G199" t="inlineStr">
        <is>
          <t>SKINNSKATTEBERG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46141</v>
      </c>
      <c r="E200" s="1" t="n">
        <v>46281</v>
      </c>
      <c r="F200" t="inlineStr">
        <is>
          <t>VÄSTMANLANDS LÄN</t>
        </is>
      </c>
      <c r="G200" t="inlineStr">
        <is>
          <t>SKINNSKATTEBERG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45177</v>
      </c>
      <c r="E201" s="1" t="n">
        <v>46281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46281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46281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44728</v>
      </c>
      <c r="E204" s="1" t="n">
        <v>46281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46281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30988-2022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44768</v>
      </c>
      <c r="E206" s="1" t="n">
        <v>46281</v>
      </c>
      <c r="F206" t="inlineStr">
        <is>
          <t>VÄSTMANLANDS LÄN</t>
        </is>
      </c>
      <c r="G206" t="inlineStr">
        <is>
          <t>SKINNSKATTEBERG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46142</v>
      </c>
      <c r="E207" s="1" t="n">
        <v>46281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20852-2026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46281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46281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46142</v>
      </c>
      <c r="E210" s="1" t="n">
        <v>46281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46281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46281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45531</v>
      </c>
      <c r="E213" s="1" t="n">
        <v>46281</v>
      </c>
      <c r="F213" t="inlineStr">
        <is>
          <t>VÄSTMANLANDS LÄN</t>
        </is>
      </c>
      <c r="G213" t="inlineStr">
        <is>
          <t>SKINNSKATTEBERG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21848-2026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46281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46150</v>
      </c>
      <c r="E215" s="1" t="n">
        <v>46281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44603</v>
      </c>
      <c r="E216" s="1" t="n">
        <v>46281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46281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45754</v>
      </c>
      <c r="E218" s="1" t="n">
        <v>46281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13676-2022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44648</v>
      </c>
      <c r="E219" s="1" t="n">
        <v>46281</v>
      </c>
      <c r="F219" t="inlineStr">
        <is>
          <t>VÄSTMANLANDS LÄN</t>
        </is>
      </c>
      <c r="G219" t="inlineStr">
        <is>
          <t>SKINNSKATTEBERG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45425</v>
      </c>
      <c r="E220" s="1" t="n">
        <v>46281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46281</v>
      </c>
      <c r="F221" t="inlineStr">
        <is>
          <t>VÄSTMANLANDS LÄN</t>
        </is>
      </c>
      <c r="G221" t="inlineStr">
        <is>
          <t>SKINNSKATTEBERG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46281</v>
      </c>
      <c r="F222" t="inlineStr">
        <is>
          <t>VÄSTMANLANDS LÄN</t>
        </is>
      </c>
      <c r="G222" t="inlineStr">
        <is>
          <t>SKINNSKATTEBERG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45485</v>
      </c>
      <c r="E223" s="1" t="n">
        <v>46281</v>
      </c>
      <c r="F223" t="inlineStr">
        <is>
          <t>VÄSTMANLANDS LÄN</t>
        </is>
      </c>
      <c r="G223" t="inlineStr">
        <is>
          <t>SKINNSKATTEBERG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62934-2025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46009</v>
      </c>
      <c r="E224" s="1" t="n">
        <v>46281</v>
      </c>
      <c r="F224" t="inlineStr">
        <is>
          <t>VÄSTMANLANDS LÄN</t>
        </is>
      </c>
      <c r="G224" t="inlineStr">
        <is>
          <t>SKINNSKATTEBERG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62933-2025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46009</v>
      </c>
      <c r="E225" s="1" t="n">
        <v>46281</v>
      </c>
      <c r="F225" t="inlineStr">
        <is>
          <t>VÄSTMANLANDS LÄN</t>
        </is>
      </c>
      <c r="G225" t="inlineStr">
        <is>
          <t>SKINNSKATTEBERG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22779-2026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46157</v>
      </c>
      <c r="E226" s="1" t="n">
        <v>46281</v>
      </c>
      <c r="F226" t="inlineStr">
        <is>
          <t>VÄSTMANLANDS LÄN</t>
        </is>
      </c>
      <c r="G226" t="inlineStr">
        <is>
          <t>SKINNSKATTEBERG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45686</v>
      </c>
      <c r="E227" s="1" t="n">
        <v>46281</v>
      </c>
      <c r="F227" t="inlineStr">
        <is>
          <t>VÄSTMANLANDS LÄN</t>
        </is>
      </c>
      <c r="G227" t="inlineStr">
        <is>
          <t>SKINNSKATTEBERG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46281</v>
      </c>
      <c r="F228" t="inlineStr">
        <is>
          <t>VÄSTMANLANDS LÄN</t>
        </is>
      </c>
      <c r="G228" t="inlineStr">
        <is>
          <t>SKINNSKATTEBERG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46163</v>
      </c>
      <c r="E229" s="1" t="n">
        <v>46281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46281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46281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46281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46281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46037</v>
      </c>
      <c r="E234" s="1" t="n">
        <v>46281</v>
      </c>
      <c r="F234" t="inlineStr">
        <is>
          <t>VÄSTMANLANDS LÄN</t>
        </is>
      </c>
      <c r="G234" t="inlineStr">
        <is>
          <t>SKINNSKATTEBERG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53183-2021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44468</v>
      </c>
      <c r="E235" s="1" t="n">
        <v>46281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46281</v>
      </c>
      <c r="F236" t="inlineStr">
        <is>
          <t>VÄSTMANLANDS LÄN</t>
        </is>
      </c>
      <c r="G236" t="inlineStr">
        <is>
          <t>SKINNSKATTEBERG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46281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46281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46281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46281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24493-2026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46281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52600-2021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44466</v>
      </c>
      <c r="E242" s="1" t="n">
        <v>46281</v>
      </c>
      <c r="F242" t="inlineStr">
        <is>
          <t>VÄSTMANLANDS LÄN</t>
        </is>
      </c>
      <c r="G242" t="inlineStr">
        <is>
          <t>SKINNSKATTEBERG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16089-2024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46281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30353-2023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45111</v>
      </c>
      <c r="E244" s="1" t="n">
        <v>46281</v>
      </c>
      <c r="F244" t="inlineStr">
        <is>
          <t>VÄSTMANLANDS LÄN</t>
        </is>
      </c>
      <c r="G244" t="inlineStr">
        <is>
          <t>SKINNSKATTEBERG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46281</v>
      </c>
      <c r="F245" t="inlineStr">
        <is>
          <t>VÄSTMANLANDS LÄN</t>
        </is>
      </c>
      <c r="G245" t="inlineStr">
        <is>
          <t>SKINNSKATTEBERG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45252</v>
      </c>
      <c r="E246" s="1" t="n">
        <v>46281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46281</v>
      </c>
      <c r="F247" t="inlineStr">
        <is>
          <t>VÄSTMANLANDS LÄN</t>
        </is>
      </c>
      <c r="G247" t="inlineStr">
        <is>
          <t>SKINNSKATTEBERG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46281</v>
      </c>
      <c r="F248" t="inlineStr">
        <is>
          <t>VÄSTMANLANDS LÄN</t>
        </is>
      </c>
      <c r="G248" t="inlineStr">
        <is>
          <t>SKINNSKATTEBERG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45387</v>
      </c>
      <c r="E249" s="1" t="n">
        <v>46281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5704-2026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46051</v>
      </c>
      <c r="E250" s="1" t="n">
        <v>46281</v>
      </c>
      <c r="F250" t="inlineStr">
        <is>
          <t>VÄSTMANLANDS LÄN</t>
        </is>
      </c>
      <c r="G250" t="inlineStr">
        <is>
          <t>SKINNSKATTEBERG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5693-2026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46051</v>
      </c>
      <c r="E251" s="1" t="n">
        <v>46281</v>
      </c>
      <c r="F251" t="inlineStr">
        <is>
          <t>VÄSTMANLANDS LÄN</t>
        </is>
      </c>
      <c r="G251" t="inlineStr">
        <is>
          <t>SKINNSKATTEBERG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5675-2026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46051</v>
      </c>
      <c r="E252" s="1" t="n">
        <v>46281</v>
      </c>
      <c r="F252" t="inlineStr">
        <is>
          <t>VÄSTMANLANDS LÄN</t>
        </is>
      </c>
      <c r="G252" t="inlineStr">
        <is>
          <t>SKINNSKATTEBERG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46281</v>
      </c>
      <c r="F253" t="inlineStr">
        <is>
          <t>VÄSTMANLANDS LÄN</t>
        </is>
      </c>
      <c r="G253" t="inlineStr">
        <is>
          <t>SKINNSKATTEBERG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58834-2022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44903</v>
      </c>
      <c r="E254" s="1" t="n">
        <v>46281</v>
      </c>
      <c r="F254" t="inlineStr">
        <is>
          <t>VÄSTMANLANDS LÄN</t>
        </is>
      </c>
      <c r="G254" t="inlineStr">
        <is>
          <t>SKINNSKATTEBERG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46281</v>
      </c>
      <c r="F255" t="inlineStr">
        <is>
          <t>VÄSTMANLANDS LÄN</t>
        </is>
      </c>
      <c r="G255" t="inlineStr">
        <is>
          <t>SKINNSKATTEBERG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25750-2026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46281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46281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31262-2023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45114</v>
      </c>
      <c r="E258" s="1" t="n">
        <v>46281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46281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46281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46182</v>
      </c>
      <c r="E261" s="1" t="n">
        <v>46281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45128</v>
      </c>
      <c r="E262" s="1" t="n">
        <v>46281</v>
      </c>
      <c r="F262" t="inlineStr">
        <is>
          <t>VÄSTMANLANDS LÄN</t>
        </is>
      </c>
      <c r="G262" t="inlineStr">
        <is>
          <t>SKINNSKATTEBERG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46182</v>
      </c>
      <c r="E263" s="1" t="n">
        <v>46281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46281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46281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46281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46281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11800-2024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45375</v>
      </c>
      <c r="E268" s="1" t="n">
        <v>46281</v>
      </c>
      <c r="F268" t="inlineStr">
        <is>
          <t>VÄSTMANLANDS LÄN</t>
        </is>
      </c>
      <c r="G268" t="inlineStr">
        <is>
          <t>SKINNSKATTEBERG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46281</v>
      </c>
      <c r="F269" t="inlineStr">
        <is>
          <t>VÄSTMANLANDS LÄN</t>
        </is>
      </c>
      <c r="G269" t="inlineStr">
        <is>
          <t>SKINNSKATTEBERG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43400-2024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45568</v>
      </c>
      <c r="E270" s="1" t="n">
        <v>46281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46281</v>
      </c>
      <c r="F271" t="inlineStr">
        <is>
          <t>VÄSTMANLANDS LÄN</t>
        </is>
      </c>
      <c r="G271" t="inlineStr">
        <is>
          <t>SKINNSKATTEBERG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46191</v>
      </c>
      <c r="E272" s="1" t="n">
        <v>46281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46281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46281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27921-2026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46191</v>
      </c>
      <c r="E275" s="1" t="n">
        <v>46281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35059-2024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45527</v>
      </c>
      <c r="E276" s="1" t="n">
        <v>46281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46281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13713-2024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45390</v>
      </c>
      <c r="E278" s="1" t="n">
        <v>46281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53880-2021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46281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45434</v>
      </c>
      <c r="E280" s="1" t="n">
        <v>46281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25843-2023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45090</v>
      </c>
      <c r="E281" s="1" t="n">
        <v>46281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46281</v>
      </c>
      <c r="F282" t="inlineStr">
        <is>
          <t>VÄSTMANLANDS LÄN</t>
        </is>
      </c>
      <c r="G282" t="inlineStr">
        <is>
          <t>SKINNSKATTEBERG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45762</v>
      </c>
      <c r="E283" s="1" t="n">
        <v>46281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46281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46281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46281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45686</v>
      </c>
      <c r="E287" s="1" t="n">
        <v>46281</v>
      </c>
      <c r="F287" t="inlineStr">
        <is>
          <t>VÄSTMANLANDS LÄN</t>
        </is>
      </c>
      <c r="G287" t="inlineStr">
        <is>
          <t>SKINNSKATTEBERG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46281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59578-2024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45637</v>
      </c>
      <c r="E289" s="1" t="n">
        <v>46281</v>
      </c>
      <c r="F289" t="inlineStr">
        <is>
          <t>VÄSTMANLANDS LÄN</t>
        </is>
      </c>
      <c r="G289" t="inlineStr">
        <is>
          <t>SKINNSKATTEBERG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46281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46200</v>
      </c>
      <c r="E291" s="1" t="n">
        <v>46281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45006</v>
      </c>
      <c r="E292" s="1" t="n">
        <v>46281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Allmännings- och besparingsskogar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46199</v>
      </c>
      <c r="E293" s="1" t="n">
        <v>46281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46200</v>
      </c>
      <c r="E294" s="1" t="n">
        <v>46281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32859-2026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46244</v>
      </c>
      <c r="E295" s="1" t="n">
        <v>46281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46281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46281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46281</v>
      </c>
      <c r="F298" t="inlineStr">
        <is>
          <t>VÄSTMANLANDS LÄN</t>
        </is>
      </c>
      <c r="G298" t="inlineStr">
        <is>
          <t>SKINNSKATTEBERG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46281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32868-2026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46244</v>
      </c>
      <c r="E300" s="1" t="n">
        <v>46281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46244</v>
      </c>
      <c r="E301" s="1" t="n">
        <v>46281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32870-2026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46244</v>
      </c>
      <c r="E302" s="1" t="n">
        <v>46281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66584-2021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44519</v>
      </c>
      <c r="E303" s="1" t="n">
        <v>46281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54657-2022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44883</v>
      </c>
      <c r="E304" s="1" t="n">
        <v>46281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44803</v>
      </c>
      <c r="E305" s="1" t="n">
        <v>46281</v>
      </c>
      <c r="F305" t="inlineStr">
        <is>
          <t>VÄSTMANLANDS LÄN</t>
        </is>
      </c>
      <c r="G305" t="inlineStr">
        <is>
          <t>SKINNSKATTEBERG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44995</v>
      </c>
      <c r="E306" s="1" t="n">
        <v>46281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46281</v>
      </c>
      <c r="F307" t="inlineStr">
        <is>
          <t>VÄSTMANLANDS LÄN</t>
        </is>
      </c>
      <c r="G307" t="inlineStr">
        <is>
          <t>SKINNSKATTEBERG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45401</v>
      </c>
      <c r="E308" s="1" t="n">
        <v>46281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18161-2024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45420</v>
      </c>
      <c r="E309" s="1" t="n">
        <v>46281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45014</v>
      </c>
      <c r="E310" s="1" t="n">
        <v>46281</v>
      </c>
      <c r="F310" t="inlineStr">
        <is>
          <t>VÄSTMANLANDS LÄN</t>
        </is>
      </c>
      <c r="G310" t="inlineStr">
        <is>
          <t>SKINNSKATTEBERG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14736-2023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45014</v>
      </c>
      <c r="E311" s="1" t="n">
        <v>46281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46247</v>
      </c>
      <c r="E312" s="1" t="n">
        <v>46281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45643</v>
      </c>
      <c r="E313" s="1" t="n">
        <v>46281</v>
      </c>
      <c r="F313" t="inlineStr">
        <is>
          <t>VÄSTMANLANDS LÄN</t>
        </is>
      </c>
      <c r="G313" t="inlineStr">
        <is>
          <t>SKINNSKATTEBERG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60185-2022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44910</v>
      </c>
      <c r="E314" s="1" t="n">
        <v>46281</v>
      </c>
      <c r="F314" t="inlineStr">
        <is>
          <t>VÄSTMANLANDS LÄN</t>
        </is>
      </c>
      <c r="G314" t="inlineStr">
        <is>
          <t>SKINNSKATTEBERG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45134</v>
      </c>
      <c r="E315" s="1" t="n">
        <v>46281</v>
      </c>
      <c r="F315" t="inlineStr">
        <is>
          <t>VÄSTMANLANDS LÄN</t>
        </is>
      </c>
      <c r="G315" t="inlineStr">
        <is>
          <t>SKINNSKATTEBERG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15561-2024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45401</v>
      </c>
      <c r="E316" s="1" t="n">
        <v>46281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45198</v>
      </c>
      <c r="E317" s="1" t="n">
        <v>46281</v>
      </c>
      <c r="F317" t="inlineStr">
        <is>
          <t>VÄSTMANLANDS LÄN</t>
        </is>
      </c>
      <c r="G317" t="inlineStr">
        <is>
          <t>SKINNSKATTEBERG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33553-2026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46248</v>
      </c>
      <c r="E318" s="1" t="n">
        <v>46281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45114</v>
      </c>
      <c r="E319" s="1" t="n">
        <v>46281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45068</v>
      </c>
      <c r="E320" s="1" t="n">
        <v>46281</v>
      </c>
      <c r="F320" t="inlineStr">
        <is>
          <t>VÄSTMANLANDS LÄN</t>
        </is>
      </c>
      <c r="G320" t="inlineStr">
        <is>
          <t>SKINNSKATTEBERG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22394-2022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44713</v>
      </c>
      <c r="E321" s="1" t="n">
        <v>46281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45407</v>
      </c>
      <c r="E322" s="1" t="n">
        <v>46281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46210</v>
      </c>
      <c r="E323" s="1" t="n">
        <v>46281</v>
      </c>
      <c r="F323" t="inlineStr">
        <is>
          <t>VÄSTMANLANDS LÄN</t>
        </is>
      </c>
      <c r="G323" t="inlineStr">
        <is>
          <t>SKINNSKATTEBERG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46281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48492-2024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45592</v>
      </c>
      <c r="E325" s="1" t="n">
        <v>46281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46253</v>
      </c>
      <c r="E326" s="1" t="n">
        <v>46281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46281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45571</v>
      </c>
      <c r="E328" s="1" t="n">
        <v>46281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43806-2024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45571</v>
      </c>
      <c r="E329" s="1" t="n">
        <v>46281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46281</v>
      </c>
      <c r="F330" t="inlineStr">
        <is>
          <t>VÄSTMANLANDS LÄN</t>
        </is>
      </c>
      <c r="G330" t="inlineStr">
        <is>
          <t>SKINNSKATTEBERG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45770</v>
      </c>
      <c r="E331" s="1" t="n">
        <v>46281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45506</v>
      </c>
      <c r="E332" s="1" t="n">
        <v>46281</v>
      </c>
      <c r="F332" t="inlineStr">
        <is>
          <t>VÄSTMANLANDS LÄN</t>
        </is>
      </c>
      <c r="G332" t="inlineStr">
        <is>
          <t>SKINNSKATTEBERG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46260</v>
      </c>
      <c r="E333" s="1" t="n">
        <v>46281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40545-2023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45170</v>
      </c>
      <c r="E334" s="1" t="n">
        <v>46281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35168-2026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46260</v>
      </c>
      <c r="E335" s="1" t="n">
        <v>46281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46262</v>
      </c>
      <c r="E336" s="1" t="n">
        <v>46281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45174</v>
      </c>
      <c r="E337" s="1" t="n">
        <v>46281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46262</v>
      </c>
      <c r="E338" s="1" t="n">
        <v>46281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35582-2026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46262</v>
      </c>
      <c r="E339" s="1" t="n">
        <v>46281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24884-2023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45085</v>
      </c>
      <c r="E340" s="1" t="n">
        <v>46281</v>
      </c>
      <c r="F340" t="inlineStr">
        <is>
          <t>VÄSTMANLANDS LÄN</t>
        </is>
      </c>
      <c r="G340" t="inlineStr">
        <is>
          <t>SKINNSKATTEBERG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45604</v>
      </c>
      <c r="E341" s="1" t="n">
        <v>46281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46262</v>
      </c>
      <c r="E342" s="1" t="n">
        <v>46281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46281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45407</v>
      </c>
      <c r="E344" s="1" t="n">
        <v>46281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24793-2022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44728</v>
      </c>
      <c r="E345" s="1" t="n">
        <v>46281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35746-2026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46265</v>
      </c>
      <c r="E346" s="1" t="n">
        <v>46281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44935</v>
      </c>
      <c r="E347" s="1" t="n">
        <v>46281</v>
      </c>
      <c r="F347" t="inlineStr">
        <is>
          <t>VÄSTMANLANDS LÄN</t>
        </is>
      </c>
      <c r="G347" t="inlineStr">
        <is>
          <t>SKINNSKATTEBERG</t>
        </is>
      </c>
      <c r="I347" t="n">
        <v>10.5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45237</v>
      </c>
      <c r="E348" s="1" t="n">
        <v>46281</v>
      </c>
      <c r="F348" t="inlineStr">
        <is>
          <t>VÄSTMANLANDS LÄN</t>
        </is>
      </c>
      <c r="G348" t="inlineStr">
        <is>
          <t>SKINNSKATTEBERG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46268</v>
      </c>
      <c r="E349" s="1" t="n">
        <v>46281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37432-2023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45156</v>
      </c>
      <c r="E350" s="1" t="n">
        <v>46281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46262</v>
      </c>
      <c r="E351" s="1" t="n">
        <v>46281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46274</v>
      </c>
      <c r="E352" s="1" t="n">
        <v>46281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12888-2024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45385</v>
      </c>
      <c r="E353" s="1" t="n">
        <v>46281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45571</v>
      </c>
      <c r="E354" s="1" t="n">
        <v>46281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45740</v>
      </c>
      <c r="E355" s="1" t="n">
        <v>46281</v>
      </c>
      <c r="F355" t="inlineStr">
        <is>
          <t>VÄSTMANLANDS LÄN</t>
        </is>
      </c>
      <c r="G355" t="inlineStr">
        <is>
          <t>SKINNSKATTEBERG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29026-2026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46199</v>
      </c>
      <c r="E356" s="1" t="n">
        <v>46281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27329-2023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46281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46281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46281</v>
      </c>
      <c r="F359" t="inlineStr">
        <is>
          <t>VÄSTMANLANDS LÄN</t>
        </is>
      </c>
      <c r="G359" t="inlineStr">
        <is>
          <t>SKINNSKATTEBERG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45777</v>
      </c>
      <c r="E360" s="1" t="n">
        <v>46281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45777</v>
      </c>
      <c r="E361" s="1" t="n">
        <v>46281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32217-2026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46237</v>
      </c>
      <c r="E362" s="1" t="n">
        <v>46281</v>
      </c>
      <c r="F362" t="inlineStr">
        <is>
          <t>VÄSTMANLANDS LÄN</t>
        </is>
      </c>
      <c r="G362" t="inlineStr">
        <is>
          <t>SKINNSKATTEBERG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44867</v>
      </c>
      <c r="E363" s="1" t="n">
        <v>46281</v>
      </c>
      <c r="F363" t="inlineStr">
        <is>
          <t>VÄSTMANLANDS LÄN</t>
        </is>
      </c>
      <c r="G363" t="inlineStr">
        <is>
          <t>SKINNSKATTEBERG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46237</v>
      </c>
      <c r="E364" s="1" t="n">
        <v>46281</v>
      </c>
      <c r="F364" t="inlineStr">
        <is>
          <t>VÄSTMANLANDS LÄN</t>
        </is>
      </c>
      <c r="G364" t="inlineStr">
        <is>
          <t>SKINNSKATTEBERG</t>
        </is>
      </c>
      <c r="I364" t="n">
        <v>12.2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37899-2026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46279</v>
      </c>
      <c r="E365" s="1" t="n">
        <v>46281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45377</v>
      </c>
      <c r="E366" s="1" t="n">
        <v>46281</v>
      </c>
      <c r="F366" t="inlineStr">
        <is>
          <t>VÄSTMANLANDS LÄN</t>
        </is>
      </c>
      <c r="G366" t="inlineStr">
        <is>
          <t>SKINNSKATTEBERG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37730-2024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46281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45547</v>
      </c>
      <c r="E368" s="1" t="n">
        <v>46281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45480</v>
      </c>
      <c r="E369" s="1" t="n">
        <v>46281</v>
      </c>
      <c r="F369" t="inlineStr">
        <is>
          <t>VÄSTMANLANDS LÄN</t>
        </is>
      </c>
      <c r="G369" t="inlineStr">
        <is>
          <t>SKINNSKATTEBERG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22285-2025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45786</v>
      </c>
      <c r="E370" s="1" t="n">
        <v>46281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45443</v>
      </c>
      <c r="E371" s="1" t="n">
        <v>46281</v>
      </c>
      <c r="F371" t="inlineStr">
        <is>
          <t>VÄSTMANLANDS LÄN</t>
        </is>
      </c>
      <c r="G371" t="inlineStr">
        <is>
          <t>SKINNSKATTEBERG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45476</v>
      </c>
      <c r="E372" s="1" t="n">
        <v>46281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35051-2024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45527</v>
      </c>
      <c r="E373" s="1" t="n">
        <v>46281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25846-2025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45804</v>
      </c>
      <c r="E374" s="1" t="n">
        <v>46281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45480</v>
      </c>
      <c r="E375" s="1" t="n">
        <v>46281</v>
      </c>
      <c r="F375" t="inlineStr">
        <is>
          <t>VÄSTMANLANDS LÄN</t>
        </is>
      </c>
      <c r="G375" t="inlineStr">
        <is>
          <t>SKINNSKATTEBERG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28873-2025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45820</v>
      </c>
      <c r="E376" s="1" t="n">
        <v>46281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28831-2025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45820</v>
      </c>
      <c r="E377" s="1" t="n">
        <v>46281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29808-2025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45825</v>
      </c>
      <c r="E378" s="1" t="n">
        <v>46281</v>
      </c>
      <c r="F378" t="inlineStr">
        <is>
          <t>VÄSTMANLANDS LÄN</t>
        </is>
      </c>
      <c r="G378" t="inlineStr">
        <is>
          <t>SKINNSKATTEBERG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29810-2025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45825</v>
      </c>
      <c r="E379" s="1" t="n">
        <v>46281</v>
      </c>
      <c r="F379" t="inlineStr">
        <is>
          <t>VÄSTMANLANDS LÄN</t>
        </is>
      </c>
      <c r="G379" t="inlineStr">
        <is>
          <t>SKINNSKATTEBERG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30436-2025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45827</v>
      </c>
      <c r="E380" s="1" t="n">
        <v>46281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30439-2025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45827</v>
      </c>
      <c r="E381" s="1" t="n">
        <v>46281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30873-2025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45832</v>
      </c>
      <c r="E382" s="1" t="n">
        <v>46281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46281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31234-2025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45832</v>
      </c>
      <c r="E384" s="1" t="n">
        <v>46281</v>
      </c>
      <c r="F384" t="inlineStr">
        <is>
          <t>VÄSTMANLANDS LÄN</t>
        </is>
      </c>
      <c r="G384" t="inlineStr">
        <is>
          <t>SKINNSKATTEBERG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45848</v>
      </c>
      <c r="E385" s="1" t="n">
        <v>46281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45554</v>
      </c>
      <c r="E386" s="1" t="n">
        <v>46281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45853</v>
      </c>
      <c r="E387" s="1" t="n">
        <v>46281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35205-2025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45853</v>
      </c>
      <c r="E388" s="1" t="n">
        <v>46281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1765-2024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45435</v>
      </c>
      <c r="E389" s="1" t="n">
        <v>46281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1462-2025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45786</v>
      </c>
      <c r="E390" s="1" t="n">
        <v>46281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1931-2025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45827</v>
      </c>
      <c r="E391" s="1" t="n">
        <v>46281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2177-2025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45853</v>
      </c>
      <c r="E392" s="1" t="n">
        <v>46281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2422-2025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46281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2421-2025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46281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2420-2025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45897</v>
      </c>
      <c r="E395" s="1" t="n">
        <v>46281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2456-2025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45901</v>
      </c>
      <c r="E396" s="1" t="n">
        <v>46281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2578-2025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45915</v>
      </c>
      <c r="E397" s="1" t="n">
        <v>46281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1325-2026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46147</v>
      </c>
      <c r="E398" s="1" t="n">
        <v>46281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65.3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1678-2026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46182</v>
      </c>
      <c r="E399" s="1" t="n">
        <v>46281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1868-2026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46199</v>
      </c>
      <c r="E400" s="1" t="n">
        <v>46281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2239-2026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46260</v>
      </c>
      <c r="E401" s="1" t="n">
        <v>46281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2266-2026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46262</v>
      </c>
      <c r="E402" s="1" t="n">
        <v>46281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2026-09-16T02:01:24Z</dcterms:created>
  <dcterms:modified xmlns:dcterms="http://purl.org/dc/terms/" xmlns:xsi="http://www.w3.org/2001/XMLSchema-instance" xsi:type="dcterms:W3CDTF">2026-09-16T02:01:24Z</dcterms:modified>
</cp:coreProperties>
</file>