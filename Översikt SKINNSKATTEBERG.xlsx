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46321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46321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46321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46321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46321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46321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46321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34303-2026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46321</v>
      </c>
      <c r="F9" t="inlineStr">
        <is>
          <t>VÄSTMANLANDS LÄN</t>
        </is>
      </c>
      <c r="G9" t="inlineStr">
        <is>
          <t>SKINNSKATTEBERG</t>
        </is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5</v>
      </c>
      <c r="V9" s="2" t="inlineStr">
        <is>
          <t>Ask
Skogsalm
Svart trolldruva
Tibast
Brudborste</t>
        </is>
      </c>
      <c r="W9">
        <f>HYPERLINK("https://klasma.github.io/Logging_1904/artfynd/A 34303-2026 artfynd.xlsx", "A 34303-2026")</f>
        <v/>
      </c>
      <c r="X9">
        <f>HYPERLINK("https://klasma.github.io/Logging_1904/kartor/A 34303-2026 karta.png", "A 34303-2026")</f>
        <v/>
      </c>
      <c r="Y9">
        <f>HYPERLINK("https://klasma.github.io/Logging_1904/kartor_geotiff/A 34303-2026 georefererad karta.tif", "A 34303-2026")</f>
        <v/>
      </c>
      <c r="AA9">
        <f>HYPERLINK("https://klasma.github.io/Logging_1904/klagomål/A 34303-2026 FSC-klagomål.docx", "A 34303-2026")</f>
        <v/>
      </c>
      <c r="AB9">
        <f>HYPERLINK("https://klasma.github.io/Logging_1904/klagomålsmail/A 34303-2026 FSC-klagomål mail.docx", "A 34303-2026")</f>
        <v/>
      </c>
      <c r="AC9">
        <f>HYPERLINK("https://klasma.github.io/Logging_1904/tillsyn/A 34303-2026 tillsynsbegäran.docx", "A 34303-2026")</f>
        <v/>
      </c>
      <c r="AD9">
        <f>HYPERLINK("https://klasma.github.io/Logging_1904/tillsynsmail/A 34303-2026 tillsynsbegäran mail.docx", "A 34303-2026")</f>
        <v/>
      </c>
    </row>
    <row r="10" ht="15" customHeight="1">
      <c r="A10" t="inlineStr">
        <is>
          <t>A 21845-2026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46150</v>
      </c>
      <c r="E10" s="1" t="n">
        <v>46321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2.2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Brunpudrad nållav
Vedtrappmossa
Gullgröppa
Vanlig flatbagge
Timmerticka</t>
        </is>
      </c>
      <c r="W10">
        <f>HYPERLINK("https://klasma.github.io/Logging_1904/artfynd/A 21845-2026 artfynd.xlsx", "A 21845-2026")</f>
        <v/>
      </c>
      <c r="X10">
        <f>HYPERLINK("https://klasma.github.io/Logging_1904/kartor/A 21845-2026 karta.png", "A 21845-2026")</f>
        <v/>
      </c>
      <c r="Y10">
        <f>HYPERLINK("https://klasma.github.io/Logging_1904/kartor_geotiff/A 21845-2026 georefererad karta.tif", "A 21845-2026")</f>
        <v/>
      </c>
      <c r="AA10">
        <f>HYPERLINK("https://klasma.github.io/Logging_1904/klagomål/A 21845-2026 FSC-klagomål.docx", "A 21845-2026")</f>
        <v/>
      </c>
      <c r="AB10">
        <f>HYPERLINK("https://klasma.github.io/Logging_1904/klagomålsmail/A 21845-2026 FSC-klagomål mail.docx", "A 21845-2026")</f>
        <v/>
      </c>
      <c r="AC10">
        <f>HYPERLINK("https://klasma.github.io/Logging_1904/tillsyn/A 21845-2026 tillsynsbegäran.docx", "A 21845-2026")</f>
        <v/>
      </c>
      <c r="AD10">
        <f>HYPERLINK("https://klasma.github.io/Logging_1904/tillsynsmail/A 21845-2026 tillsynsbegäran mail.docx", "A 21845-2026")</f>
        <v/>
      </c>
    </row>
    <row r="11" ht="15" customHeight="1">
      <c r="A11" t="inlineStr">
        <is>
          <t>A 56183-2025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46321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Vedtrappmossa
Björksplintborre
Gulnål
Vedticka</t>
        </is>
      </c>
      <c r="W11">
        <f>HYPERLINK("https://klasma.github.io/Logging_1904/artfynd/A 56183-2025 artfynd.xlsx", "A 56183-2025")</f>
        <v/>
      </c>
      <c r="X11">
        <f>HYPERLINK("https://klasma.github.io/Logging_1904/kartor/A 56183-2025 karta.png", "A 56183-2025")</f>
        <v/>
      </c>
      <c r="Y11">
        <f>HYPERLINK("https://klasma.github.io/Logging_1904/kartor_geotiff/A 56183-2025 georefererad karta.tif", "A 56183-2025")</f>
        <v/>
      </c>
      <c r="AA11">
        <f>HYPERLINK("https://klasma.github.io/Logging_1904/klagomål/A 56183-2025 FSC-klagomål.docx", "A 56183-2025")</f>
        <v/>
      </c>
      <c r="AB11">
        <f>HYPERLINK("https://klasma.github.io/Logging_1904/klagomålsmail/A 56183-2025 FSC-klagomål mail.docx", "A 56183-2025")</f>
        <v/>
      </c>
      <c r="AC11">
        <f>HYPERLINK("https://klasma.github.io/Logging_1904/tillsyn/A 56183-2025 tillsynsbegäran.docx", "A 56183-2025")</f>
        <v/>
      </c>
      <c r="AD11">
        <f>HYPERLINK("https://klasma.github.io/Logging_1904/tillsynsmail/A 56183-2025 tillsynsbegäran mail.docx", "A 56183-2025")</f>
        <v/>
      </c>
    </row>
    <row r="12" ht="15" customHeight="1">
      <c r="A12" t="inlineStr">
        <is>
          <t>A 39619-2026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46321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6.3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Skrovlig taggsvamp
Mjölsvärting
Motaggsvamp
Plattlummer</t>
        </is>
      </c>
      <c r="W12">
        <f>HYPERLINK("https://klasma.github.io/Logging_1904/artfynd/A 39619-2026 artfynd.xlsx", "A 39619-2026")</f>
        <v/>
      </c>
      <c r="X12">
        <f>HYPERLINK("https://klasma.github.io/Logging_1904/kartor/A 39619-2026 karta.png", "A 39619-2026")</f>
        <v/>
      </c>
      <c r="Y12">
        <f>HYPERLINK("https://klasma.github.io/Logging_1904/kartor_geotiff/A 39619-2026 georefererad karta.tif", "A 39619-2026")</f>
        <v/>
      </c>
      <c r="AA12">
        <f>HYPERLINK("https://klasma.github.io/Logging_1904/klagomål/A 39619-2026 FSC-klagomål.docx", "A 39619-2026")</f>
        <v/>
      </c>
      <c r="AB12">
        <f>HYPERLINK("https://klasma.github.io/Logging_1904/klagomålsmail/A 39619-2026 FSC-klagomål mail.docx", "A 39619-2026")</f>
        <v/>
      </c>
      <c r="AC12">
        <f>HYPERLINK("https://klasma.github.io/Logging_1904/tillsyn/A 39619-2026 tillsynsbegäran.docx", "A 39619-2026")</f>
        <v/>
      </c>
      <c r="AD12">
        <f>HYPERLINK("https://klasma.github.io/Logging_1904/tillsynsmail/A 39619-2026 tillsynsbegäran mail.docx", "A 39619-2026")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46321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36595-2024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45537</v>
      </c>
      <c r="E14" s="1" t="n">
        <v>46321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</v>
      </c>
      <c r="J14" t="n">
        <v>1</v>
      </c>
      <c r="K14" t="n">
        <v>0</v>
      </c>
      <c r="L14" t="n">
        <v>1</v>
      </c>
      <c r="M14" t="n">
        <v>3</v>
      </c>
      <c r="N14" t="n">
        <v>0</v>
      </c>
      <c r="O14" t="n">
        <v>0</v>
      </c>
      <c r="P14" t="n">
        <v>0</v>
      </c>
      <c r="Q14" t="n">
        <v>4</v>
      </c>
      <c r="R14" t="n">
        <v>3</v>
      </c>
      <c r="S14" t="n">
        <v>4</v>
      </c>
      <c r="T14" t="n">
        <v>4</v>
      </c>
      <c r="U14" t="n">
        <v>4</v>
      </c>
      <c r="V14" s="2" t="inlineStr">
        <is>
          <t>Knärot
Lakritsmusseron
Lammticka
Skarp dropptaggsvamp</t>
        </is>
      </c>
      <c r="W14">
        <f>HYPERLINK("https://klasma.github.io/Logging_1904/artfynd/A 36595-2024 artfynd.xlsx", "A 36595-2024")</f>
        <v/>
      </c>
      <c r="X14">
        <f>HYPERLINK("https://klasma.github.io/Logging_1904/kartor/A 36595-2024 karta.png", "A 36595-2024")</f>
        <v/>
      </c>
      <c r="Y14">
        <f>HYPERLINK("https://klasma.github.io/Logging_1904/kartor_geotiff/A 36595-2024 georefererad karta.tif", "A 36595-2024")</f>
        <v/>
      </c>
      <c r="Z14">
        <f>HYPERLINK("https://klasma.github.io/Logging_1904/knärot/A 36595-2024 karta knärot.png", "A 36595-2024")</f>
        <v/>
      </c>
      <c r="AA14">
        <f>HYPERLINK("https://klasma.github.io/Logging_1904/klagomål/A 36595-2024 FSC-klagomål.docx", "A 36595-2024")</f>
        <v/>
      </c>
      <c r="AB14">
        <f>HYPERLINK("https://klasma.github.io/Logging_1904/klagomålsmail/A 36595-2024 FSC-klagomål mail.docx", "A 36595-2024")</f>
        <v/>
      </c>
      <c r="AC14">
        <f>HYPERLINK("https://klasma.github.io/Logging_1904/tillsyn/A 36595-2024 tillsynsbegäran.docx", "A 36595-2024")</f>
        <v/>
      </c>
      <c r="AD14">
        <f>HYPERLINK("https://klasma.github.io/Logging_1904/tillsynsmail/A 36595-2024 tillsynsbegäran mail.docx", "A 36595-2024")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46321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39622-2026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46289</v>
      </c>
      <c r="E16" s="1" t="n">
        <v>46321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Motaggsvamp
Orange taggsvamp
Zontaggsvamp</t>
        </is>
      </c>
      <c r="W16">
        <f>HYPERLINK("https://klasma.github.io/Logging_1904/artfynd/A 39622-2026 artfynd.xlsx", "A 39622-2026")</f>
        <v/>
      </c>
      <c r="X16">
        <f>HYPERLINK("https://klasma.github.io/Logging_1904/kartor/A 39622-2026 karta.png", "A 39622-2026")</f>
        <v/>
      </c>
      <c r="Y16">
        <f>HYPERLINK("https://klasma.github.io/Logging_1904/kartor_geotiff/A 39622-2026 georefererad karta.tif", "A 39622-2026")</f>
        <v/>
      </c>
      <c r="AA16">
        <f>HYPERLINK("https://klasma.github.io/Logging_1904/klagomål/A 39622-2026 FSC-klagomål.docx", "A 39622-2026")</f>
        <v/>
      </c>
      <c r="AB16">
        <f>HYPERLINK("https://klasma.github.io/Logging_1904/klagomålsmail/A 39622-2026 FSC-klagomål mail.docx", "A 39622-2026")</f>
        <v/>
      </c>
      <c r="AC16">
        <f>HYPERLINK("https://klasma.github.io/Logging_1904/tillsyn/A 39622-2026 tillsynsbegäran.docx", "A 39622-2026")</f>
        <v/>
      </c>
      <c r="AD16">
        <f>HYPERLINK("https://klasma.github.io/Logging_1904/tillsynsmail/A 39622-2026 tillsynsbegäran mail.docx", "A 39622-2026")</f>
        <v/>
      </c>
    </row>
    <row r="17" ht="15" customHeight="1">
      <c r="A17" t="inlineStr">
        <is>
          <t>A 44698-2024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45574</v>
      </c>
      <c r="E17" s="1" t="n">
        <v>46321</v>
      </c>
      <c r="F17" t="inlineStr">
        <is>
          <t>VÄSTMANLANDS LÄN</t>
        </is>
      </c>
      <c r="G17" t="inlineStr">
        <is>
          <t>SKINNSKATTEBERG</t>
        </is>
      </c>
      <c r="I17" t="n">
        <v>1.3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Hässleklocka
Tibast
Gullviva</t>
        </is>
      </c>
      <c r="W17">
        <f>HYPERLINK("https://klasma.github.io/Logging_1904/artfynd/A 44698-2024 artfynd.xlsx", "A 44698-2024")</f>
        <v/>
      </c>
      <c r="X17">
        <f>HYPERLINK("https://klasma.github.io/Logging_1904/kartor/A 44698-2024 karta.png", "A 44698-2024")</f>
        <v/>
      </c>
      <c r="Y17">
        <f>HYPERLINK("https://klasma.github.io/Logging_1904/kartor_geotiff/A 44698-2024 georefererad karta.tif", "A 44698-2024")</f>
        <v/>
      </c>
      <c r="AA17">
        <f>HYPERLINK("https://klasma.github.io/Logging_1904/klagomål/A 44698-2024 FSC-klagomål.docx", "A 44698-2024")</f>
        <v/>
      </c>
      <c r="AB17">
        <f>HYPERLINK("https://klasma.github.io/Logging_1904/klagomålsmail/A 44698-2024 FSC-klagomål mail.docx", "A 44698-2024")</f>
        <v/>
      </c>
      <c r="AC17">
        <f>HYPERLINK("https://klasma.github.io/Logging_1904/tillsyn/A 44698-2024 tillsynsbegäran.docx", "A 44698-2024")</f>
        <v/>
      </c>
      <c r="AD17">
        <f>HYPERLINK("https://klasma.github.io/Logging_1904/tillsynsmail/A 44698-2024 tillsynsbegäran mail.docx", "A 44698-2024")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46321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18515-2024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46321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Plattlummer
Fläcknycklar
Revlummer</t>
        </is>
      </c>
      <c r="W19">
        <f>HYPERLINK("https://klasma.github.io/Logging_1904/artfynd/A 18515-2024 artfynd.xlsx", "A 18515-2024")</f>
        <v/>
      </c>
      <c r="X19">
        <f>HYPERLINK("https://klasma.github.io/Logging_1904/kartor/A 18515-2024 karta.png", "A 18515-2024")</f>
        <v/>
      </c>
      <c r="Y19">
        <f>HYPERLINK("https://klasma.github.io/Logging_1904/kartor_geotiff/A 18515-2024 georefererad karta.tif", "A 18515-2024")</f>
        <v/>
      </c>
      <c r="AA19">
        <f>HYPERLINK("https://klasma.github.io/Logging_1904/klagomål/A 18515-2024 FSC-klagomål.docx", "A 18515-2024")</f>
        <v/>
      </c>
      <c r="AB19">
        <f>HYPERLINK("https://klasma.github.io/Logging_1904/klagomålsmail/A 18515-2024 FSC-klagomål mail.docx", "A 18515-2024")</f>
        <v/>
      </c>
      <c r="AC19">
        <f>HYPERLINK("https://klasma.github.io/Logging_1904/tillsyn/A 18515-2024 tillsynsbegäran.docx", "A 18515-2024")</f>
        <v/>
      </c>
      <c r="AD19">
        <f>HYPERLINK("https://klasma.github.io/Logging_1904/tillsynsmail/A 18515-2024 tillsynsbegäran mail.docx", "A 18515-2024")</f>
        <v/>
      </c>
    </row>
    <row r="20" ht="15" customHeight="1">
      <c r="A20" t="inlineStr">
        <is>
          <t>A 19656-2025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45770</v>
      </c>
      <c r="E20" s="1" t="n">
        <v>46321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3.8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Rynkskinn
Ullticka
Brandticka</t>
        </is>
      </c>
      <c r="W20">
        <f>HYPERLINK("https://klasma.github.io/Logging_1904/artfynd/A 19656-2025 artfynd.xlsx", "A 19656-2025")</f>
        <v/>
      </c>
      <c r="X20">
        <f>HYPERLINK("https://klasma.github.io/Logging_1904/kartor/A 19656-2025 karta.png", "A 19656-2025")</f>
        <v/>
      </c>
      <c r="Y20">
        <f>HYPERLINK("https://klasma.github.io/Logging_1904/kartor_geotiff/A 19656-2025 georefererad karta.tif", "A 19656-2025")</f>
        <v/>
      </c>
      <c r="AA20">
        <f>HYPERLINK("https://klasma.github.io/Logging_1904/klagomål/A 19656-2025 FSC-klagomål.docx", "A 19656-2025")</f>
        <v/>
      </c>
      <c r="AB20">
        <f>HYPERLINK("https://klasma.github.io/Logging_1904/klagomålsmail/A 19656-2025 FSC-klagomål mail.docx", "A 19656-2025")</f>
        <v/>
      </c>
      <c r="AC20">
        <f>HYPERLINK("https://klasma.github.io/Logging_1904/tillsyn/A 19656-2025 tillsynsbegäran.docx", "A 19656-2025")</f>
        <v/>
      </c>
      <c r="AD20">
        <f>HYPERLINK("https://klasma.github.io/Logging_1904/tillsynsmail/A 19656-2025 tillsynsbegäran mail.docx", "A 19656-2025")</f>
        <v/>
      </c>
    </row>
    <row r="21" ht="15" customHeight="1">
      <c r="A21" t="inlineStr">
        <is>
          <t>A 13715-2024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45390</v>
      </c>
      <c r="E21" s="1" t="n">
        <v>46321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2.2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4</v>
      </c>
      <c r="V21" s="2" t="inlineStr">
        <is>
          <t>Krusfrö
Järpe
Tjäder</t>
        </is>
      </c>
      <c r="W21">
        <f>HYPERLINK("https://klasma.github.io/Logging_1904/artfynd/A 13715-2024 artfynd.xlsx", "A 13715-2024")</f>
        <v/>
      </c>
      <c r="X21">
        <f>HYPERLINK("https://klasma.github.io/Logging_1904/kartor/A 13715-2024 karta.png", "A 13715-2024")</f>
        <v/>
      </c>
      <c r="Y21">
        <f>HYPERLINK("https://klasma.github.io/Logging_1904/kartor_geotiff/A 13715-2024 georefererad karta.tif", "A 13715-2024")</f>
        <v/>
      </c>
      <c r="AA21">
        <f>HYPERLINK("https://klasma.github.io/Logging_1904/klagomål/A 13715-2024 FSC-klagomål.docx", "A 13715-2024")</f>
        <v/>
      </c>
      <c r="AB21">
        <f>HYPERLINK("https://klasma.github.io/Logging_1904/klagomålsmail/A 13715-2024 FSC-klagomål mail.docx", "A 13715-2024")</f>
        <v/>
      </c>
      <c r="AC21">
        <f>HYPERLINK("https://klasma.github.io/Logging_1904/tillsyn/A 13715-2024 tillsynsbegäran.docx", "A 13715-2024")</f>
        <v/>
      </c>
      <c r="AD21">
        <f>HYPERLINK("https://klasma.github.io/Logging_1904/tillsynsmail/A 13715-2024 tillsynsbegäran mail.docx", "A 13715-2024")</f>
        <v/>
      </c>
      <c r="AE21">
        <f>HYPERLINK("https://klasma.github.io/Logging_1904/fåglar/A 13715-2024 prioriterade fågelarter.docx", "A 13715-2024")</f>
        <v/>
      </c>
    </row>
    <row r="22" ht="15" customHeight="1">
      <c r="A22" t="inlineStr">
        <is>
          <t>A 18416-2025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46321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Stubbspretmossa
Svart trolldruva</t>
        </is>
      </c>
      <c r="W22">
        <f>HYPERLINK("https://klasma.github.io/Logging_1904/artfynd/A 18416-2025 artfynd.xlsx", "A 18416-2025")</f>
        <v/>
      </c>
      <c r="X22">
        <f>HYPERLINK("https://klasma.github.io/Logging_1904/kartor/A 18416-2025 karta.png", "A 18416-2025")</f>
        <v/>
      </c>
      <c r="Y22">
        <f>HYPERLINK("https://klasma.github.io/Logging_1904/kartor_geotiff/A 18416-2025 georefererad karta.tif", "A 18416-2025")</f>
        <v/>
      </c>
      <c r="AA22">
        <f>HYPERLINK("https://klasma.github.io/Logging_1904/klagomål/A 18416-2025 FSC-klagomål.docx", "A 18416-2025")</f>
        <v/>
      </c>
      <c r="AB22">
        <f>HYPERLINK("https://klasma.github.io/Logging_1904/klagomålsmail/A 18416-2025 FSC-klagomål mail.docx", "A 18416-2025")</f>
        <v/>
      </c>
      <c r="AC22">
        <f>HYPERLINK("https://klasma.github.io/Logging_1904/tillsyn/A 18416-2025 tillsynsbegäran.docx", "A 18416-2025")</f>
        <v/>
      </c>
      <c r="AD22">
        <f>HYPERLINK("https://klasma.github.io/Logging_1904/tillsynsmail/A 18416-2025 tillsynsbegäran mail.docx", "A 18416-2025")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46321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46321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36596-2024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45537</v>
      </c>
      <c r="E25" s="1" t="n">
        <v>46321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3</v>
      </c>
      <c r="U25" t="n">
        <v>3</v>
      </c>
      <c r="V25" s="2" t="inlineStr">
        <is>
          <t>Jättemusseron
Lakritsmusseron</t>
        </is>
      </c>
      <c r="W25">
        <f>HYPERLINK("https://klasma.github.io/Logging_1904/artfynd/A 36596-2024 artfynd.xlsx", "A 36596-2024")</f>
        <v/>
      </c>
      <c r="X25">
        <f>HYPERLINK("https://klasma.github.io/Logging_1904/kartor/A 36596-2024 karta.png", "A 36596-2024")</f>
        <v/>
      </c>
      <c r="Y25">
        <f>HYPERLINK("https://klasma.github.io/Logging_1904/kartor_geotiff/A 36596-2024 georefererad karta.tif", "A 36596-2024")</f>
        <v/>
      </c>
      <c r="AA25">
        <f>HYPERLINK("https://klasma.github.io/Logging_1904/klagomål/A 36596-2024 FSC-klagomål.docx", "A 36596-2024")</f>
        <v/>
      </c>
      <c r="AB25">
        <f>HYPERLINK("https://klasma.github.io/Logging_1904/klagomålsmail/A 36596-2024 FSC-klagomål mail.docx", "A 36596-2024")</f>
        <v/>
      </c>
      <c r="AC25">
        <f>HYPERLINK("https://klasma.github.io/Logging_1904/tillsyn/A 36596-2024 tillsynsbegäran.docx", "A 36596-2024")</f>
        <v/>
      </c>
      <c r="AD25">
        <f>HYPERLINK("https://klasma.github.io/Logging_1904/tillsynsmail/A 36596-2024 tillsynsbegäran mail.docx", "A 36596-2024")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46321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57747-2023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45246</v>
      </c>
      <c r="E27" s="1" t="n">
        <v>46321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Myopa fasciata</t>
        </is>
      </c>
      <c r="W27">
        <f>HYPERLINK("https://klasma.github.io/Logging_1904/artfynd/A 57747-2023 artfynd.xlsx", "A 57747-2023")</f>
        <v/>
      </c>
      <c r="X27">
        <f>HYPERLINK("https://klasma.github.io/Logging_1904/kartor/A 57747-2023 karta.png", "A 57747-2023")</f>
        <v/>
      </c>
      <c r="Y27">
        <f>HYPERLINK("https://klasma.github.io/Logging_1904/kartor_geotiff/A 57747-2023 georefererad karta.tif", "A 57747-2023")</f>
        <v/>
      </c>
      <c r="AA27">
        <f>HYPERLINK("https://klasma.github.io/Logging_1904/klagomål/A 57747-2023 FSC-klagomål.docx", "A 57747-2023")</f>
        <v/>
      </c>
      <c r="AB27">
        <f>HYPERLINK("https://klasma.github.io/Logging_1904/klagomålsmail/A 57747-2023 FSC-klagomål mail.docx", "A 57747-2023")</f>
        <v/>
      </c>
      <c r="AC27">
        <f>HYPERLINK("https://klasma.github.io/Logging_1904/tillsyn/A 57747-2023 tillsynsbegäran.docx", "A 57747-2023")</f>
        <v/>
      </c>
      <c r="AD27">
        <f>HYPERLINK("https://klasma.github.io/Logging_1904/tillsynsmail/A 57747-2023 tillsynsbegäran mail.docx", "A 57747-2023")</f>
        <v/>
      </c>
    </row>
    <row r="28" ht="15" customHeight="1">
      <c r="A28" t="inlineStr">
        <is>
          <t>A 4000-2024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45322</v>
      </c>
      <c r="E28" s="1" t="n">
        <v>46321</v>
      </c>
      <c r="F28" t="inlineStr">
        <is>
          <t>VÄSTMANLANDS LÄN</t>
        </is>
      </c>
      <c r="G28" t="inlineStr">
        <is>
          <t>SKINNSKATTEBERG</t>
        </is>
      </c>
      <c r="I28" t="n">
        <v>14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Klasefibbla</t>
        </is>
      </c>
      <c r="W28">
        <f>HYPERLINK("https://klasma.github.io/Logging_1904/artfynd/A 4000-2024 artfynd.xlsx", "A 4000-2024")</f>
        <v/>
      </c>
      <c r="X28">
        <f>HYPERLINK("https://klasma.github.io/Logging_1904/kartor/A 4000-2024 karta.png", "A 4000-2024")</f>
        <v/>
      </c>
      <c r="Y28">
        <f>HYPERLINK("https://klasma.github.io/Logging_1904/kartor_geotiff/A 4000-2024 georefererad karta.tif", "A 4000-2024")</f>
        <v/>
      </c>
      <c r="AA28">
        <f>HYPERLINK("https://klasma.github.io/Logging_1904/klagomål/A 4000-2024 FSC-klagomål.docx", "A 4000-2024")</f>
        <v/>
      </c>
      <c r="AB28">
        <f>HYPERLINK("https://klasma.github.io/Logging_1904/klagomålsmail/A 4000-2024 FSC-klagomål mail.docx", "A 4000-2024")</f>
        <v/>
      </c>
      <c r="AC28">
        <f>HYPERLINK("https://klasma.github.io/Logging_1904/tillsyn/A 4000-2024 tillsynsbegäran.docx", "A 4000-2024")</f>
        <v/>
      </c>
      <c r="AD28">
        <f>HYPERLINK("https://klasma.github.io/Logging_1904/tillsynsmail/A 4000-2024 tillsynsbegäran mail.docx", "A 4000-2024")</f>
        <v/>
      </c>
    </row>
    <row r="29" ht="15" customHeight="1">
      <c r="A29" t="inlineStr">
        <is>
          <t>A 12887-2024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45385</v>
      </c>
      <c r="E29" s="1" t="n">
        <v>46321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Sparvuggla</t>
        </is>
      </c>
      <c r="W29">
        <f>HYPERLINK("https://klasma.github.io/Logging_1904/artfynd/A 12887-2024 artfynd.xlsx", "A 12887-2024")</f>
        <v/>
      </c>
      <c r="X29">
        <f>HYPERLINK("https://klasma.github.io/Logging_1904/kartor/A 12887-2024 karta.png", "A 12887-2024")</f>
        <v/>
      </c>
      <c r="Y29">
        <f>HYPERLINK("https://klasma.github.io/Logging_1904/kartor_geotiff/A 12887-2024 georefererad karta.tif", "A 12887-2024")</f>
        <v/>
      </c>
      <c r="AA29">
        <f>HYPERLINK("https://klasma.github.io/Logging_1904/klagomål/A 12887-2024 FSC-klagomål.docx", "A 12887-2024")</f>
        <v/>
      </c>
      <c r="AB29">
        <f>HYPERLINK("https://klasma.github.io/Logging_1904/klagomålsmail/A 12887-2024 FSC-klagomål mail.docx", "A 12887-2024")</f>
        <v/>
      </c>
      <c r="AC29">
        <f>HYPERLINK("https://klasma.github.io/Logging_1904/tillsyn/A 12887-2024 tillsynsbegäran.docx", "A 12887-2024")</f>
        <v/>
      </c>
      <c r="AD29">
        <f>HYPERLINK("https://klasma.github.io/Logging_1904/tillsynsmail/A 12887-2024 tillsynsbegäran mail.docx", "A 12887-2024")</f>
        <v/>
      </c>
      <c r="AE29">
        <f>HYPERLINK("https://klasma.github.io/Logging_1904/fåglar/A 12887-2024 prioriterade fågelarter.docx", "A 12887-2024")</f>
        <v/>
      </c>
    </row>
    <row r="30" ht="15" customHeight="1">
      <c r="A30" t="inlineStr">
        <is>
          <t>A 23893-2023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45078</v>
      </c>
      <c r="E30" s="1" t="n">
        <v>46321</v>
      </c>
      <c r="F30" t="inlineStr">
        <is>
          <t>VÄSTMANLANDS LÄN</t>
        </is>
      </c>
      <c r="G30" t="inlineStr">
        <is>
          <t>SKINNSKATTEBERG</t>
        </is>
      </c>
      <c r="I30" t="n">
        <v>1.6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2</v>
      </c>
      <c r="V30" s="2" t="inlineStr">
        <is>
          <t>Knärot</t>
        </is>
      </c>
      <c r="W30">
        <f>HYPERLINK("https://klasma.github.io/Logging_1904/artfynd/A 23893-2023 artfynd.xlsx", "A 23893-2023")</f>
        <v/>
      </c>
      <c r="X30">
        <f>HYPERLINK("https://klasma.github.io/Logging_1904/kartor/A 23893-2023 karta.png", "A 23893-2023")</f>
        <v/>
      </c>
      <c r="Y30">
        <f>HYPERLINK("https://klasma.github.io/Logging_1904/kartor_geotiff/A 23893-2023 georefererad karta.tif", "A 23893-2023")</f>
        <v/>
      </c>
      <c r="Z30">
        <f>HYPERLINK("https://klasma.github.io/Logging_1904/knärot/A 23893-2023 karta knärot.png", "A 23893-2023")</f>
        <v/>
      </c>
      <c r="AA30">
        <f>HYPERLINK("https://klasma.github.io/Logging_1904/klagomål/A 23893-2023 FSC-klagomål.docx", "A 23893-2023")</f>
        <v/>
      </c>
      <c r="AB30">
        <f>HYPERLINK("https://klasma.github.io/Logging_1904/klagomålsmail/A 23893-2023 FSC-klagomål mail.docx", "A 23893-2023")</f>
        <v/>
      </c>
      <c r="AC30">
        <f>HYPERLINK("https://klasma.github.io/Logging_1904/tillsyn/A 23893-2023 tillsynsbegäran.docx", "A 23893-2023")</f>
        <v/>
      </c>
      <c r="AD30">
        <f>HYPERLINK("https://klasma.github.io/Logging_1904/tillsynsmail/A 23893-2023 tillsynsbegäran mail.docx", "A 23893-2023")</f>
        <v/>
      </c>
    </row>
    <row r="31" ht="15" customHeight="1">
      <c r="A31" t="inlineStr">
        <is>
          <t>A 24492-2026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46321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24492-2026 artfynd.xlsx", "A 24492-2026")</f>
        <v/>
      </c>
      <c r="X31">
        <f>HYPERLINK("https://klasma.github.io/Logging_1904/kartor/A 24492-2026 karta.png", "A 24492-2026")</f>
        <v/>
      </c>
      <c r="Y31">
        <f>HYPERLINK("https://klasma.github.io/Logging_1904/kartor_geotiff/A 24492-2026 georefererad karta.tif", "A 24492-2026")</f>
        <v/>
      </c>
      <c r="AA31">
        <f>HYPERLINK("https://klasma.github.io/Logging_1904/klagomål/A 24492-2026 FSC-klagomål.docx", "A 24492-2026")</f>
        <v/>
      </c>
      <c r="AB31">
        <f>HYPERLINK("https://klasma.github.io/Logging_1904/klagomålsmail/A 24492-2026 FSC-klagomål mail.docx", "A 24492-2026")</f>
        <v/>
      </c>
      <c r="AC31">
        <f>HYPERLINK("https://klasma.github.io/Logging_1904/tillsyn/A 24492-2026 tillsynsbegäran.docx", "A 24492-2026")</f>
        <v/>
      </c>
      <c r="AD31">
        <f>HYPERLINK("https://klasma.github.io/Logging_1904/tillsynsmail/A 24492-2026 tillsynsbegäran mail.docx", "A 24492-2026")</f>
        <v/>
      </c>
      <c r="AE31">
        <f>HYPERLINK("https://klasma.github.io/Logging_1904/fåglar/A 24492-2026 prioriterade fågelarter.docx", "A 24492-2026")</f>
        <v/>
      </c>
    </row>
    <row r="32" ht="15" customHeight="1">
      <c r="A32" t="inlineStr">
        <is>
          <t>A 24944-2026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46321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8.4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Garnlav</t>
        </is>
      </c>
      <c r="W32">
        <f>HYPERLINK("https://klasma.github.io/Logging_1904/artfynd/A 24944-2026 artfynd.xlsx", "A 24944-2026")</f>
        <v/>
      </c>
      <c r="X32">
        <f>HYPERLINK("https://klasma.github.io/Logging_1904/kartor/A 24944-2026 karta.png", "A 24944-2026")</f>
        <v/>
      </c>
      <c r="Y32">
        <f>HYPERLINK("https://klasma.github.io/Logging_1904/kartor_geotiff/A 24944-2026 georefererad karta.tif", "A 24944-2026")</f>
        <v/>
      </c>
      <c r="AA32">
        <f>HYPERLINK("https://klasma.github.io/Logging_1904/klagomål/A 24944-2026 FSC-klagomål.docx", "A 24944-2026")</f>
        <v/>
      </c>
      <c r="AB32">
        <f>HYPERLINK("https://klasma.github.io/Logging_1904/klagomålsmail/A 24944-2026 FSC-klagomål mail.docx", "A 24944-2026")</f>
        <v/>
      </c>
      <c r="AC32">
        <f>HYPERLINK("https://klasma.github.io/Logging_1904/tillsyn/A 24944-2026 tillsynsbegäran.docx", "A 24944-2026")</f>
        <v/>
      </c>
      <c r="AD32">
        <f>HYPERLINK("https://klasma.github.io/Logging_1904/tillsynsmail/A 24944-2026 tillsynsbegäran mail.docx", "A 24944-2026")</f>
        <v/>
      </c>
    </row>
    <row r="33" ht="15" customHeight="1">
      <c r="A33" t="inlineStr">
        <is>
          <t>A 26860-2026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46321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10.3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Kungsörn</t>
        </is>
      </c>
      <c r="W33">
        <f>HYPERLINK("https://klasma.github.io/Logging_1904/artfynd/A 26860-2026 artfynd.xlsx", "A 26860-2026")</f>
        <v/>
      </c>
      <c r="X33">
        <f>HYPERLINK("https://klasma.github.io/Logging_1904/kartor/A 26860-2026 karta.png", "A 26860-2026")</f>
        <v/>
      </c>
      <c r="Y33">
        <f>HYPERLINK("https://klasma.github.io/Logging_1904/kartor_geotiff/A 26860-2026 georefererad karta.tif", "A 26860-2026")</f>
        <v/>
      </c>
      <c r="AA33">
        <f>HYPERLINK("https://klasma.github.io/Logging_1904/klagomål/A 26860-2026 FSC-klagomål.docx", "A 26860-2026")</f>
        <v/>
      </c>
      <c r="AB33">
        <f>HYPERLINK("https://klasma.github.io/Logging_1904/klagomålsmail/A 26860-2026 FSC-klagomål mail.docx", "A 26860-2026")</f>
        <v/>
      </c>
      <c r="AC33">
        <f>HYPERLINK("https://klasma.github.io/Logging_1904/tillsyn/A 26860-2026 tillsynsbegäran.docx", "A 26860-2026")</f>
        <v/>
      </c>
      <c r="AD33">
        <f>HYPERLINK("https://klasma.github.io/Logging_1904/tillsynsmail/A 26860-2026 tillsynsbegäran mail.docx", "A 26860-2026")</f>
        <v/>
      </c>
      <c r="AE33">
        <f>HYPERLINK("https://klasma.github.io/Logging_1904/fåglar/A 26860-2026 prioriterade fågelarter.docx", "A 26860-2026")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46321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Vedticka</t>
        </is>
      </c>
      <c r="W34">
        <f>HYPERLINK("https://klasma.github.io/Logging_1904/artfynd/A 57395-2025 artfynd.xlsx", "A 57395-2025")</f>
        <v/>
      </c>
      <c r="X34">
        <f>HYPERLINK("https://klasma.github.io/Logging_1904/kartor/A 57395-2025 karta.png", "A 57395-2025")</f>
        <v/>
      </c>
      <c r="Y34">
        <f>HYPERLINK("https://klasma.github.io/Logging_1904/kartor_geotiff/A 57395-2025 georefererad karta.tif", "A 57395-2025")</f>
        <v/>
      </c>
      <c r="AA34">
        <f>HYPERLINK("https://klasma.github.io/Logging_1904/klagomål/A 57395-2025 FSC-klagomål.docx", "A 57395-2025")</f>
        <v/>
      </c>
      <c r="AB34">
        <f>HYPERLINK("https://klasma.github.io/Logging_1904/klagomålsmail/A 57395-2025 FSC-klagomål mail.docx", "A 57395-2025")</f>
        <v/>
      </c>
      <c r="AC34">
        <f>HYPERLINK("https://klasma.github.io/Logging_1904/tillsyn/A 57395-2025 tillsynsbegäran.docx", "A 57395-2025")</f>
        <v/>
      </c>
      <c r="AD34">
        <f>HYPERLINK("https://klasma.github.io/Logging_1904/tillsynsmail/A 57395-2025 tillsynsbegäran mail.docx", "A 57395-2025")</f>
        <v/>
      </c>
    </row>
    <row r="35" ht="15" customHeight="1">
      <c r="A35" t="inlineStr">
        <is>
          <t>A 9491-2024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46321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HYPERLINK("https://klasma.github.io/Logging_1904/artfynd/A 9491-2024 artfynd.xlsx", "A 9491-2024")</f>
        <v/>
      </c>
      <c r="X35">
        <f>HYPERLINK("https://klasma.github.io/Logging_1904/kartor/A 9491-2024 karta.png", "A 9491-2024")</f>
        <v/>
      </c>
      <c r="Y35">
        <f>HYPERLINK("https://klasma.github.io/Logging_1904/kartor_geotiff/A 9491-2024 georefererad karta.tif", "A 9491-2024")</f>
        <v/>
      </c>
      <c r="AA35">
        <f>HYPERLINK("https://klasma.github.io/Logging_1904/klagomål/A 9491-2024 FSC-klagomål.docx", "A 9491-2024")</f>
        <v/>
      </c>
      <c r="AB35">
        <f>HYPERLINK("https://klasma.github.io/Logging_1904/klagomålsmail/A 9491-2024 FSC-klagomål mail.docx", "A 9491-2024")</f>
        <v/>
      </c>
      <c r="AC35">
        <f>HYPERLINK("https://klasma.github.io/Logging_1904/tillsyn/A 9491-2024 tillsynsbegäran.docx", "A 9491-2024")</f>
        <v/>
      </c>
      <c r="AD35">
        <f>HYPERLINK("https://klasma.github.io/Logging_1904/tillsynsmail/A 9491-2024 tillsynsbegäran mail.docx", "A 9491-2024")</f>
        <v/>
      </c>
    </row>
    <row r="36" ht="15" customHeight="1">
      <c r="A36" t="inlineStr">
        <is>
          <t>A 30579-2026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46321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HYPERLINK("https://klasma.github.io/Logging_1904/artfynd/A 30579-2026 artfynd.xlsx", "A 30579-2026")</f>
        <v/>
      </c>
      <c r="X36">
        <f>HYPERLINK("https://klasma.github.io/Logging_1904/kartor/A 30579-2026 karta.png", "A 30579-2026")</f>
        <v/>
      </c>
      <c r="Y36">
        <f>HYPERLINK("https://klasma.github.io/Logging_1904/kartor_geotiff/A 30579-2026 georefererad karta.tif", "A 30579-2026")</f>
        <v/>
      </c>
      <c r="AA36">
        <f>HYPERLINK("https://klasma.github.io/Logging_1904/klagomål/A 30579-2026 FSC-klagomål.docx", "A 30579-2026")</f>
        <v/>
      </c>
      <c r="AB36">
        <f>HYPERLINK("https://klasma.github.io/Logging_1904/klagomålsmail/A 30579-2026 FSC-klagomål mail.docx", "A 30579-2026")</f>
        <v/>
      </c>
      <c r="AC36">
        <f>HYPERLINK("https://klasma.github.io/Logging_1904/tillsyn/A 30579-2026 tillsynsbegäran.docx", "A 30579-2026")</f>
        <v/>
      </c>
      <c r="AD36">
        <f>HYPERLINK("https://klasma.github.io/Logging_1904/tillsynsmail/A 30579-2026 tillsynsbegäran mail.docx", "A 30579-2026")</f>
        <v/>
      </c>
    </row>
    <row r="37" ht="15" customHeight="1">
      <c r="A37" t="inlineStr">
        <is>
          <t>A 27565-2024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45474</v>
      </c>
      <c r="E37" s="1" t="n">
        <v>46321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husmossa</t>
        </is>
      </c>
      <c r="W37">
        <f>HYPERLINK("https://klasma.github.io/Logging_1904/artfynd/A 27565-2024 artfynd.xlsx", "A 27565-2024")</f>
        <v/>
      </c>
      <c r="X37">
        <f>HYPERLINK("https://klasma.github.io/Logging_1904/kartor/A 27565-2024 karta.png", "A 27565-2024")</f>
        <v/>
      </c>
      <c r="Y37">
        <f>HYPERLINK("https://klasma.github.io/Logging_1904/kartor_geotiff/A 27565-2024 georefererad karta.tif", "A 27565-2024")</f>
        <v/>
      </c>
      <c r="AA37">
        <f>HYPERLINK("https://klasma.github.io/Logging_1904/klagomål/A 27565-2024 FSC-klagomål.docx", "A 27565-2024")</f>
        <v/>
      </c>
      <c r="AB37">
        <f>HYPERLINK("https://klasma.github.io/Logging_1904/klagomålsmail/A 27565-2024 FSC-klagomål mail.docx", "A 27565-2024")</f>
        <v/>
      </c>
      <c r="AC37">
        <f>HYPERLINK("https://klasma.github.io/Logging_1904/tillsyn/A 27565-2024 tillsynsbegäran.docx", "A 27565-2024")</f>
        <v/>
      </c>
      <c r="AD37">
        <f>HYPERLINK("https://klasma.github.io/Logging_1904/tillsynsmail/A 27565-2024 tillsynsbegäran mail.docx", "A 27565-2024")</f>
        <v/>
      </c>
    </row>
    <row r="38" ht="15" customHeight="1">
      <c r="A38" t="inlineStr">
        <is>
          <t>A 37900-2026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46321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9.199999999999999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37900-2026 artfynd.xlsx", "A 37900-2026")</f>
        <v/>
      </c>
      <c r="X38">
        <f>HYPERLINK("https://klasma.github.io/Logging_1904/kartor/A 37900-2026 karta.png", "A 37900-2026")</f>
        <v/>
      </c>
      <c r="Y38">
        <f>HYPERLINK("https://klasma.github.io/Logging_1904/kartor_geotiff/A 37900-2026 georefererad karta.tif", "A 37900-2026")</f>
        <v/>
      </c>
      <c r="AA38">
        <f>HYPERLINK("https://klasma.github.io/Logging_1904/klagomål/A 37900-2026 FSC-klagomål.docx", "A 37900-2026")</f>
        <v/>
      </c>
      <c r="AB38">
        <f>HYPERLINK("https://klasma.github.io/Logging_1904/klagomålsmail/A 37900-2026 FSC-klagomål mail.docx", "A 37900-2026")</f>
        <v/>
      </c>
      <c r="AC38">
        <f>HYPERLINK("https://klasma.github.io/Logging_1904/tillsyn/A 37900-2026 tillsynsbegäran.docx", "A 37900-2026")</f>
        <v/>
      </c>
      <c r="AD38">
        <f>HYPERLINK("https://klasma.github.io/Logging_1904/tillsynsmail/A 37900-2026 tillsynsbegäran mail.docx", "A 37900-2026")</f>
        <v/>
      </c>
      <c r="AE38">
        <f>HYPERLINK("https://klasma.github.io/Logging_1904/fåglar/A 37900-2026 prioriterade fågelarter.docx", "A 37900-2026")</f>
        <v/>
      </c>
    </row>
    <row r="39" ht="15" customHeight="1">
      <c r="A39" t="inlineStr">
        <is>
          <t>A 38734-2026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46285</v>
      </c>
      <c r="E39" s="1" t="n">
        <v>46321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6.1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HYPERLINK("https://klasma.github.io/Logging_1904/artfynd/A 38734-2026 artfynd.xlsx", "A 38734-2026")</f>
        <v/>
      </c>
      <c r="X39">
        <f>HYPERLINK("https://klasma.github.io/Logging_1904/kartor/A 38734-2026 karta.png", "A 38734-2026")</f>
        <v/>
      </c>
      <c r="Y39">
        <f>HYPERLINK("https://klasma.github.io/Logging_1904/kartor_geotiff/A 38734-2026 georefererad karta.tif", "A 38734-2026")</f>
        <v/>
      </c>
      <c r="AA39">
        <f>HYPERLINK("https://klasma.github.io/Logging_1904/klagomål/A 38734-2026 FSC-klagomål.docx", "A 38734-2026")</f>
        <v/>
      </c>
      <c r="AB39">
        <f>HYPERLINK("https://klasma.github.io/Logging_1904/klagomålsmail/A 38734-2026 FSC-klagomål mail.docx", "A 38734-2026")</f>
        <v/>
      </c>
      <c r="AC39">
        <f>HYPERLINK("https://klasma.github.io/Logging_1904/tillsyn/A 38734-2026 tillsynsbegäran.docx", "A 38734-2026")</f>
        <v/>
      </c>
      <c r="AD39">
        <f>HYPERLINK("https://klasma.github.io/Logging_1904/tillsynsmail/A 38734-2026 tillsynsbegäran mail.docx", "A 38734-2026")</f>
        <v/>
      </c>
    </row>
    <row r="40" ht="15" customHeight="1">
      <c r="A40" t="inlineStr">
        <is>
          <t>A 38733-2026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46285</v>
      </c>
      <c r="E40" s="1" t="n">
        <v>46321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4.2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Garnlav</t>
        </is>
      </c>
      <c r="W40">
        <f>HYPERLINK("https://klasma.github.io/Logging_1904/artfynd/A 38733-2026 artfynd.xlsx", "A 38733-2026")</f>
        <v/>
      </c>
      <c r="X40">
        <f>HYPERLINK("https://klasma.github.io/Logging_1904/kartor/A 38733-2026 karta.png", "A 38733-2026")</f>
        <v/>
      </c>
      <c r="Y40">
        <f>HYPERLINK("https://klasma.github.io/Logging_1904/kartor_geotiff/A 38733-2026 georefererad karta.tif", "A 38733-2026")</f>
        <v/>
      </c>
      <c r="AA40">
        <f>HYPERLINK("https://klasma.github.io/Logging_1904/klagomål/A 38733-2026 FSC-klagomål.docx", "A 38733-2026")</f>
        <v/>
      </c>
      <c r="AB40">
        <f>HYPERLINK("https://klasma.github.io/Logging_1904/klagomålsmail/A 38733-2026 FSC-klagomål mail.docx", "A 38733-2026")</f>
        <v/>
      </c>
      <c r="AC40">
        <f>HYPERLINK("https://klasma.github.io/Logging_1904/tillsyn/A 38733-2026 tillsynsbegäran.docx", "A 38733-2026")</f>
        <v/>
      </c>
      <c r="AD40">
        <f>HYPERLINK("https://klasma.github.io/Logging_1904/tillsynsmail/A 38733-2026 tillsynsbegäran mail.docx", "A 38733-2026")</f>
        <v/>
      </c>
    </row>
    <row r="41" ht="15" customHeight="1">
      <c r="A41" t="inlineStr">
        <is>
          <t>A 31006-2025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45832</v>
      </c>
      <c r="E41" s="1" t="n">
        <v>46321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HYPERLINK("https://klasma.github.io/Logging_1904/artfynd/A 31006-2025 artfynd.xlsx", "A 31006-2025")</f>
        <v/>
      </c>
      <c r="X41">
        <f>HYPERLINK("https://klasma.github.io/Logging_1904/kartor/A 31006-2025 karta.png", "A 31006-2025")</f>
        <v/>
      </c>
      <c r="Y41">
        <f>HYPERLINK("https://klasma.github.io/Logging_1904/kartor_geotiff/A 31006-2025 georefererad karta.tif", "A 31006-2025")</f>
        <v/>
      </c>
      <c r="AA41">
        <f>HYPERLINK("https://klasma.github.io/Logging_1904/klagomål/A 31006-2025 FSC-klagomål.docx", "A 31006-2025")</f>
        <v/>
      </c>
      <c r="AB41">
        <f>HYPERLINK("https://klasma.github.io/Logging_1904/klagomålsmail/A 31006-2025 FSC-klagomål mail.docx", "A 31006-2025")</f>
        <v/>
      </c>
      <c r="AC41">
        <f>HYPERLINK("https://klasma.github.io/Logging_1904/tillsyn/A 31006-2025 tillsynsbegäran.docx", "A 31006-2025")</f>
        <v/>
      </c>
      <c r="AD41">
        <f>HYPERLINK("https://klasma.github.io/Logging_1904/tillsynsmail/A 31006-2025 tillsynsbegäran mail.docx", "A 31006-2025")</f>
        <v/>
      </c>
      <c r="AE41">
        <f>HYPERLINK("https://klasma.github.io/Logging_1904/fåglar/A 31006-2025 prioriterade fågelarter.docx", "A 31006-2025")</f>
        <v/>
      </c>
    </row>
    <row r="42" ht="15" customHeight="1">
      <c r="A42" t="inlineStr">
        <is>
          <t>A 15734-2026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46107</v>
      </c>
      <c r="E42" s="1" t="n">
        <v>46321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Koppartaggsvamp</t>
        </is>
      </c>
      <c r="W42">
        <f>HYPERLINK("https://klasma.github.io/Logging_1904/artfynd/A 15734-2026 artfynd.xlsx", "A 15734-2026")</f>
        <v/>
      </c>
      <c r="X42">
        <f>HYPERLINK("https://klasma.github.io/Logging_1904/kartor/A 15734-2026 karta.png", "A 15734-2026")</f>
        <v/>
      </c>
      <c r="Y42">
        <f>HYPERLINK("https://klasma.github.io/Logging_1904/kartor_geotiff/A 15734-2026 georefererad karta.tif", "A 15734-2026")</f>
        <v/>
      </c>
      <c r="AA42">
        <f>HYPERLINK("https://klasma.github.io/Logging_1904/klagomål/A 15734-2026 FSC-klagomål.docx", "A 15734-2026")</f>
        <v/>
      </c>
      <c r="AB42">
        <f>HYPERLINK("https://klasma.github.io/Logging_1904/klagomålsmail/A 15734-2026 FSC-klagomål mail.docx", "A 15734-2026")</f>
        <v/>
      </c>
      <c r="AC42">
        <f>HYPERLINK("https://klasma.github.io/Logging_1904/tillsyn/A 15734-2026 tillsynsbegäran.docx", "A 15734-2026")</f>
        <v/>
      </c>
      <c r="AD42">
        <f>HYPERLINK("https://klasma.github.io/Logging_1904/tillsynsmail/A 15734-2026 tillsynsbegäran mail.docx", "A 15734-2026")</f>
        <v/>
      </c>
    </row>
    <row r="43" ht="15" customHeight="1">
      <c r="A43" t="inlineStr">
        <is>
          <t>A 35371-2026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46321</v>
      </c>
      <c r="F43" t="inlineStr">
        <is>
          <t>VÄSTMANLANDS LÄN</t>
        </is>
      </c>
      <c r="G43" t="inlineStr">
        <is>
          <t>SKINNSKATTEBERG</t>
        </is>
      </c>
      <c r="I43" t="n">
        <v>1.3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HYPERLINK("https://klasma.github.io/Logging_1904/artfynd/A 35371-2026 artfynd.xlsx", "A 35371-2026")</f>
        <v/>
      </c>
      <c r="X43">
        <f>HYPERLINK("https://klasma.github.io/Logging_1904/kartor/A 35371-2026 karta.png", "A 35371-2026")</f>
        <v/>
      </c>
      <c r="Y43">
        <f>HYPERLINK("https://klasma.github.io/Logging_1904/kartor_geotiff/A 35371-2026 georefererad karta.tif", "A 35371-2026")</f>
        <v/>
      </c>
      <c r="AA43">
        <f>HYPERLINK("https://klasma.github.io/Logging_1904/klagomål/A 35371-2026 FSC-klagomål.docx", "A 35371-2026")</f>
        <v/>
      </c>
      <c r="AB43">
        <f>HYPERLINK("https://klasma.github.io/Logging_1904/klagomålsmail/A 35371-2026 FSC-klagomål mail.docx", "A 35371-2026")</f>
        <v/>
      </c>
      <c r="AC43">
        <f>HYPERLINK("https://klasma.github.io/Logging_1904/tillsyn/A 35371-2026 tillsynsbegäran.docx", "A 35371-2026")</f>
        <v/>
      </c>
      <c r="AD43">
        <f>HYPERLINK("https://klasma.github.io/Logging_1904/tillsynsmail/A 35371-2026 tillsynsbegäran mail.docx", "A 35371-2026")</f>
        <v/>
      </c>
      <c r="AE43">
        <f>HYPERLINK("https://klasma.github.io/Logging_1904/fåglar/A 35371-2026 prioriterade fågelarter.docx", "A 35371-2026")</f>
        <v/>
      </c>
    </row>
    <row r="44" ht="15" customHeight="1">
      <c r="A44" t="inlineStr">
        <is>
          <t>A 42434-2026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46308</v>
      </c>
      <c r="E44" s="1" t="n">
        <v>46321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HYPERLINK("https://klasma.github.io/Logging_1904/artfynd/A 42434-2026 artfynd.xlsx", "A 42434-2026")</f>
        <v/>
      </c>
      <c r="X44">
        <f>HYPERLINK("https://klasma.github.io/Logging_1904/kartor/A 42434-2026 karta.png", "A 42434-2026")</f>
        <v/>
      </c>
      <c r="Y44">
        <f>HYPERLINK("https://klasma.github.io/Logging_1904/kartor_geotiff/A 42434-2026 georefererad karta.tif", "A 42434-2026")</f>
        <v/>
      </c>
      <c r="AA44">
        <f>HYPERLINK("https://klasma.github.io/Logging_1904/klagomål/A 42434-2026 FSC-klagomål.docx", "A 42434-2026")</f>
        <v/>
      </c>
      <c r="AB44">
        <f>HYPERLINK("https://klasma.github.io/Logging_1904/klagomålsmail/A 42434-2026 FSC-klagomål mail.docx", "A 42434-2026")</f>
        <v/>
      </c>
      <c r="AC44">
        <f>HYPERLINK("https://klasma.github.io/Logging_1904/tillsyn/A 42434-2026 tillsynsbegäran.docx", "A 42434-2026")</f>
        <v/>
      </c>
      <c r="AD44">
        <f>HYPERLINK("https://klasma.github.io/Logging_1904/tillsynsmail/A 42434-2026 tillsynsbegäran mail.docx", "A 42434-2026")</f>
        <v/>
      </c>
    </row>
    <row r="45" ht="15" customHeight="1">
      <c r="A45" t="inlineStr">
        <is>
          <t>A 36263-2026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46321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Lopplummer (aggregat)</t>
        </is>
      </c>
      <c r="W45">
        <f>HYPERLINK("https://klasma.github.io/Logging_1904/artfynd/A 36263-2026 artfynd.xlsx", "A 36263-2026")</f>
        <v/>
      </c>
      <c r="X45">
        <f>HYPERLINK("https://klasma.github.io/Logging_1904/kartor/A 36263-2026 karta.png", "A 36263-2026")</f>
        <v/>
      </c>
      <c r="Y45">
        <f>HYPERLINK("https://klasma.github.io/Logging_1904/kartor_geotiff/A 36263-2026 georefererad karta.tif", "A 36263-2026")</f>
        <v/>
      </c>
      <c r="AA45">
        <f>HYPERLINK("https://klasma.github.io/Logging_1904/klagomål/A 36263-2026 FSC-klagomål.docx", "A 36263-2026")</f>
        <v/>
      </c>
      <c r="AB45">
        <f>HYPERLINK("https://klasma.github.io/Logging_1904/klagomålsmail/A 36263-2026 FSC-klagomål mail.docx", "A 36263-2026")</f>
        <v/>
      </c>
      <c r="AC45">
        <f>HYPERLINK("https://klasma.github.io/Logging_1904/tillsyn/A 36263-2026 tillsynsbegäran.docx", "A 36263-2026")</f>
        <v/>
      </c>
      <c r="AD45">
        <f>HYPERLINK("https://klasma.github.io/Logging_1904/tillsynsmail/A 36263-2026 tillsynsbegäran mail.docx", "A 36263-2026")</f>
        <v/>
      </c>
    </row>
    <row r="46" ht="15" customHeight="1">
      <c r="A46" t="inlineStr">
        <is>
          <t>A 20559-2026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46321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0.3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HYPERLINK("https://klasma.github.io/Logging_1904/artfynd/A 20559-2026 artfynd.xlsx", "A 20559-2026")</f>
        <v/>
      </c>
      <c r="X46">
        <f>HYPERLINK("https://klasma.github.io/Logging_1904/kartor/A 20559-2026 karta.png", "A 20559-2026")</f>
        <v/>
      </c>
      <c r="Y46">
        <f>HYPERLINK("https://klasma.github.io/Logging_1904/kartor_geotiff/A 20559-2026 georefererad karta.tif", "A 20559-2026")</f>
        <v/>
      </c>
      <c r="AA46">
        <f>HYPERLINK("https://klasma.github.io/Logging_1904/klagomål/A 20559-2026 FSC-klagomål.docx", "A 20559-2026")</f>
        <v/>
      </c>
      <c r="AB46">
        <f>HYPERLINK("https://klasma.github.io/Logging_1904/klagomålsmail/A 20559-2026 FSC-klagomål mail.docx", "A 20559-2026")</f>
        <v/>
      </c>
      <c r="AC46">
        <f>HYPERLINK("https://klasma.github.io/Logging_1904/tillsyn/A 20559-2026 tillsynsbegäran.docx", "A 20559-2026")</f>
        <v/>
      </c>
      <c r="AD46">
        <f>HYPERLINK("https://klasma.github.io/Logging_1904/tillsynsmail/A 20559-2026 tillsynsbegäran mail.docx", "A 20559-2026")</f>
        <v/>
      </c>
      <c r="AE46">
        <f>HYPERLINK("https://klasma.github.io/Logging_1904/fåglar/A 20559-2026 prioriterade fågelarter.docx", "A 20559-2026")</f>
        <v/>
      </c>
    </row>
    <row r="47" ht="15" customHeight="1">
      <c r="A47" t="inlineStr">
        <is>
          <t>A 43673-2026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46316</v>
      </c>
      <c r="E47" s="1" t="n">
        <v>46321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HYPERLINK("https://klasma.github.io/Logging_1904/artfynd/A 43673-2026 artfynd.xlsx", "A 43673-2026")</f>
        <v/>
      </c>
      <c r="X47">
        <f>HYPERLINK("https://klasma.github.io/Logging_1904/kartor/A 43673-2026 karta.png", "A 43673-2026")</f>
        <v/>
      </c>
      <c r="Y47">
        <f>HYPERLINK("https://klasma.github.io/Logging_1904/kartor_geotiff/A 43673-2026 georefererad karta.tif", "A 43673-2026")</f>
        <v/>
      </c>
      <c r="AA47">
        <f>HYPERLINK("https://klasma.github.io/Logging_1904/klagomål/A 43673-2026 FSC-klagomål.docx", "A 43673-2026")</f>
        <v/>
      </c>
      <c r="AB47">
        <f>HYPERLINK("https://klasma.github.io/Logging_1904/klagomålsmail/A 43673-2026 FSC-klagomål mail.docx", "A 43673-2026")</f>
        <v/>
      </c>
      <c r="AC47">
        <f>HYPERLINK("https://klasma.github.io/Logging_1904/tillsyn/A 43673-2026 tillsynsbegäran.docx", "A 43673-2026")</f>
        <v/>
      </c>
      <c r="AD47">
        <f>HYPERLINK("https://klasma.github.io/Logging_1904/tillsynsmail/A 43673-2026 tillsynsbegäran mail.docx", "A 43673-2026")</f>
        <v/>
      </c>
    </row>
    <row r="48" ht="15" customHeight="1">
      <c r="A48" t="inlineStr">
        <is>
          <t>A 43662-2026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46316</v>
      </c>
      <c r="E48" s="1" t="n">
        <v>46321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4.6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HYPERLINK("https://klasma.github.io/Logging_1904/artfynd/A 43662-2026 artfynd.xlsx", "A 43662-2026")</f>
        <v/>
      </c>
      <c r="X48">
        <f>HYPERLINK("https://klasma.github.io/Logging_1904/kartor/A 43662-2026 karta.png", "A 43662-2026")</f>
        <v/>
      </c>
      <c r="Y48">
        <f>HYPERLINK("https://klasma.github.io/Logging_1904/kartor_geotiff/A 43662-2026 georefererad karta.tif", "A 43662-2026")</f>
        <v/>
      </c>
      <c r="AA48">
        <f>HYPERLINK("https://klasma.github.io/Logging_1904/klagomål/A 43662-2026 FSC-klagomål.docx", "A 43662-2026")</f>
        <v/>
      </c>
      <c r="AB48">
        <f>HYPERLINK("https://klasma.github.io/Logging_1904/klagomålsmail/A 43662-2026 FSC-klagomål mail.docx", "A 43662-2026")</f>
        <v/>
      </c>
      <c r="AC48">
        <f>HYPERLINK("https://klasma.github.io/Logging_1904/tillsyn/A 43662-2026 tillsynsbegäran.docx", "A 43662-2026")</f>
        <v/>
      </c>
      <c r="AD48">
        <f>HYPERLINK("https://klasma.github.io/Logging_1904/tillsynsmail/A 43662-2026 tillsynsbegäran mail.docx", "A 43662-2026")</f>
        <v/>
      </c>
    </row>
    <row r="49" ht="15" customHeight="1">
      <c r="A49" t="inlineStr">
        <is>
          <t>A 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46321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9490-2024 artfynd.xlsx", "A 9490-2024")</f>
        <v/>
      </c>
      <c r="X49">
        <f>HYPERLINK("https://klasma.github.io/Logging_1904/kartor/A 9490-2024 karta.png", "A 9490-2024")</f>
        <v/>
      </c>
      <c r="Y49">
        <f>HYPERLINK("https://klasma.github.io/Logging_1904/kartor_geotiff/A 9490-2024 georefererad karta.tif", "A 9490-2024")</f>
        <v/>
      </c>
      <c r="AA49">
        <f>HYPERLINK("https://klasma.github.io/Logging_1904/klagomål/A 9490-2024 FSC-klagomål.docx", "A 9490-2024")</f>
        <v/>
      </c>
      <c r="AB49">
        <f>HYPERLINK("https://klasma.github.io/Logging_1904/klagomålsmail/A 9490-2024 FSC-klagomål mail.docx", "A 9490-2024")</f>
        <v/>
      </c>
      <c r="AC49">
        <f>HYPERLINK("https://klasma.github.io/Logging_1904/tillsyn/A 9490-2024 tillsynsbegäran.docx", "A 9490-2024")</f>
        <v/>
      </c>
      <c r="AD49">
        <f>HYPERLINK("https://klasma.github.io/Logging_1904/tillsynsmail/A 9490-2024 tillsynsbegäran mail.docx", "A 9490-2024")</f>
        <v/>
      </c>
      <c r="AE49">
        <f>HYPERLINK("https://klasma.github.io/Logging_1904/fåglar/A 9490-2024 prioriterade fågelarter.docx", "A 9490-2024")</f>
        <v/>
      </c>
    </row>
    <row r="50" ht="15" customHeight="1">
      <c r="A50" t="inlineStr">
        <is>
          <t>A 54296-2023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46321</v>
      </c>
      <c r="F50" t="inlineStr">
        <is>
          <t>VÄSTMANLANDS LÄN</t>
        </is>
      </c>
      <c r="G50" t="inlineStr">
        <is>
          <t>SKINNSKATTEBERG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HYPERLINK("https://klasma.github.io/Logging_1904/artfynd/A 54296-2023 artfynd.xlsx", "A 54296-2023")</f>
        <v/>
      </c>
      <c r="X50">
        <f>HYPERLINK("https://klasma.github.io/Logging_1904/kartor/A 54296-2023 karta.png", "A 54296-2023")</f>
        <v/>
      </c>
      <c r="Y50">
        <f>HYPERLINK("https://klasma.github.io/Logging_1904/kartor_geotiff/A 54296-2023 georefererad karta.tif", "A 54296-2023")</f>
        <v/>
      </c>
      <c r="AA50">
        <f>HYPERLINK("https://klasma.github.io/Logging_1904/klagomål/A 54296-2023 FSC-klagomål.docx", "A 54296-2023")</f>
        <v/>
      </c>
      <c r="AB50">
        <f>HYPERLINK("https://klasma.github.io/Logging_1904/klagomålsmail/A 54296-2023 FSC-klagomål mail.docx", "A 54296-2023")</f>
        <v/>
      </c>
      <c r="AC50">
        <f>HYPERLINK("https://klasma.github.io/Logging_1904/tillsyn/A 54296-2023 tillsynsbegäran.docx", "A 54296-2023")</f>
        <v/>
      </c>
      <c r="AD50">
        <f>HYPERLINK("https://klasma.github.io/Logging_1904/tillsynsmail/A 54296-2023 tillsynsbegäran mail.docx", "A 54296-2023")</f>
        <v/>
      </c>
    </row>
    <row r="51" ht="15" customHeight="1">
      <c r="A51" t="inlineStr">
        <is>
          <t>A 21849-2026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46321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12.5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HYPERLINK("https://klasma.github.io/Logging_1904/artfynd/A 21849-2026 artfynd.xlsx", "A 21849-2026")</f>
        <v/>
      </c>
      <c r="X51">
        <f>HYPERLINK("https://klasma.github.io/Logging_1904/kartor/A 21849-2026 karta.png", "A 21849-2026")</f>
        <v/>
      </c>
      <c r="Y51">
        <f>HYPERLINK("https://klasma.github.io/Logging_1904/kartor_geotiff/A 21849-2026 georefererad karta.tif", "A 21849-2026")</f>
        <v/>
      </c>
      <c r="Z51">
        <f>HYPERLINK("https://klasma.github.io/Logging_1904/knärot/A 21849-2026 karta knärot.png", "A 21849-2026")</f>
        <v/>
      </c>
      <c r="AA51">
        <f>HYPERLINK("https://klasma.github.io/Logging_1904/klagomål/A 21849-2026 FSC-klagomål.docx", "A 21849-2026")</f>
        <v/>
      </c>
      <c r="AB51">
        <f>HYPERLINK("https://klasma.github.io/Logging_1904/klagomålsmail/A 21849-2026 FSC-klagomål mail.docx", "A 21849-2026")</f>
        <v/>
      </c>
      <c r="AC51">
        <f>HYPERLINK("https://klasma.github.io/Logging_1904/tillsyn/A 21849-2026 tillsynsbegäran.docx", "A 21849-2026")</f>
        <v/>
      </c>
      <c r="AD51">
        <f>HYPERLINK("https://klasma.github.io/Logging_1904/tillsynsmail/A 21849-2026 tillsynsbegäran mail.docx", "A 21849-2026")</f>
        <v/>
      </c>
    </row>
    <row r="52" ht="15" customHeight="1">
      <c r="A52" t="inlineStr">
        <is>
          <t>A 49630-2024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46321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7.3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HYPERLINK("https://klasma.github.io/Logging_1904/artfynd/A 49630-2024 artfynd.xlsx", "A 49630-2024")</f>
        <v/>
      </c>
      <c r="X52">
        <f>HYPERLINK("https://klasma.github.io/Logging_1904/kartor/A 49630-2024 karta.png", "A 49630-2024")</f>
        <v/>
      </c>
      <c r="Y52">
        <f>HYPERLINK("https://klasma.github.io/Logging_1904/kartor_geotiff/A 49630-2024 georefererad karta.tif", "A 49630-2024")</f>
        <v/>
      </c>
      <c r="AA52">
        <f>HYPERLINK("https://klasma.github.io/Logging_1904/klagomål/A 49630-2024 FSC-klagomål.docx", "A 49630-2024")</f>
        <v/>
      </c>
      <c r="AB52">
        <f>HYPERLINK("https://klasma.github.io/Logging_1904/klagomålsmail/A 49630-2024 FSC-klagomål mail.docx", "A 49630-2024")</f>
        <v/>
      </c>
      <c r="AC52">
        <f>HYPERLINK("https://klasma.github.io/Logging_1904/tillsyn/A 49630-2024 tillsynsbegäran.docx", "A 49630-2024")</f>
        <v/>
      </c>
      <c r="AD52">
        <f>HYPERLINK("https://klasma.github.io/Logging_1904/tillsynsmail/A 49630-2024 tillsynsbegäran mail.docx", "A 49630-2024")</f>
        <v/>
      </c>
    </row>
    <row r="53" ht="15" customHeight="1">
      <c r="A53" t="inlineStr">
        <is>
          <t>A 43413-2024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45568</v>
      </c>
      <c r="E53" s="1" t="n">
        <v>46321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Orange taggsvamp</t>
        </is>
      </c>
      <c r="W53">
        <f>HYPERLINK("https://klasma.github.io/Logging_1904/artfynd/A 43413-2024 artfynd.xlsx", "A 43413-2024")</f>
        <v/>
      </c>
      <c r="X53">
        <f>HYPERLINK("https://klasma.github.io/Logging_1904/kartor/A 43413-2024 karta.png", "A 43413-2024")</f>
        <v/>
      </c>
      <c r="Y53">
        <f>HYPERLINK("https://klasma.github.io/Logging_1904/kartor_geotiff/A 43413-2024 georefererad karta.tif", "A 43413-2024")</f>
        <v/>
      </c>
      <c r="AA53">
        <f>HYPERLINK("https://klasma.github.io/Logging_1904/klagomål/A 43413-2024 FSC-klagomål.docx", "A 43413-2024")</f>
        <v/>
      </c>
      <c r="AB53">
        <f>HYPERLINK("https://klasma.github.io/Logging_1904/klagomålsmail/A 43413-2024 FSC-klagomål mail.docx", "A 43413-2024")</f>
        <v/>
      </c>
      <c r="AC53">
        <f>HYPERLINK("https://klasma.github.io/Logging_1904/tillsyn/A 43413-2024 tillsynsbegäran.docx", "A 43413-2024")</f>
        <v/>
      </c>
      <c r="AD53">
        <f>HYPERLINK("https://klasma.github.io/Logging_1904/tillsynsmail/A 43413-2024 tillsynsbegäran mail.docx", "A 43413-2024")</f>
        <v/>
      </c>
    </row>
    <row r="54" ht="15" customHeight="1">
      <c r="A54" t="inlineStr">
        <is>
          <t>A 33435-2024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45519</v>
      </c>
      <c r="E54" s="1" t="n">
        <v>46321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Nattskärra</t>
        </is>
      </c>
      <c r="W54">
        <f>HYPERLINK("https://klasma.github.io/Logging_1904/artfynd/A 33435-2024 artfynd.xlsx", "A 33435-2024")</f>
        <v/>
      </c>
      <c r="X54">
        <f>HYPERLINK("https://klasma.github.io/Logging_1904/kartor/A 33435-2024 karta.png", "A 33435-2024")</f>
        <v/>
      </c>
      <c r="Y54">
        <f>HYPERLINK("https://klasma.github.io/Logging_1904/kartor_geotiff/A 33435-2024 georefererad karta.tif", "A 33435-2024")</f>
        <v/>
      </c>
      <c r="AA54">
        <f>HYPERLINK("https://klasma.github.io/Logging_1904/klagomål/A 33435-2024 FSC-klagomål.docx", "A 33435-2024")</f>
        <v/>
      </c>
      <c r="AB54">
        <f>HYPERLINK("https://klasma.github.io/Logging_1904/klagomålsmail/A 33435-2024 FSC-klagomål mail.docx", "A 33435-2024")</f>
        <v/>
      </c>
      <c r="AC54">
        <f>HYPERLINK("https://klasma.github.io/Logging_1904/tillsyn/A 33435-2024 tillsynsbegäran.docx", "A 33435-2024")</f>
        <v/>
      </c>
      <c r="AD54">
        <f>HYPERLINK("https://klasma.github.io/Logging_1904/tillsynsmail/A 33435-2024 tillsynsbegäran mail.docx", "A 33435-2024")</f>
        <v/>
      </c>
      <c r="AE54">
        <f>HYPERLINK("https://klasma.github.io/Logging_1904/fåglar/A 33435-2024 prioriterade fågelarter.docx", "A 33435-2024")</f>
        <v/>
      </c>
    </row>
    <row r="55" ht="15" customHeight="1">
      <c r="A55" t="inlineStr">
        <is>
          <t>A 12024-2023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44995</v>
      </c>
      <c r="E55" s="1" t="n">
        <v>46321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Skogsklocka</t>
        </is>
      </c>
      <c r="W55">
        <f>HYPERLINK("https://klasma.github.io/Logging_1904/artfynd/A 12024-2023 artfynd.xlsx", "A 12024-2023")</f>
        <v/>
      </c>
      <c r="X55">
        <f>HYPERLINK("https://klasma.github.io/Logging_1904/kartor/A 12024-2023 karta.png", "A 12024-2023")</f>
        <v/>
      </c>
      <c r="Y55">
        <f>HYPERLINK("https://klasma.github.io/Logging_1904/kartor_geotiff/A 12024-2023 georefererad karta.tif", "A 12024-2023")</f>
        <v/>
      </c>
      <c r="AA55">
        <f>HYPERLINK("https://klasma.github.io/Logging_1904/klagomål/A 12024-2023 FSC-klagomål.docx", "A 12024-2023")</f>
        <v/>
      </c>
      <c r="AB55">
        <f>HYPERLINK("https://klasma.github.io/Logging_1904/klagomålsmail/A 12024-2023 FSC-klagomål mail.docx", "A 12024-2023")</f>
        <v/>
      </c>
      <c r="AC55">
        <f>HYPERLINK("https://klasma.github.io/Logging_1904/tillsyn/A 12024-2023 tillsynsbegäran.docx", "A 12024-2023")</f>
        <v/>
      </c>
      <c r="AD55">
        <f>HYPERLINK("https://klasma.github.io/Logging_1904/tillsynsmail/A 12024-2023 tillsynsbegäran mail.docx", "A 12024-2023")</f>
        <v/>
      </c>
    </row>
    <row r="56" ht="15" customHeight="1">
      <c r="A56" t="inlineStr">
        <is>
          <t>A 19205-2024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46321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Järpe</t>
        </is>
      </c>
      <c r="W56">
        <f>HYPERLINK("https://klasma.github.io/Logging_1904/artfynd/A 19205-2024 artfynd.xlsx", "A 19205-2024")</f>
        <v/>
      </c>
      <c r="X56">
        <f>HYPERLINK("https://klasma.github.io/Logging_1904/kartor/A 19205-2024 karta.png", "A 19205-2024")</f>
        <v/>
      </c>
      <c r="Y56">
        <f>HYPERLINK("https://klasma.github.io/Logging_1904/kartor_geotiff/A 19205-2024 georefererad karta.tif", "A 19205-2024")</f>
        <v/>
      </c>
      <c r="AA56">
        <f>HYPERLINK("https://klasma.github.io/Logging_1904/klagomål/A 19205-2024 FSC-klagomål.docx", "A 19205-2024")</f>
        <v/>
      </c>
      <c r="AB56">
        <f>HYPERLINK("https://klasma.github.io/Logging_1904/klagomålsmail/A 19205-2024 FSC-klagomål mail.docx", "A 19205-2024")</f>
        <v/>
      </c>
      <c r="AC56">
        <f>HYPERLINK("https://klasma.github.io/Logging_1904/tillsyn/A 19205-2024 tillsynsbegäran.docx", "A 19205-2024")</f>
        <v/>
      </c>
      <c r="AD56">
        <f>HYPERLINK("https://klasma.github.io/Logging_1904/tillsynsmail/A 19205-2024 tillsynsbegäran mail.docx", "A 19205-2024")</f>
        <v/>
      </c>
      <c r="AE56">
        <f>HYPERLINK("https://klasma.github.io/Logging_1904/fåglar/A 19205-2024 prioriterade fågelarter.docx", "A 19205-2024")</f>
        <v/>
      </c>
    </row>
    <row r="57" ht="15" customHeight="1">
      <c r="A57" t="inlineStr">
        <is>
          <t>A 28312-2023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45099</v>
      </c>
      <c r="E57" s="1" t="n">
        <v>46321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HYPERLINK("https://klasma.github.io/Logging_1904/artfynd/A 28312-2023 artfynd.xlsx", "A 28312-2023")</f>
        <v/>
      </c>
      <c r="X57">
        <f>HYPERLINK("https://klasma.github.io/Logging_1904/kartor/A 28312-2023 karta.png", "A 28312-2023")</f>
        <v/>
      </c>
      <c r="Y57">
        <f>HYPERLINK("https://klasma.github.io/Logging_1904/kartor_geotiff/A 28312-2023 georefererad karta.tif", "A 28312-2023")</f>
        <v/>
      </c>
      <c r="AA57">
        <f>HYPERLINK("https://klasma.github.io/Logging_1904/klagomål/A 28312-2023 FSC-klagomål.docx", "A 28312-2023")</f>
        <v/>
      </c>
      <c r="AB57">
        <f>HYPERLINK("https://klasma.github.io/Logging_1904/klagomålsmail/A 28312-2023 FSC-klagomål mail.docx", "A 28312-2023")</f>
        <v/>
      </c>
      <c r="AC57">
        <f>HYPERLINK("https://klasma.github.io/Logging_1904/tillsyn/A 28312-2023 tillsynsbegäran.docx", "A 28312-2023")</f>
        <v/>
      </c>
      <c r="AD57">
        <f>HYPERLINK("https://klasma.github.io/Logging_1904/tillsynsmail/A 28312-2023 tillsynsbegäran mail.docx", "A 28312-2023")</f>
        <v/>
      </c>
    </row>
    <row r="58" ht="15" customHeight="1">
      <c r="A58" t="inlineStr">
        <is>
          <t>S 3632-2024</t>
        </is>
      </c>
      <c r="B58" t="inlineStr">
        <is>
          <t>samrådsanmälan</t>
        </is>
      </c>
      <c r="C58" t="inlineStr">
        <is>
          <t>Skogsgödsling</t>
        </is>
      </c>
      <c r="D58" s="1" t="n">
        <v>45548</v>
      </c>
      <c r="E58" s="1" t="n">
        <v>46321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196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Tjäder</t>
        </is>
      </c>
      <c r="W58">
        <f>HYPERLINK("https://klasma.github.io/Logging_1904/artfynd/S 3632-2024 artfynd.xlsx", "S 3632-2024")</f>
        <v/>
      </c>
      <c r="X58">
        <f>HYPERLINK("https://klasma.github.io/Logging_1904/kartor/S 3632-2024 karta.png", "S 3632-2024")</f>
        <v/>
      </c>
      <c r="Y58">
        <f>HYPERLINK("https://klasma.github.io/Logging_1904/kartor_geotiff/S 3632-2024 georefererad karta.tif", "S 3632-2024")</f>
        <v/>
      </c>
      <c r="AA58">
        <f>HYPERLINK("https://klasma.github.io/Logging_1904/klagomål/S 3632-2024 FSC-klagomål.docx", "S 3632-2024")</f>
        <v/>
      </c>
      <c r="AB58">
        <f>HYPERLINK("https://klasma.github.io/Logging_1904/klagomålsmail/S 3632-2024 FSC-klagomål mail.docx", "S 3632-2024")</f>
        <v/>
      </c>
      <c r="AC58">
        <f>HYPERLINK("https://klasma.github.io/Logging_1904/tillsyn/S 3632-2024 tillsynsbegäran.docx", "S 3632-2024")</f>
        <v/>
      </c>
      <c r="AD58">
        <f>HYPERLINK("https://klasma.github.io/Logging_1904/tillsynsmail/S 3632-2024 tillsynsbegäran mail.docx", "S 3632-2024")</f>
        <v/>
      </c>
      <c r="AE58">
        <f>HYPERLINK("https://klasma.github.io/Logging_1904/fåglar/S 3632-2024 prioriterade fågelarter.docx", "S 3632-2024")</f>
        <v/>
      </c>
    </row>
    <row r="59" ht="15" customHeight="1">
      <c r="A59" t="inlineStr">
        <is>
          <t>S 1982-2025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45832</v>
      </c>
      <c r="E59" s="1" t="n">
        <v>46321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HYPERLINK("https://klasma.github.io/Logging_1904/artfynd/S 1982-2025 artfynd.xlsx", "S 1982-2025")</f>
        <v/>
      </c>
      <c r="X59">
        <f>HYPERLINK("https://klasma.github.io/Logging_1904/kartor/S 1982-2025 karta.png", "S 1982-2025")</f>
        <v/>
      </c>
      <c r="Y59">
        <f>HYPERLINK("https://klasma.github.io/Logging_1904/kartor_geotiff/S 1982-2025 georefererad karta.tif", "S 1982-2025")</f>
        <v/>
      </c>
      <c r="AA59">
        <f>HYPERLINK("https://klasma.github.io/Logging_1904/klagomål/S 1982-2025 FSC-klagomål.docx", "S 1982-2025")</f>
        <v/>
      </c>
      <c r="AB59">
        <f>HYPERLINK("https://klasma.github.io/Logging_1904/klagomålsmail/S 1982-2025 FSC-klagomål mail.docx", "S 1982-2025")</f>
        <v/>
      </c>
      <c r="AC59">
        <f>HYPERLINK("https://klasma.github.io/Logging_1904/tillsyn/S 1982-2025 tillsynsbegäran.docx", "S 1982-2025")</f>
        <v/>
      </c>
      <c r="AD59">
        <f>HYPERLINK("https://klasma.github.io/Logging_1904/tillsynsmail/S 1982-2025 tillsynsbegäran mail.docx", "S 1982-2025")</f>
        <v/>
      </c>
      <c r="AE59">
        <f>HYPERLINK("https://klasma.github.io/Logging_1904/fåglar/S 1982-2025 prioriterade fågelarter.docx", "S 1982-2025")</f>
        <v/>
      </c>
    </row>
    <row r="60" ht="15" customHeight="1">
      <c r="A60" t="inlineStr">
        <is>
          <t>S 870-2026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46107</v>
      </c>
      <c r="E60" s="1" t="n">
        <v>46321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Koppartaggsvamp</t>
        </is>
      </c>
      <c r="W60">
        <f>HYPERLINK("https://klasma.github.io/Logging_1904/artfynd/S 870-2026 artfynd.xlsx", "S 870-2026")</f>
        <v/>
      </c>
      <c r="X60">
        <f>HYPERLINK("https://klasma.github.io/Logging_1904/kartor/S 870-2026 karta.png", "S 870-2026")</f>
        <v/>
      </c>
      <c r="Y60">
        <f>HYPERLINK("https://klasma.github.io/Logging_1904/kartor_geotiff/S 870-2026 georefererad karta.tif", "S 870-2026")</f>
        <v/>
      </c>
      <c r="AA60">
        <f>HYPERLINK("https://klasma.github.io/Logging_1904/klagomål/S 870-2026 FSC-klagomål.docx", "S 870-2026")</f>
        <v/>
      </c>
      <c r="AB60">
        <f>HYPERLINK("https://klasma.github.io/Logging_1904/klagomålsmail/S 870-2026 FSC-klagomål mail.docx", "S 870-2026")</f>
        <v/>
      </c>
      <c r="AC60">
        <f>HYPERLINK("https://klasma.github.io/Logging_1904/tillsyn/S 870-2026 tillsynsbegäran.docx", "S 870-2026")</f>
        <v/>
      </c>
      <c r="AD60">
        <f>HYPERLINK("https://klasma.github.io/Logging_1904/tillsynsmail/S 870-2026 tillsynsbegäran mail.docx", "S 870-2026")</f>
        <v/>
      </c>
    </row>
    <row r="61" ht="15" customHeight="1">
      <c r="A61" t="inlineStr">
        <is>
          <t>A 33600-2022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44789</v>
      </c>
      <c r="E61" s="1" t="n">
        <v>46321</v>
      </c>
      <c r="F61" t="inlineStr">
        <is>
          <t>VÄSTMANLANDS LÄN</t>
        </is>
      </c>
      <c r="G61" t="inlineStr">
        <is>
          <t>SKINNSKATTEBERG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46321</v>
      </c>
      <c r="F62" t="inlineStr">
        <is>
          <t>VÄSTMANLANDS LÄN</t>
        </is>
      </c>
      <c r="G62" t="inlineStr">
        <is>
          <t>SKINNSKATTEBERG</t>
        </is>
      </c>
      <c r="I62" t="n">
        <v>7.9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44879</v>
      </c>
      <c r="E63" s="1" t="n">
        <v>46321</v>
      </c>
      <c r="F63" t="inlineStr">
        <is>
          <t>VÄSTMANLANDS LÄN</t>
        </is>
      </c>
      <c r="G63" t="inlineStr">
        <is>
          <t>SKINNSKATTEBERG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16860-2022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44674</v>
      </c>
      <c r="E64" s="1" t="n">
        <v>46321</v>
      </c>
      <c r="F64" t="inlineStr">
        <is>
          <t>VÄSTMANLANDS LÄN</t>
        </is>
      </c>
      <c r="G64" t="inlineStr">
        <is>
          <t>SKINNSKATTEBERG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46321</v>
      </c>
      <c r="F65" t="inlineStr">
        <is>
          <t>VÄSTMANLANDS LÄN</t>
        </is>
      </c>
      <c r="G65" t="inlineStr">
        <is>
          <t>SKINNSKATTEBERG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69259-2021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44531</v>
      </c>
      <c r="E66" s="1" t="n">
        <v>46321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44545</v>
      </c>
      <c r="E67" s="1" t="n">
        <v>46321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46321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46321</v>
      </c>
      <c r="F69" t="inlineStr">
        <is>
          <t>VÄSTMANLANDS LÄN</t>
        </is>
      </c>
      <c r="G69" t="inlineStr">
        <is>
          <t>SKINNSKATTEBERG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46321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46321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46321</v>
      </c>
      <c r="F72" t="inlineStr">
        <is>
          <t>VÄSTMANLANDS LÄN</t>
        </is>
      </c>
      <c r="G72" t="inlineStr">
        <is>
          <t>SKINNSKATTEBERG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44519</v>
      </c>
      <c r="E73" s="1" t="n">
        <v>46321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44545</v>
      </c>
      <c r="E74" s="1" t="n">
        <v>46321</v>
      </c>
      <c r="F74" t="inlineStr">
        <is>
          <t>VÄSTMANLANDS LÄN</t>
        </is>
      </c>
      <c r="G74" t="inlineStr">
        <is>
          <t>SKINNSKATTEBERG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46321</v>
      </c>
      <c r="F75" t="inlineStr">
        <is>
          <t>VÄSTMANLANDS LÄN</t>
        </is>
      </c>
      <c r="G75" t="inlineStr">
        <is>
          <t>SKINNSKATTEBERG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46321</v>
      </c>
      <c r="F76" t="inlineStr">
        <is>
          <t>VÄSTMANLANDS LÄN</t>
        </is>
      </c>
      <c r="G76" t="inlineStr">
        <is>
          <t>SKINNSKATTEBERG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46321</v>
      </c>
      <c r="F77" t="inlineStr">
        <is>
          <t>VÄSTMANLANDS LÄN</t>
        </is>
      </c>
      <c r="G77" t="inlineStr">
        <is>
          <t>SKINNSKATTEBERG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19093-2023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45048</v>
      </c>
      <c r="E78" s="1" t="n">
        <v>46321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45250</v>
      </c>
      <c r="E79" s="1" t="n">
        <v>46321</v>
      </c>
      <c r="F79" t="inlineStr">
        <is>
          <t>VÄSTMANLANDS LÄN</t>
        </is>
      </c>
      <c r="G79" t="inlineStr">
        <is>
          <t>SKINNSKATTEBERG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46321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Kyrkan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46321</v>
      </c>
      <c r="F81" t="inlineStr">
        <is>
          <t>VÄSTMANLANDS LÄN</t>
        </is>
      </c>
      <c r="G81" t="inlineStr">
        <is>
          <t>SKINNSKATTEBERG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46321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45198</v>
      </c>
      <c r="E83" s="1" t="n">
        <v>46321</v>
      </c>
      <c r="F83" t="inlineStr">
        <is>
          <t>VÄSTMANLANDS LÄN</t>
        </is>
      </c>
      <c r="G83" t="inlineStr">
        <is>
          <t>SKINNSKATTEBERG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46321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35706-2024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45532</v>
      </c>
      <c r="E85" s="1" t="n">
        <v>46321</v>
      </c>
      <c r="F85" t="inlineStr">
        <is>
          <t>VÄSTMANLANDS LÄN</t>
        </is>
      </c>
      <c r="G85" t="inlineStr">
        <is>
          <t>SKINNSKATTEBERG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40782-2025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45897</v>
      </c>
      <c r="E86" s="1" t="n">
        <v>46321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40783-2025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45897</v>
      </c>
      <c r="E87" s="1" t="n">
        <v>46321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46321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46321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46321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46321</v>
      </c>
      <c r="F91" t="inlineStr">
        <is>
          <t>VÄSTMANLANDS LÄN</t>
        </is>
      </c>
      <c r="G91" t="inlineStr">
        <is>
          <t>SKINNSKATTEBERG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40776-2025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45897</v>
      </c>
      <c r="E92" s="1" t="n">
        <v>46321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44603</v>
      </c>
      <c r="E93" s="1" t="n">
        <v>46321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46321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45910</v>
      </c>
      <c r="E95" s="1" t="n">
        <v>46321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45910</v>
      </c>
      <c r="E96" s="1" t="n">
        <v>46321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46321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46321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44184-2025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45915</v>
      </c>
      <c r="E99" s="1" t="n">
        <v>46321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46163</v>
      </c>
      <c r="E100" s="1" t="n">
        <v>46321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41581-2025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45901</v>
      </c>
      <c r="E101" s="1" t="n">
        <v>46321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46163</v>
      </c>
      <c r="E102" s="1" t="n">
        <v>46321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46321</v>
      </c>
      <c r="F103" t="inlineStr">
        <is>
          <t>VÄSTMANLANDS LÄN</t>
        </is>
      </c>
      <c r="G103" t="inlineStr">
        <is>
          <t>SKINNSKATTEBERG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46163</v>
      </c>
      <c r="E104" s="1" t="n">
        <v>46321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46163</v>
      </c>
      <c r="E105" s="1" t="n">
        <v>46321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46163</v>
      </c>
      <c r="E106" s="1" t="n">
        <v>46321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46321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46321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46321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46321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46321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46321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45114</v>
      </c>
      <c r="E113" s="1" t="n">
        <v>46321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46321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46170</v>
      </c>
      <c r="E115" s="1" t="n">
        <v>46321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24494-2026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46321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20248-2024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45434</v>
      </c>
      <c r="E117" s="1" t="n">
        <v>46321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46321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24495-2026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46321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13713-2024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45390</v>
      </c>
      <c r="E120" s="1" t="n">
        <v>46321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46321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46321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25843-2023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45090</v>
      </c>
      <c r="E123" s="1" t="n">
        <v>46321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46321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46321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46321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46321</v>
      </c>
      <c r="F127" t="inlineStr">
        <is>
          <t>VÄSTMANLANDS LÄN</t>
        </is>
      </c>
      <c r="G127" t="inlineStr">
        <is>
          <t>SKINNSKATTEBERG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45435</v>
      </c>
      <c r="E128" s="1" t="n">
        <v>46321</v>
      </c>
      <c r="F128" t="inlineStr">
        <is>
          <t>VÄSTMANLANDS LÄN</t>
        </is>
      </c>
      <c r="G128" t="inlineStr">
        <is>
          <t>SKINNSKATTEBERG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46321</v>
      </c>
      <c r="F129" t="inlineStr">
        <is>
          <t>VÄSTMANLANDS LÄN</t>
        </is>
      </c>
      <c r="G129" t="inlineStr">
        <is>
          <t>SKINNSKATTEBERG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46321</v>
      </c>
      <c r="F130" t="inlineStr">
        <is>
          <t>VÄSTMANLANDS LÄN</t>
        </is>
      </c>
      <c r="G130" t="inlineStr">
        <is>
          <t>SKINNSKATTEBERG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46321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45006</v>
      </c>
      <c r="E132" s="1" t="n">
        <v>46321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Allmännings- och besparingsskogar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45410</v>
      </c>
      <c r="E133" s="1" t="n">
        <v>46321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44806</v>
      </c>
      <c r="E134" s="1" t="n">
        <v>46321</v>
      </c>
      <c r="F134" t="inlineStr">
        <is>
          <t>VÄSTMANLANDS LÄN</t>
        </is>
      </c>
      <c r="G134" t="inlineStr">
        <is>
          <t>SKINNSKATTEBERG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46321</v>
      </c>
      <c r="F135" t="inlineStr">
        <is>
          <t>VÄSTMANLANDS LÄN</t>
        </is>
      </c>
      <c r="G135" t="inlineStr">
        <is>
          <t>SKINNSKATTEBERG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45447</v>
      </c>
      <c r="E136" s="1" t="n">
        <v>46321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45947</v>
      </c>
      <c r="E137" s="1" t="n">
        <v>46321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46321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46321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46321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51026-2025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45947</v>
      </c>
      <c r="E141" s="1" t="n">
        <v>46321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46321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45520</v>
      </c>
      <c r="E143" s="1" t="n">
        <v>46321</v>
      </c>
      <c r="F143" t="inlineStr">
        <is>
          <t>VÄSTMANLANDS LÄN</t>
        </is>
      </c>
      <c r="G143" t="inlineStr">
        <is>
          <t>SKINNSKATTEBERG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46321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46321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54657-2022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44883</v>
      </c>
      <c r="E146" s="1" t="n">
        <v>46321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44803</v>
      </c>
      <c r="E147" s="1" t="n">
        <v>46321</v>
      </c>
      <c r="F147" t="inlineStr">
        <is>
          <t>VÄSTMANLANDS LÄN</t>
        </is>
      </c>
      <c r="G147" t="inlineStr">
        <is>
          <t>SKINNSKATTEBERG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46321</v>
      </c>
      <c r="F148" t="inlineStr">
        <is>
          <t>VÄSTMANLANDS LÄN</t>
        </is>
      </c>
      <c r="G148" t="inlineStr">
        <is>
          <t>SKINNSKATTEBERG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44910</v>
      </c>
      <c r="E149" s="1" t="n">
        <v>46321</v>
      </c>
      <c r="F149" t="inlineStr">
        <is>
          <t>VÄSTMANLANDS LÄN</t>
        </is>
      </c>
      <c r="G149" t="inlineStr">
        <is>
          <t>SKINNSKATTEBERG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26356-2026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46182</v>
      </c>
      <c r="E150" s="1" t="n">
        <v>46321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46321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45134</v>
      </c>
      <c r="E152" s="1" t="n">
        <v>46321</v>
      </c>
      <c r="F152" t="inlineStr">
        <is>
          <t>VÄSTMANLANDS LÄN</t>
        </is>
      </c>
      <c r="G152" t="inlineStr">
        <is>
          <t>SKINNSKATTEBERG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15561-2024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45401</v>
      </c>
      <c r="E153" s="1" t="n">
        <v>46321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45114</v>
      </c>
      <c r="E154" s="1" t="n">
        <v>46321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7.9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26866-2026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46185</v>
      </c>
      <c r="E155" s="1" t="n">
        <v>46321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46321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46321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46321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45068</v>
      </c>
      <c r="E159" s="1" t="n">
        <v>46321</v>
      </c>
      <c r="F159" t="inlineStr">
        <is>
          <t>VÄSTMANLANDS LÄN</t>
        </is>
      </c>
      <c r="G159" t="inlineStr">
        <is>
          <t>SKINNSKATTEBERG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46321</v>
      </c>
      <c r="F160" t="inlineStr">
        <is>
          <t>VÄSTMANLANDS LÄN</t>
        </is>
      </c>
      <c r="G160" t="inlineStr">
        <is>
          <t>SKINNSKATTEBERG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44713</v>
      </c>
      <c r="E161" s="1" t="n">
        <v>46321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48492-2024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45592</v>
      </c>
      <c r="E162" s="1" t="n">
        <v>46321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46321</v>
      </c>
      <c r="F163" t="inlineStr">
        <is>
          <t>VÄSTMANLANDS LÄN</t>
        </is>
      </c>
      <c r="G163" t="inlineStr">
        <is>
          <t>SKINNSKATTEBERG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45571</v>
      </c>
      <c r="E164" s="1" t="n">
        <v>46321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45571</v>
      </c>
      <c r="E165" s="1" t="n">
        <v>46321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46321</v>
      </c>
      <c r="F166" t="inlineStr">
        <is>
          <t>VÄSTMANLANDS LÄN</t>
        </is>
      </c>
      <c r="G166" t="inlineStr">
        <is>
          <t>SKINNSKATTEBERG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46321</v>
      </c>
      <c r="F167" t="inlineStr">
        <is>
          <t>VÄSTMANLANDS LÄN</t>
        </is>
      </c>
      <c r="G167" t="inlineStr">
        <is>
          <t>SKINNSKATTEBERG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45506</v>
      </c>
      <c r="E168" s="1" t="n">
        <v>46321</v>
      </c>
      <c r="F168" t="inlineStr">
        <is>
          <t>VÄSTMANLANDS LÄN</t>
        </is>
      </c>
      <c r="G168" t="inlineStr">
        <is>
          <t>SKINNSKATTEBERG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46191</v>
      </c>
      <c r="E169" s="1" t="n">
        <v>46321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46190</v>
      </c>
      <c r="E170" s="1" t="n">
        <v>46321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27639-2026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46321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46321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40545-2023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45170</v>
      </c>
      <c r="E173" s="1" t="n">
        <v>46321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46321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46321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46321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46321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45604</v>
      </c>
      <c r="E178" s="1" t="n">
        <v>46321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46321</v>
      </c>
      <c r="F179" t="inlineStr">
        <is>
          <t>VÄSTMANLANDS LÄN</t>
        </is>
      </c>
      <c r="G179" t="inlineStr">
        <is>
          <t>SKINNSKATTEBERG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46321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46321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46321</v>
      </c>
      <c r="F182" t="inlineStr">
        <is>
          <t>VÄSTMANLANDS LÄN</t>
        </is>
      </c>
      <c r="G182" t="inlineStr">
        <is>
          <t>SKINNSKATTEBERG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46321</v>
      </c>
      <c r="F183" t="inlineStr">
        <is>
          <t>VÄSTMANLANDS LÄN</t>
        </is>
      </c>
      <c r="G183" t="inlineStr">
        <is>
          <t>SKINNSKATTEBERG</t>
        </is>
      </c>
      <c r="I183" t="n">
        <v>10.5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46321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45686</v>
      </c>
      <c r="E185" s="1" t="n">
        <v>46321</v>
      </c>
      <c r="F185" t="inlineStr">
        <is>
          <t>VÄSTMANLANDS LÄN</t>
        </is>
      </c>
      <c r="G185" t="inlineStr">
        <is>
          <t>SKINNSKATTEBERG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46321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46321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45393</v>
      </c>
      <c r="E188" s="1" t="n">
        <v>46321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46321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29091-2026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46200</v>
      </c>
      <c r="E190" s="1" t="n">
        <v>46321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29021-2026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46321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46321</v>
      </c>
      <c r="F192" t="inlineStr">
        <is>
          <t>VÄSTMANLANDS LÄN</t>
        </is>
      </c>
      <c r="G192" t="inlineStr">
        <is>
          <t>SKINNSKATTEBERG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45975</v>
      </c>
      <c r="E193" s="1" t="n">
        <v>46321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46200</v>
      </c>
      <c r="E194" s="1" t="n">
        <v>46321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46321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45979</v>
      </c>
      <c r="E196" s="1" t="n">
        <v>46321</v>
      </c>
      <c r="F196" t="inlineStr">
        <is>
          <t>VÄSTMANLANDS LÄN</t>
        </is>
      </c>
      <c r="G196" t="inlineStr">
        <is>
          <t>SKINNSKATTEBERG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46321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46321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45571</v>
      </c>
      <c r="E199" s="1" t="n">
        <v>46321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14237-2025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46321</v>
      </c>
      <c r="F200" t="inlineStr">
        <is>
          <t>VÄSTMANLANDS LÄN</t>
        </is>
      </c>
      <c r="G200" t="inlineStr">
        <is>
          <t>SKINNSKATTEBERG</t>
        </is>
      </c>
      <c r="I200" t="n">
        <v>10.4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46321</v>
      </c>
      <c r="F201" t="inlineStr">
        <is>
          <t>VÄSTMANLANDS LÄN</t>
        </is>
      </c>
      <c r="G201" t="inlineStr">
        <is>
          <t>SKINNSKATTEBERG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46321</v>
      </c>
      <c r="F202" t="inlineStr">
        <is>
          <t>VÄSTMANLANDS LÄN</t>
        </is>
      </c>
      <c r="G202" t="inlineStr">
        <is>
          <t>SKINNSKATTEBERG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46321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46210</v>
      </c>
      <c r="E204" s="1" t="n">
        <v>46321</v>
      </c>
      <c r="F204" t="inlineStr">
        <is>
          <t>VÄSTMANLANDS LÄN</t>
        </is>
      </c>
      <c r="G204" t="inlineStr">
        <is>
          <t>SKINNSKATTEBERG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46321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46321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45097</v>
      </c>
      <c r="E207" s="1" t="n">
        <v>46321</v>
      </c>
      <c r="F207" t="inlineStr">
        <is>
          <t>VÄSTMANLANDS LÄN</t>
        </is>
      </c>
      <c r="G207" t="inlineStr">
        <is>
          <t>SKINNSKATTEBERG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46321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46321</v>
      </c>
      <c r="F209" t="inlineStr">
        <is>
          <t>VÄSTMANLANDS LÄN</t>
        </is>
      </c>
      <c r="G209" t="inlineStr">
        <is>
          <t>SKINNSKATTEBERG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45407</v>
      </c>
      <c r="E210" s="1" t="n">
        <v>46321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46321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46321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46321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46321</v>
      </c>
      <c r="F214" t="inlineStr">
        <is>
          <t>VÄSTMANLANDS LÄN</t>
        </is>
      </c>
      <c r="G214" t="inlineStr">
        <is>
          <t>SKINNSKATTEBERG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29026-2026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46199</v>
      </c>
      <c r="E215" s="1" t="n">
        <v>46321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46321</v>
      </c>
      <c r="F216" t="inlineStr">
        <is>
          <t>VÄSTMANLANDS LÄN</t>
        </is>
      </c>
      <c r="G216" t="inlineStr">
        <is>
          <t>SKINNSKATTEBERG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45377</v>
      </c>
      <c r="E217" s="1" t="n">
        <v>46321</v>
      </c>
      <c r="F217" t="inlineStr">
        <is>
          <t>VÄSTMANLANDS LÄN</t>
        </is>
      </c>
      <c r="G217" t="inlineStr">
        <is>
          <t>SKINNSKATTEBERG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46321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45247</v>
      </c>
      <c r="E219" s="1" t="n">
        <v>46321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46321</v>
      </c>
      <c r="F220" t="inlineStr">
        <is>
          <t>VÄSTMANLANDS LÄN</t>
        </is>
      </c>
      <c r="G220" t="inlineStr">
        <is>
          <t>SKINNSKATTEBERG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46321</v>
      </c>
      <c r="F221" t="inlineStr">
        <is>
          <t>VÄSTMANLANDS LÄN</t>
        </is>
      </c>
      <c r="G221" t="inlineStr">
        <is>
          <t>SKINNSKATTEBERG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32217-2026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46237</v>
      </c>
      <c r="E222" s="1" t="n">
        <v>46321</v>
      </c>
      <c r="F222" t="inlineStr">
        <is>
          <t>VÄSTMANLANDS LÄN</t>
        </is>
      </c>
      <c r="G222" t="inlineStr">
        <is>
          <t>SKINNSKATTEBERG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46279</v>
      </c>
      <c r="E223" s="1" t="n">
        <v>46321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46321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46321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46321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45480</v>
      </c>
      <c r="E227" s="1" t="n">
        <v>46321</v>
      </c>
      <c r="F227" t="inlineStr">
        <is>
          <t>VÄSTMANLANDS LÄN</t>
        </is>
      </c>
      <c r="G227" t="inlineStr">
        <is>
          <t>SKINNSKATTEBERG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22285-2025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45786</v>
      </c>
      <c r="E228" s="1" t="n">
        <v>46321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46321</v>
      </c>
      <c r="F229" t="inlineStr">
        <is>
          <t>VÄSTMANLANDS LÄN</t>
        </is>
      </c>
      <c r="G229" t="inlineStr">
        <is>
          <t>SKINNSKATTEBERG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46285</v>
      </c>
      <c r="E230" s="1" t="n">
        <v>46321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46321</v>
      </c>
      <c r="F231" t="inlineStr">
        <is>
          <t>VÄSTMANLANDS LÄN</t>
        </is>
      </c>
      <c r="G231" t="inlineStr">
        <is>
          <t>SKINNSKATTEBERG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46321</v>
      </c>
      <c r="F232" t="inlineStr">
        <is>
          <t>VÄSTMANLANDS LÄN</t>
        </is>
      </c>
      <c r="G232" t="inlineStr">
        <is>
          <t>SKINNSKATTEBERG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46321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46321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46244</v>
      </c>
      <c r="E235" s="1" t="n">
        <v>46321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8.300000000000001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46244</v>
      </c>
      <c r="E236" s="1" t="n">
        <v>46321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46244</v>
      </c>
      <c r="E237" s="1" t="n">
        <v>46321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32867-2026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46244</v>
      </c>
      <c r="E238" s="1" t="n">
        <v>46321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46247</v>
      </c>
      <c r="E239" s="1" t="n">
        <v>46321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46290</v>
      </c>
      <c r="E240" s="1" t="n">
        <v>46321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5704-2026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46051</v>
      </c>
      <c r="E241" s="1" t="n">
        <v>46321</v>
      </c>
      <c r="F241" t="inlineStr">
        <is>
          <t>VÄSTMANLANDS LÄN</t>
        </is>
      </c>
      <c r="G241" t="inlineStr">
        <is>
          <t>SKINNSKATTEBERG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46289</v>
      </c>
      <c r="E242" s="1" t="n">
        <v>46321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46051</v>
      </c>
      <c r="E243" s="1" t="n">
        <v>46321</v>
      </c>
      <c r="F243" t="inlineStr">
        <is>
          <t>VÄSTMANLANDS LÄN</t>
        </is>
      </c>
      <c r="G243" t="inlineStr">
        <is>
          <t>SKINNSKATTEBERG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5675-2026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46051</v>
      </c>
      <c r="E244" s="1" t="n">
        <v>46321</v>
      </c>
      <c r="F244" t="inlineStr">
        <is>
          <t>VÄSTMANLANDS LÄN</t>
        </is>
      </c>
      <c r="G244" t="inlineStr">
        <is>
          <t>SKINNSKATTEBERG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25846-2025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45804</v>
      </c>
      <c r="E245" s="1" t="n">
        <v>46321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39863-2026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46290</v>
      </c>
      <c r="E246" s="1" t="n">
        <v>46321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46321</v>
      </c>
      <c r="F247" t="inlineStr">
        <is>
          <t>VÄSTMANLANDS LÄN</t>
        </is>
      </c>
      <c r="G247" t="inlineStr">
        <is>
          <t>SKINNSKATTEBERG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46290</v>
      </c>
      <c r="E248" s="1" t="n">
        <v>46321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46290</v>
      </c>
      <c r="E249" s="1" t="n">
        <v>46321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45480</v>
      </c>
      <c r="E250" s="1" t="n">
        <v>46321</v>
      </c>
      <c r="F250" t="inlineStr">
        <is>
          <t>VÄSTMANLANDS LÄN</t>
        </is>
      </c>
      <c r="G250" t="inlineStr">
        <is>
          <t>SKINNSKATTEBERG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46248</v>
      </c>
      <c r="E251" s="1" t="n">
        <v>46321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28873-2025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45820</v>
      </c>
      <c r="E252" s="1" t="n">
        <v>46321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28831-2025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45820</v>
      </c>
      <c r="E253" s="1" t="n">
        <v>46321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32205-2026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46237</v>
      </c>
      <c r="E254" s="1" t="n">
        <v>46321</v>
      </c>
      <c r="F254" t="inlineStr">
        <is>
          <t>VÄSTMANLANDS LÄN</t>
        </is>
      </c>
      <c r="G254" t="inlineStr">
        <is>
          <t>SKINNSKATTEBERG</t>
        </is>
      </c>
      <c r="I254" t="n">
        <v>12.2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29808-2025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45825</v>
      </c>
      <c r="E255" s="1" t="n">
        <v>46321</v>
      </c>
      <c r="F255" t="inlineStr">
        <is>
          <t>VÄSTMANLANDS LÄN</t>
        </is>
      </c>
      <c r="G255" t="inlineStr">
        <is>
          <t>SKINNSKATTEBERG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29810-2025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45825</v>
      </c>
      <c r="E256" s="1" t="n">
        <v>46321</v>
      </c>
      <c r="F256" t="inlineStr">
        <is>
          <t>VÄSTMANLANDS LÄN</t>
        </is>
      </c>
      <c r="G256" t="inlineStr">
        <is>
          <t>SKINNSKATTEBERG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30439-2025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45827</v>
      </c>
      <c r="E257" s="1" t="n">
        <v>46321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46321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46321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46321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31234-2025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45832</v>
      </c>
      <c r="E261" s="1" t="n">
        <v>46321</v>
      </c>
      <c r="F261" t="inlineStr">
        <is>
          <t>VÄSTMANLANDS LÄN</t>
        </is>
      </c>
      <c r="G261" t="inlineStr">
        <is>
          <t>SKINNSKATTEBERG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46300</v>
      </c>
      <c r="E262" s="1" t="n">
        <v>46321</v>
      </c>
      <c r="F262" t="inlineStr">
        <is>
          <t>VÄSTMANLANDS LÄN</t>
        </is>
      </c>
      <c r="G262" t="inlineStr">
        <is>
          <t>SKINNSKATTEBERG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45848</v>
      </c>
      <c r="E263" s="1" t="n">
        <v>46321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46302</v>
      </c>
      <c r="E264" s="1" t="n">
        <v>46321</v>
      </c>
      <c r="F264" t="inlineStr">
        <is>
          <t>VÄSTMANLANDS LÄN</t>
        </is>
      </c>
      <c r="G264" t="inlineStr">
        <is>
          <t>SKINNSKATTEBERG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46321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46321</v>
      </c>
      <c r="F266" t="inlineStr">
        <is>
          <t>VÄSTMANLANDS LÄN</t>
        </is>
      </c>
      <c r="G266" t="inlineStr">
        <is>
          <t>SKINNSKATTEBERG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46321</v>
      </c>
      <c r="F267" t="inlineStr">
        <is>
          <t>VÄSTMANLANDS LÄN</t>
        </is>
      </c>
      <c r="G267" t="inlineStr">
        <is>
          <t>SKINNSKATTEBERG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45554</v>
      </c>
      <c r="E268" s="1" t="n">
        <v>46321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46321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46321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15731-2026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46321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45853</v>
      </c>
      <c r="E272" s="1" t="n">
        <v>46321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35205-2025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45853</v>
      </c>
      <c r="E273" s="1" t="n">
        <v>46321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16136-2026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46108</v>
      </c>
      <c r="E274" s="1" t="n">
        <v>46321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15955-2026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46108</v>
      </c>
      <c r="E275" s="1" t="n">
        <v>46321</v>
      </c>
      <c r="F275" t="inlineStr">
        <is>
          <t>VÄSTMANLANDS LÄN</t>
        </is>
      </c>
      <c r="G275" t="inlineStr">
        <is>
          <t>SKINNSKATTEBERG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46321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46321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46321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46321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46321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46321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35168-2026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46260</v>
      </c>
      <c r="E282" s="1" t="n">
        <v>46321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46321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46308</v>
      </c>
      <c r="E284" s="1" t="n">
        <v>46321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46321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46321</v>
      </c>
      <c r="F286" t="inlineStr">
        <is>
          <t>VÄSTMANLANDS LÄN</t>
        </is>
      </c>
      <c r="G286" t="inlineStr">
        <is>
          <t>SKINNSKATTEBERG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35746-2026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46265</v>
      </c>
      <c r="E287" s="1" t="n">
        <v>46321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46262</v>
      </c>
      <c r="E288" s="1" t="n">
        <v>46321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46262</v>
      </c>
      <c r="E289" s="1" t="n">
        <v>46321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46262</v>
      </c>
      <c r="E290" s="1" t="n">
        <v>46321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19582-2026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46134</v>
      </c>
      <c r="E291" s="1" t="n">
        <v>46321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19541-2026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46134</v>
      </c>
      <c r="E292" s="1" t="n">
        <v>46321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19540-2026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46134</v>
      </c>
      <c r="E293" s="1" t="n">
        <v>46321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46308</v>
      </c>
      <c r="E294" s="1" t="n">
        <v>46321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46321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46321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46308</v>
      </c>
      <c r="E297" s="1" t="n">
        <v>46321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42547-2026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46308</v>
      </c>
      <c r="E298" s="1" t="n">
        <v>46321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46262</v>
      </c>
      <c r="E299" s="1" t="n">
        <v>46321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35582-2026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46262</v>
      </c>
      <c r="E300" s="1" t="n">
        <v>46321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46308</v>
      </c>
      <c r="E301" s="1" t="n">
        <v>46321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46321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16088-2024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45406</v>
      </c>
      <c r="E303" s="1" t="n">
        <v>46321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45554</v>
      </c>
      <c r="E304" s="1" t="n">
        <v>46321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45216</v>
      </c>
      <c r="E305" s="1" t="n">
        <v>46321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31629-2024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45506</v>
      </c>
      <c r="E306" s="1" t="n">
        <v>46321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46321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45504</v>
      </c>
      <c r="E308" s="1" t="n">
        <v>46321</v>
      </c>
      <c r="F308" t="inlineStr">
        <is>
          <t>VÄSTMANLANDS LÄN</t>
        </is>
      </c>
      <c r="G308" t="inlineStr">
        <is>
          <t>SKINNSKATTEBERG</t>
        </is>
      </c>
      <c r="I308" t="n">
        <v>17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45534</v>
      </c>
      <c r="E309" s="1" t="n">
        <v>46321</v>
      </c>
      <c r="F309" t="inlineStr">
        <is>
          <t>VÄSTMANLANDS LÄN</t>
        </is>
      </c>
      <c r="G309" t="inlineStr">
        <is>
          <t>SKINNSKATTEBERG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46321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46321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20563-2026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46140</v>
      </c>
      <c r="E312" s="1" t="n">
        <v>46321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45447</v>
      </c>
      <c r="E313" s="1" t="n">
        <v>46321</v>
      </c>
      <c r="F313" t="inlineStr">
        <is>
          <t>VÄSTMANLANDS LÄN</t>
        </is>
      </c>
      <c r="G313" t="inlineStr">
        <is>
          <t>SKINNSKATTEBERG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46321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46316</v>
      </c>
      <c r="E315" s="1" t="n">
        <v>46321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46316</v>
      </c>
      <c r="E316" s="1" t="n">
        <v>46321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43650-2026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46316</v>
      </c>
      <c r="E317" s="1" t="n">
        <v>46321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46316</v>
      </c>
      <c r="E318" s="1" t="n">
        <v>46321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43667-2026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46316</v>
      </c>
      <c r="E319" s="1" t="n">
        <v>46321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44967</v>
      </c>
      <c r="E320" s="1" t="n">
        <v>46321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46316</v>
      </c>
      <c r="E321" s="1" t="n">
        <v>46321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46321</v>
      </c>
      <c r="F322" t="inlineStr">
        <is>
          <t>VÄSTMANLANDS LÄN</t>
        </is>
      </c>
      <c r="G322" t="inlineStr">
        <is>
          <t>SKINNSKATTEBERG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45252</v>
      </c>
      <c r="E323" s="1" t="n">
        <v>46321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46321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46321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46321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Kyrkan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46141</v>
      </c>
      <c r="E327" s="1" t="n">
        <v>46321</v>
      </c>
      <c r="F327" t="inlineStr">
        <is>
          <t>VÄSTMANLANDS LÄN</t>
        </is>
      </c>
      <c r="G327" t="inlineStr">
        <is>
          <t>SKINNSKATTEBERG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46318</v>
      </c>
      <c r="E328" s="1" t="n">
        <v>46321</v>
      </c>
      <c r="F328" t="inlineStr">
        <is>
          <t>VÄSTMANLANDS LÄN</t>
        </is>
      </c>
      <c r="G328" t="inlineStr">
        <is>
          <t>SKINNSKATTEBERG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47137-2024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45586</v>
      </c>
      <c r="E329" s="1" t="n">
        <v>46321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46321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46321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46321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46321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46142</v>
      </c>
      <c r="E334" s="1" t="n">
        <v>46321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46321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37342-2023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45156</v>
      </c>
      <c r="E336" s="1" t="n">
        <v>46321</v>
      </c>
      <c r="F336" t="inlineStr">
        <is>
          <t>VÄSTMANLANDS LÄN</t>
        </is>
      </c>
      <c r="G336" t="inlineStr">
        <is>
          <t>SKINNSKATTEBERG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21848-2026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46150</v>
      </c>
      <c r="E337" s="1" t="n">
        <v>46321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46150</v>
      </c>
      <c r="E338" s="1" t="n">
        <v>46321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45558</v>
      </c>
      <c r="E339" s="1" t="n">
        <v>46321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46321</v>
      </c>
      <c r="F340" t="inlineStr">
        <is>
          <t>VÄSTMANLANDS LÄN</t>
        </is>
      </c>
      <c r="G340" t="inlineStr">
        <is>
          <t>SKINNSKATTEBERG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22779-2026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46157</v>
      </c>
      <c r="E341" s="1" t="n">
        <v>46321</v>
      </c>
      <c r="F341" t="inlineStr">
        <is>
          <t>VÄSTMANLANDS LÄN</t>
        </is>
      </c>
      <c r="G341" t="inlineStr">
        <is>
          <t>SKINNSKATTEBERG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15184-2025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45744</v>
      </c>
      <c r="E342" s="1" t="n">
        <v>46321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46321</v>
      </c>
      <c r="F343" t="inlineStr">
        <is>
          <t>VÄSTMANLANDS LÄN</t>
        </is>
      </c>
      <c r="G343" t="inlineStr">
        <is>
          <t>SKINNSKATTEBERG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45604</v>
      </c>
      <c r="E344" s="1" t="n">
        <v>46321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46321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45162</v>
      </c>
      <c r="E346" s="1" t="n">
        <v>46321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52696-2024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46321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46321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45177</v>
      </c>
      <c r="E349" s="1" t="n">
        <v>46321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24777-2022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44728</v>
      </c>
      <c r="E350" s="1" t="n">
        <v>46321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44768</v>
      </c>
      <c r="E351" s="1" t="n">
        <v>46321</v>
      </c>
      <c r="F351" t="inlineStr">
        <is>
          <t>VÄSTMANLANDS LÄN</t>
        </is>
      </c>
      <c r="G351" t="inlineStr">
        <is>
          <t>SKINNSKATTEBERG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45531</v>
      </c>
      <c r="E352" s="1" t="n">
        <v>46321</v>
      </c>
      <c r="F352" t="inlineStr">
        <is>
          <t>VÄSTMANLANDS LÄN</t>
        </is>
      </c>
      <c r="G352" t="inlineStr">
        <is>
          <t>SKINNSKATTEBERG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16647-2025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45754</v>
      </c>
      <c r="E353" s="1" t="n">
        <v>46321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13676-2022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44648</v>
      </c>
      <c r="E354" s="1" t="n">
        <v>46321</v>
      </c>
      <c r="F354" t="inlineStr">
        <is>
          <t>VÄSTMANLANDS LÄN</t>
        </is>
      </c>
      <c r="G354" t="inlineStr">
        <is>
          <t>SKINNSKATTEBERG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29708-2024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45485</v>
      </c>
      <c r="E355" s="1" t="n">
        <v>46321</v>
      </c>
      <c r="F355" t="inlineStr">
        <is>
          <t>VÄSTMANLANDS LÄN</t>
        </is>
      </c>
      <c r="G355" t="inlineStr">
        <is>
          <t>SKINNSKATTEBERG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45686</v>
      </c>
      <c r="E356" s="1" t="n">
        <v>46321</v>
      </c>
      <c r="F356" t="inlineStr">
        <is>
          <t>VÄSTMANLANDS LÄN</t>
        </is>
      </c>
      <c r="G356" t="inlineStr">
        <is>
          <t>SKINNSKATTEBERG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45720</v>
      </c>
      <c r="E357" s="1" t="n">
        <v>46321</v>
      </c>
      <c r="F357" t="inlineStr">
        <is>
          <t>VÄSTMANLANDS LÄN</t>
        </is>
      </c>
      <c r="G357" t="inlineStr">
        <is>
          <t>SKINNSKATTEBERG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16089-2024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45406</v>
      </c>
      <c r="E358" s="1" t="n">
        <v>46321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46321</v>
      </c>
      <c r="F359" t="inlineStr">
        <is>
          <t>VÄSTMANLANDS LÄN</t>
        </is>
      </c>
      <c r="G359" t="inlineStr">
        <is>
          <t>SKINNSKATTEBERG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46321</v>
      </c>
      <c r="F360" t="inlineStr">
        <is>
          <t>VÄSTMANLANDS LÄN</t>
        </is>
      </c>
      <c r="G360" t="inlineStr">
        <is>
          <t>SKINNSKATTEBERG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44903</v>
      </c>
      <c r="E361" s="1" t="n">
        <v>46321</v>
      </c>
      <c r="F361" t="inlineStr">
        <is>
          <t>VÄSTMANLANDS LÄN</t>
        </is>
      </c>
      <c r="G361" t="inlineStr">
        <is>
          <t>SKINNSKATTEBERG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45555</v>
      </c>
      <c r="E362" s="1" t="n">
        <v>46321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45128</v>
      </c>
      <c r="E363" s="1" t="n">
        <v>46321</v>
      </c>
      <c r="F363" t="inlineStr">
        <is>
          <t>VÄSTMANLANDS LÄN</t>
        </is>
      </c>
      <c r="G363" t="inlineStr">
        <is>
          <t>SKINNSKATTEBERG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11800-2024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45375</v>
      </c>
      <c r="E364" s="1" t="n">
        <v>46321</v>
      </c>
      <c r="F364" t="inlineStr">
        <is>
          <t>VÄSTMANLANDS LÄN</t>
        </is>
      </c>
      <c r="G364" t="inlineStr">
        <is>
          <t>SKINNSKATTEBERG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44965</v>
      </c>
      <c r="E365" s="1" t="n">
        <v>46321</v>
      </c>
      <c r="F365" t="inlineStr">
        <is>
          <t>VÄSTMANLANDS LÄN</t>
        </is>
      </c>
      <c r="G365" t="inlineStr">
        <is>
          <t>SKINNSKATTEBERG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46321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44936</v>
      </c>
      <c r="E367" s="1" t="n">
        <v>46321</v>
      </c>
      <c r="F367" t="inlineStr">
        <is>
          <t>VÄSTMANLANDS LÄN</t>
        </is>
      </c>
      <c r="G367" t="inlineStr">
        <is>
          <t>SKINNSKATTEBERG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35059-2024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45527</v>
      </c>
      <c r="E368" s="1" t="n">
        <v>46321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20243-2024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45434</v>
      </c>
      <c r="E369" s="1" t="n">
        <v>46321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45429</v>
      </c>
      <c r="E370" s="1" t="n">
        <v>46321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66584-2021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44519</v>
      </c>
      <c r="E371" s="1" t="n">
        <v>46321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44995</v>
      </c>
      <c r="E372" s="1" t="n">
        <v>46321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42425-2023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46321</v>
      </c>
      <c r="F373" t="inlineStr">
        <is>
          <t>VÄSTMANLANDS LÄN</t>
        </is>
      </c>
      <c r="G373" t="inlineStr">
        <is>
          <t>SKINNSKATTEBERG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46321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18161-2024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45420</v>
      </c>
      <c r="E375" s="1" t="n">
        <v>46321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14719-2023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45014</v>
      </c>
      <c r="E376" s="1" t="n">
        <v>46321</v>
      </c>
      <c r="F376" t="inlineStr">
        <is>
          <t>VÄSTMANLANDS LÄN</t>
        </is>
      </c>
      <c r="G376" t="inlineStr">
        <is>
          <t>SKINNSKATTEBERG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14736-2023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45014</v>
      </c>
      <c r="E377" s="1" t="n">
        <v>46321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45643</v>
      </c>
      <c r="E378" s="1" t="n">
        <v>46321</v>
      </c>
      <c r="F378" t="inlineStr">
        <is>
          <t>VÄSTMANLANDS LÄN</t>
        </is>
      </c>
      <c r="G378" t="inlineStr">
        <is>
          <t>SKINNSKATTEBERG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46321</v>
      </c>
      <c r="F379" t="inlineStr">
        <is>
          <t>VÄSTMANLANDS LÄN</t>
        </is>
      </c>
      <c r="G379" t="inlineStr">
        <is>
          <t>SKINNSKATTEBERG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46321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40497-2023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46321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46321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46321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41332-2023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45174</v>
      </c>
      <c r="E384" s="1" t="n">
        <v>46321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45085</v>
      </c>
      <c r="E385" s="1" t="n">
        <v>46321</v>
      </c>
      <c r="F385" t="inlineStr">
        <is>
          <t>VÄSTMANLANDS LÄN</t>
        </is>
      </c>
      <c r="G385" t="inlineStr">
        <is>
          <t>SKINNSKATTEBERG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45245</v>
      </c>
      <c r="E386" s="1" t="n">
        <v>46321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24793-2022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44728</v>
      </c>
      <c r="E387" s="1" t="n">
        <v>46321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46321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45096</v>
      </c>
      <c r="E389" s="1" t="n">
        <v>46321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45174</v>
      </c>
      <c r="E390" s="1" t="n">
        <v>46321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46321</v>
      </c>
      <c r="F391" t="inlineStr">
        <is>
          <t>VÄSTMANLANDS LÄN</t>
        </is>
      </c>
      <c r="G391" t="inlineStr">
        <is>
          <t>SKINNSKATTEBERG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45420</v>
      </c>
      <c r="E392" s="1" t="n">
        <v>46321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45170</v>
      </c>
      <c r="E393" s="1" t="n">
        <v>46321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45306</v>
      </c>
      <c r="E394" s="1" t="n">
        <v>46321</v>
      </c>
      <c r="F394" t="inlineStr">
        <is>
          <t>VÄSTMANLANDS LÄN</t>
        </is>
      </c>
      <c r="G394" t="inlineStr">
        <is>
          <t>SKINNSKATTEBERG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45306</v>
      </c>
      <c r="E395" s="1" t="n">
        <v>46321</v>
      </c>
      <c r="F395" t="inlineStr">
        <is>
          <t>VÄSTMANLANDS LÄN</t>
        </is>
      </c>
      <c r="G395" t="inlineStr">
        <is>
          <t>SKINNSKATTEBERG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45306</v>
      </c>
      <c r="E396" s="1" t="n">
        <v>46321</v>
      </c>
      <c r="F396" t="inlineStr">
        <is>
          <t>VÄSTMANLANDS LÄN</t>
        </is>
      </c>
      <c r="G396" t="inlineStr">
        <is>
          <t>SKINNSKATTEBERG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55210-2023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45237</v>
      </c>
      <c r="E397" s="1" t="n">
        <v>46321</v>
      </c>
      <c r="F397" t="inlineStr">
        <is>
          <t>VÄSTMANLANDS LÄN</t>
        </is>
      </c>
      <c r="G397" t="inlineStr">
        <is>
          <t>SKINNSKATTEBERG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44974</v>
      </c>
      <c r="E398" s="1" t="n">
        <v>46321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Kyrkan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61181-2021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44498</v>
      </c>
      <c r="E399" s="1" t="n">
        <v>46321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45532</v>
      </c>
      <c r="E400" s="1" t="n">
        <v>46321</v>
      </c>
      <c r="F400" t="inlineStr">
        <is>
          <t>VÄSTMANLANDS LÄN</t>
        </is>
      </c>
      <c r="G400" t="inlineStr">
        <is>
          <t>SKINNSKATTEBERG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35834-2024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45532</v>
      </c>
      <c r="E401" s="1" t="n">
        <v>46321</v>
      </c>
      <c r="F401" t="inlineStr">
        <is>
          <t>VÄSTMANLANDS LÄN</t>
        </is>
      </c>
      <c r="G401" t="inlineStr">
        <is>
          <t>SKINNSKATTEBERG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21571-2023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45063</v>
      </c>
      <c r="E402" s="1" t="n">
        <v>46321</v>
      </c>
      <c r="F402" t="inlineStr">
        <is>
          <t>VÄSTMANLANDS LÄN</t>
        </is>
      </c>
      <c r="G402" t="inlineStr">
        <is>
          <t>SKINNSKATTEBERG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45063</v>
      </c>
      <c r="E403" s="1" t="n">
        <v>46321</v>
      </c>
      <c r="F403" t="inlineStr">
        <is>
          <t>VÄSTMANLANDS LÄN</t>
        </is>
      </c>
      <c r="G403" t="inlineStr">
        <is>
          <t>SKINNSKATTEBERG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35683-2024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45532</v>
      </c>
      <c r="E404" s="1" t="n">
        <v>46321</v>
      </c>
      <c r="F404" t="inlineStr">
        <is>
          <t>VÄSTMANLANDS LÄN</t>
        </is>
      </c>
      <c r="G404" t="inlineStr">
        <is>
          <t>SKINNSKATTEBERG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48825-2022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44859</v>
      </c>
      <c r="E405" s="1" t="n">
        <v>46321</v>
      </c>
      <c r="F405" t="inlineStr">
        <is>
          <t>VÄSTMANLANDS LÄN</t>
        </is>
      </c>
      <c r="G405" t="inlineStr">
        <is>
          <t>SKINNSKATTEBERG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45040</v>
      </c>
      <c r="E406" s="1" t="n">
        <v>46321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45376</v>
      </c>
      <c r="E407" s="1" t="n">
        <v>46321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45058</v>
      </c>
      <c r="E408" s="1" t="n">
        <v>46321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1765-2024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45435</v>
      </c>
      <c r="E409" s="1" t="n">
        <v>46321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1462-2025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45786</v>
      </c>
      <c r="E410" s="1" t="n">
        <v>46321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1931-2025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45827</v>
      </c>
      <c r="E411" s="1" t="n">
        <v>46321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2177-2025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45853</v>
      </c>
      <c r="E412" s="1" t="n">
        <v>46321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2422-2025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45897</v>
      </c>
      <c r="E413" s="1" t="n">
        <v>46321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2421-2025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45897</v>
      </c>
      <c r="E414" s="1" t="n">
        <v>46321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45897</v>
      </c>
      <c r="E415" s="1" t="n">
        <v>46321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2456-2025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45901</v>
      </c>
      <c r="E416" s="1" t="n">
        <v>46321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2578-2025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45915</v>
      </c>
      <c r="E417" s="1" t="n">
        <v>46321</v>
      </c>
      <c r="F417" t="inlineStr">
        <is>
          <t>VÄSTMANLANDS LÄN</t>
        </is>
      </c>
      <c r="G417" t="inlineStr">
        <is>
          <t>SKINNSKATTEBERG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1325-2026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46147</v>
      </c>
      <c r="E418" s="1" t="n">
        <v>46321</v>
      </c>
      <c r="F418" t="inlineStr">
        <is>
          <t>VÄSTMANLANDS LÄN</t>
        </is>
      </c>
      <c r="G418" t="inlineStr">
        <is>
          <t>SKINNSKATTEBERG</t>
        </is>
      </c>
      <c r="H418" t="inlineStr">
        <is>
          <t>Sveaskog</t>
        </is>
      </c>
      <c r="I418" t="n">
        <v>65.3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1678-2026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46182</v>
      </c>
      <c r="E419" s="1" t="n">
        <v>46321</v>
      </c>
      <c r="F419" t="inlineStr">
        <is>
          <t>VÄSTMANLANDS LÄN</t>
        </is>
      </c>
      <c r="G419" t="inlineStr">
        <is>
          <t>SKINNSKATTEBERG</t>
        </is>
      </c>
      <c r="H419" t="inlineStr">
        <is>
          <t>Sveaskog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1868-2026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46199</v>
      </c>
      <c r="E420" s="1" t="n">
        <v>46321</v>
      </c>
      <c r="F420" t="inlineStr">
        <is>
          <t>VÄSTMANLANDS LÄN</t>
        </is>
      </c>
      <c r="G420" t="inlineStr">
        <is>
          <t>SKINNSKATTEBERG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2525-2026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46290</v>
      </c>
      <c r="E421" s="1" t="n">
        <v>46321</v>
      </c>
      <c r="F421" t="inlineStr">
        <is>
          <t>VÄSTMANLANDS LÄN</t>
        </is>
      </c>
      <c r="G421" t="inlineStr">
        <is>
          <t>SKINNSKATTEBERG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2239-2026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46260</v>
      </c>
      <c r="E422" s="1" t="n">
        <v>46321</v>
      </c>
      <c r="F422" t="inlineStr">
        <is>
          <t>VÄSTMANLANDS LÄN</t>
        </is>
      </c>
      <c r="G422" t="inlineStr">
        <is>
          <t>SKINNSKATTEBERG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2266-2026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46262</v>
      </c>
      <c r="E423" s="1" t="n">
        <v>46321</v>
      </c>
      <c r="F423" t="inlineStr">
        <is>
          <t>VÄSTMANLANDS LÄN</t>
        </is>
      </c>
      <c r="G423" t="inlineStr">
        <is>
          <t>SKINNSKATTEBERG</t>
        </is>
      </c>
      <c r="H423" t="inlineStr">
        <is>
          <t>Sveaskog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2026-10-26T03:06:14Z</dcterms:created>
  <dcterms:modified xmlns:dcterms="http://purl.org/dc/terms/" xmlns:xsi="http://www.w3.org/2001/XMLSchema-instance" xsi:type="dcterms:W3CDTF">2026-10-26T03:06:15Z</dcterms:modified>
</cp:coreProperties>
</file>