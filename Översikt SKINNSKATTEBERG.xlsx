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46196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Aspgelélav
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46196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46196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56183-2025</t>
        </is>
      </c>
      <c r="B6" s="1" t="n">
        <v>45974</v>
      </c>
      <c r="C6" s="1" t="n">
        <v>46196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Björksplintborre
Gulnål
Vedticka</t>
        </is>
      </c>
      <c r="S6">
        <f>HYPERLINK("https://klasma.github.io/Logging_1904/artfynd/A 56183-2025 artfynd.xlsx", "A 56183-2025")</f>
        <v/>
      </c>
      <c r="T6">
        <f>HYPERLINK("https://klasma.github.io/Logging_1904/kartor/A 56183-2025 karta.png", "A 56183-2025")</f>
        <v/>
      </c>
      <c r="V6">
        <f>HYPERLINK("https://klasma.github.io/Logging_1904/klagomål/A 56183-2025 FSC-klagomål.docx", "A 56183-2025")</f>
        <v/>
      </c>
      <c r="W6">
        <f>HYPERLINK("https://klasma.github.io/Logging_1904/klagomålsmail/A 56183-2025 FSC-klagomål mail.docx", "A 56183-2025")</f>
        <v/>
      </c>
      <c r="X6">
        <f>HYPERLINK("https://klasma.github.io/Logging_1904/tillsyn/A 56183-2025 tillsynsbegäran.docx", "A 56183-2025")</f>
        <v/>
      </c>
      <c r="Y6">
        <f>HYPERLINK("https://klasma.github.io/Logging_1904/tillsynsmail/A 56183-2025 tillsynsbegäran mail.docx", "A 56183-2025")</f>
        <v/>
      </c>
    </row>
    <row r="7" ht="15" customHeight="1">
      <c r="A7" t="inlineStr">
        <is>
          <t>A 36595-2024</t>
        </is>
      </c>
      <c r="B7" s="1" t="n">
        <v>45537</v>
      </c>
      <c r="C7" s="1" t="n">
        <v>46196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1</v>
      </c>
      <c r="I7" t="n">
        <v>0</v>
      </c>
      <c r="J7" t="n">
        <v>1</v>
      </c>
      <c r="K7" t="n">
        <v>3</v>
      </c>
      <c r="L7" t="n">
        <v>0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Knärot
Lakritsmusseron
Lammticka
Skarp dropptaggsvamp</t>
        </is>
      </c>
      <c r="S7">
        <f>HYPERLINK("https://klasma.github.io/Logging_1904/artfynd/A 36595-2024 artfynd.xlsx", "A 36595-2024")</f>
        <v/>
      </c>
      <c r="T7">
        <f>HYPERLINK("https://klasma.github.io/Logging_1904/kartor/A 36595-2024 karta.png", "A 36595-2024")</f>
        <v/>
      </c>
      <c r="U7">
        <f>HYPERLINK("https://klasma.github.io/Logging_1904/knärot/A 36595-2024 karta knärot.png", "A 36595-2024")</f>
        <v/>
      </c>
      <c r="V7">
        <f>HYPERLINK("https://klasma.github.io/Logging_1904/klagomål/A 36595-2024 FSC-klagomål.docx", "A 36595-2024")</f>
        <v/>
      </c>
      <c r="W7">
        <f>HYPERLINK("https://klasma.github.io/Logging_1904/klagomålsmail/A 36595-2024 FSC-klagomål mail.docx", "A 36595-2024")</f>
        <v/>
      </c>
      <c r="X7">
        <f>HYPERLINK("https://klasma.github.io/Logging_1904/tillsyn/A 36595-2024 tillsynsbegäran.docx", "A 36595-2024")</f>
        <v/>
      </c>
      <c r="Y7">
        <f>HYPERLINK("https://klasma.github.io/Logging_1904/tillsynsmail/A 36595-2024 tillsynsbegäran mail.docx", "A 36595-2024")</f>
        <v/>
      </c>
    </row>
    <row r="8" ht="15" customHeight="1">
      <c r="A8" t="inlineStr">
        <is>
          <t>A 58355-2025</t>
        </is>
      </c>
      <c r="B8" s="1" t="n">
        <v>45985</v>
      </c>
      <c r="C8" s="1" t="n">
        <v>46196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1.9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Brunpudrad nållav
Vedtrappmossa
Brandticka</t>
        </is>
      </c>
      <c r="S8">
        <f>HYPERLINK("https://klasma.github.io/Logging_1904/artfynd/A 58355-2025 artfynd.xlsx", "A 58355-2025")</f>
        <v/>
      </c>
      <c r="T8">
        <f>HYPERLINK("https://klasma.github.io/Logging_1904/kartor/A 58355-2025 karta.png", "A 58355-2025")</f>
        <v/>
      </c>
      <c r="V8">
        <f>HYPERLINK("https://klasma.github.io/Logging_1904/klagomål/A 58355-2025 FSC-klagomål.docx", "A 58355-2025")</f>
        <v/>
      </c>
      <c r="W8">
        <f>HYPERLINK("https://klasma.github.io/Logging_1904/klagomålsmail/A 58355-2025 FSC-klagomål mail.docx", "A 58355-2025")</f>
        <v/>
      </c>
      <c r="X8">
        <f>HYPERLINK("https://klasma.github.io/Logging_1904/tillsyn/A 58355-2025 tillsynsbegäran.docx", "A 58355-2025")</f>
        <v/>
      </c>
      <c r="Y8">
        <f>HYPERLINK("https://klasma.github.io/Logging_1904/tillsynsmail/A 58355-2025 tillsynsbegäran mail.docx", "A 58355-2025")</f>
        <v/>
      </c>
    </row>
    <row r="9" ht="15" customHeight="1">
      <c r="A9" t="inlineStr">
        <is>
          <t>A 19656-2025</t>
        </is>
      </c>
      <c r="B9" s="1" t="n">
        <v>45770</v>
      </c>
      <c r="C9" s="1" t="n">
        <v>46196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Rynkskinn
Ullticka
Brandticka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46196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Krusfrö
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21846-2026</t>
        </is>
      </c>
      <c r="B11" s="1" t="n">
        <v>46150</v>
      </c>
      <c r="C11" s="1" t="n">
        <v>46196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Gränsticka
Brunpudrad nållav
Vedtrappmossa</t>
        </is>
      </c>
      <c r="S11">
        <f>HYPERLINK("https://klasma.github.io/Logging_1904/artfynd/A 21846-2026 artfynd.xlsx", "A 21846-2026")</f>
        <v/>
      </c>
      <c r="T11">
        <f>HYPERLINK("https://klasma.github.io/Logging_1904/kartor/A 21846-2026 karta.png", "A 21846-2026")</f>
        <v/>
      </c>
      <c r="V11">
        <f>HYPERLINK("https://klasma.github.io/Logging_1904/klagomål/A 21846-2026 FSC-klagomål.docx", "A 21846-2026")</f>
        <v/>
      </c>
      <c r="W11">
        <f>HYPERLINK("https://klasma.github.io/Logging_1904/klagomålsmail/A 21846-2026 FSC-klagomål mail.docx", "A 21846-2026")</f>
        <v/>
      </c>
      <c r="X11">
        <f>HYPERLINK("https://klasma.github.io/Logging_1904/tillsyn/A 21846-2026 tillsynsbegäran.docx", "A 21846-2026")</f>
        <v/>
      </c>
      <c r="Y11">
        <f>HYPERLINK("https://klasma.github.io/Logging_1904/tillsynsmail/A 21846-2026 tillsynsbegäran mail.docx", "A 21846-2026")</f>
        <v/>
      </c>
    </row>
    <row r="12" ht="15" customHeight="1">
      <c r="A12" t="inlineStr">
        <is>
          <t>A 18515-2024</t>
        </is>
      </c>
      <c r="B12" s="1" t="n">
        <v>45425</v>
      </c>
      <c r="C12" s="1" t="n">
        <v>46196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21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Fläcknycklar
Revlummer</t>
        </is>
      </c>
      <c r="S12">
        <f>HYPERLINK("https://klasma.github.io/Logging_1904/artfynd/A 18515-2024 artfynd.xlsx", "A 18515-2024")</f>
        <v/>
      </c>
      <c r="T12">
        <f>HYPERLINK("https://klasma.github.io/Logging_1904/kartor/A 18515-2024 karta.png", "A 18515-2024")</f>
        <v/>
      </c>
      <c r="V12">
        <f>HYPERLINK("https://klasma.github.io/Logging_1904/klagomål/A 18515-2024 FSC-klagomål.docx", "A 18515-2024")</f>
        <v/>
      </c>
      <c r="W12">
        <f>HYPERLINK("https://klasma.github.io/Logging_1904/klagomålsmail/A 18515-2024 FSC-klagomål mail.docx", "A 18515-2024")</f>
        <v/>
      </c>
      <c r="X12">
        <f>HYPERLINK("https://klasma.github.io/Logging_1904/tillsyn/A 18515-2024 tillsynsbegäran.docx", "A 18515-2024")</f>
        <v/>
      </c>
      <c r="Y12">
        <f>HYPERLINK("https://klasma.github.io/Logging_1904/tillsynsmail/A 18515-2024 tillsynsbegäran mail.docx", "A 18515-2024")</f>
        <v/>
      </c>
    </row>
    <row r="13" ht="15" customHeight="1">
      <c r="A13" t="inlineStr">
        <is>
          <t>A 44698-2024</t>
        </is>
      </c>
      <c r="B13" s="1" t="n">
        <v>45574</v>
      </c>
      <c r="C13" s="1" t="n">
        <v>46196</v>
      </c>
      <c r="D13" t="inlineStr">
        <is>
          <t>VÄSTMANLANDS LÄN</t>
        </is>
      </c>
      <c r="E13" t="inlineStr">
        <is>
          <t>SKINNSKATTEBERG</t>
        </is>
      </c>
      <c r="G13" t="n">
        <v>1.3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Hässleklocka
Tibast
Gullviva</t>
        </is>
      </c>
      <c r="S13">
        <f>HYPERLINK("https://klasma.github.io/Logging_1904/artfynd/A 44698-2024 artfynd.xlsx", "A 44698-2024")</f>
        <v/>
      </c>
      <c r="T13">
        <f>HYPERLINK("https://klasma.github.io/Logging_1904/kartor/A 44698-2024 karta.png", "A 44698-2024")</f>
        <v/>
      </c>
      <c r="V13">
        <f>HYPERLINK("https://klasma.github.io/Logging_1904/klagomål/A 44698-2024 FSC-klagomål.docx", "A 44698-2024")</f>
        <v/>
      </c>
      <c r="W13">
        <f>HYPERLINK("https://klasma.github.io/Logging_1904/klagomålsmail/A 44698-2024 FSC-klagomål mail.docx", "A 44698-2024")</f>
        <v/>
      </c>
      <c r="X13">
        <f>HYPERLINK("https://klasma.github.io/Logging_1904/tillsyn/A 44698-2024 tillsynsbegäran.docx", "A 44698-2024")</f>
        <v/>
      </c>
      <c r="Y13">
        <f>HYPERLINK("https://klasma.github.io/Logging_1904/tillsynsmail/A 44698-2024 tillsynsbegäran mail.docx", "A 44698-2024")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46196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16910-2025</t>
        </is>
      </c>
      <c r="B15" s="1" t="n">
        <v>45755</v>
      </c>
      <c r="C15" s="1" t="n">
        <v>46196</v>
      </c>
      <c r="D15" t="inlineStr">
        <is>
          <t>VÄSTMANLANDS LÄN</t>
        </is>
      </c>
      <c r="E15" t="inlineStr">
        <is>
          <t>SKINNSKATTEBERG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Fläcknycklar</t>
        </is>
      </c>
      <c r="S15">
        <f>HYPERLINK("https://klasma.github.io/Logging_1904/artfynd/A 16910-2025 artfynd.xlsx", "A 16910-2025")</f>
        <v/>
      </c>
      <c r="T15">
        <f>HYPERLINK("https://klasma.github.io/Logging_1904/kartor/A 16910-2025 karta.png", "A 16910-2025")</f>
        <v/>
      </c>
      <c r="V15">
        <f>HYPERLINK("https://klasma.github.io/Logging_1904/klagomål/A 16910-2025 FSC-klagomål.docx", "A 16910-2025")</f>
        <v/>
      </c>
      <c r="W15">
        <f>HYPERLINK("https://klasma.github.io/Logging_1904/klagomålsmail/A 16910-2025 FSC-klagomål mail.docx", "A 16910-2025")</f>
        <v/>
      </c>
      <c r="X15">
        <f>HYPERLINK("https://klasma.github.io/Logging_1904/tillsyn/A 16910-2025 tillsynsbegäran.docx", "A 16910-2025")</f>
        <v/>
      </c>
      <c r="Y15">
        <f>HYPERLINK("https://klasma.github.io/Logging_1904/tillsynsmail/A 16910-2025 tillsynsbegäran mail.docx", "A 16910-2025")</f>
        <v/>
      </c>
    </row>
    <row r="16" ht="15" customHeight="1">
      <c r="A16" t="inlineStr">
        <is>
          <t>A 36596-2024</t>
        </is>
      </c>
      <c r="B16" s="1" t="n">
        <v>45537</v>
      </c>
      <c r="C16" s="1" t="n">
        <v>46196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Jättemusseron
Lakritsmusseron</t>
        </is>
      </c>
      <c r="S16">
        <f>HYPERLINK("https://klasma.github.io/Logging_1904/artfynd/A 36596-2024 artfynd.xlsx", "A 36596-2024")</f>
        <v/>
      </c>
      <c r="T16">
        <f>HYPERLINK("https://klasma.github.io/Logging_1904/kartor/A 36596-2024 karta.png", "A 36596-2024")</f>
        <v/>
      </c>
      <c r="V16">
        <f>HYPERLINK("https://klasma.github.io/Logging_1904/klagomål/A 36596-2024 FSC-klagomål.docx", "A 36596-2024")</f>
        <v/>
      </c>
      <c r="W16">
        <f>HYPERLINK("https://klasma.github.io/Logging_1904/klagomålsmail/A 36596-2024 FSC-klagomål mail.docx", "A 36596-2024")</f>
        <v/>
      </c>
      <c r="X16">
        <f>HYPERLINK("https://klasma.github.io/Logging_1904/tillsyn/A 36596-2024 tillsynsbegäran.docx", "A 36596-2024")</f>
        <v/>
      </c>
      <c r="Y16">
        <f>HYPERLINK("https://klasma.github.io/Logging_1904/tillsynsmail/A 36596-2024 tillsynsbegäran mail.docx", "A 36596-2024")</f>
        <v/>
      </c>
    </row>
    <row r="17" ht="15" customHeight="1">
      <c r="A17" t="inlineStr">
        <is>
          <t>A 18416-2025</t>
        </is>
      </c>
      <c r="B17" s="1" t="n">
        <v>45762</v>
      </c>
      <c r="C17" s="1" t="n">
        <v>46196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Stubbspretmossa
Svart trolldruva</t>
        </is>
      </c>
      <c r="S17">
        <f>HYPERLINK("https://klasma.github.io/Logging_1904/artfynd/A 18416-2025 artfynd.xlsx", "A 18416-2025")</f>
        <v/>
      </c>
      <c r="T17">
        <f>HYPERLINK("https://klasma.github.io/Logging_1904/kartor/A 18416-2025 karta.png", "A 18416-2025")</f>
        <v/>
      </c>
      <c r="V17">
        <f>HYPERLINK("https://klasma.github.io/Logging_1904/klagomål/A 18416-2025 FSC-klagomål.docx", "A 18416-2025")</f>
        <v/>
      </c>
      <c r="W17">
        <f>HYPERLINK("https://klasma.github.io/Logging_1904/klagomålsmail/A 18416-2025 FSC-klagomål mail.docx", "A 18416-2025")</f>
        <v/>
      </c>
      <c r="X17">
        <f>HYPERLINK("https://klasma.github.io/Logging_1904/tillsyn/A 18416-2025 tillsynsbegäran.docx", "A 18416-2025")</f>
        <v/>
      </c>
      <c r="Y17">
        <f>HYPERLINK("https://klasma.github.io/Logging_1904/tillsynsmail/A 18416-2025 tillsynsbegäran mail.docx", "A 18416-2025")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46196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46196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46196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57395-2025</t>
        </is>
      </c>
      <c r="B21" s="1" t="n">
        <v>45980</v>
      </c>
      <c r="C21" s="1" t="n">
        <v>46196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HYPERLINK("https://klasma.github.io/Logging_1904/artfynd/A 57395-2025 artfynd.xlsx", "A 57395-2025")</f>
        <v/>
      </c>
      <c r="T21">
        <f>HYPERLINK("https://klasma.github.io/Logging_1904/kartor/A 57395-2025 karta.png", "A 57395-2025")</f>
        <v/>
      </c>
      <c r="V21">
        <f>HYPERLINK("https://klasma.github.io/Logging_1904/klagomål/A 57395-2025 FSC-klagomål.docx", "A 57395-2025")</f>
        <v/>
      </c>
      <c r="W21">
        <f>HYPERLINK("https://klasma.github.io/Logging_1904/klagomålsmail/A 57395-2025 FSC-klagomål mail.docx", "A 57395-2025")</f>
        <v/>
      </c>
      <c r="X21">
        <f>HYPERLINK("https://klasma.github.io/Logging_1904/tillsyn/A 57395-2025 tillsynsbegäran.docx", "A 57395-2025")</f>
        <v/>
      </c>
      <c r="Y21">
        <f>HYPERLINK("https://klasma.github.io/Logging_1904/tillsynsmail/A 57395-2025 tillsynsbegäran mail.docx", "A 57395-2025")</f>
        <v/>
      </c>
    </row>
    <row r="22" ht="15" customHeight="1">
      <c r="A22" t="inlineStr">
        <is>
          <t>A 47538-2025</t>
        </is>
      </c>
      <c r="B22" s="1" t="n">
        <v>45931</v>
      </c>
      <c r="C22" s="1" t="n">
        <v>46196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HYPERLINK("https://klasma.github.io/Logging_1904/artfynd/A 47538-2025 artfynd.xlsx", "A 47538-2025")</f>
        <v/>
      </c>
      <c r="T22">
        <f>HYPERLINK("https://klasma.github.io/Logging_1904/kartor/A 47538-2025 karta.png", "A 47538-2025")</f>
        <v/>
      </c>
      <c r="V22">
        <f>HYPERLINK("https://klasma.github.io/Logging_1904/klagomål/A 47538-2025 FSC-klagomål.docx", "A 47538-2025")</f>
        <v/>
      </c>
      <c r="W22">
        <f>HYPERLINK("https://klasma.github.io/Logging_1904/klagomålsmail/A 47538-2025 FSC-klagomål mail.docx", "A 47538-2025")</f>
        <v/>
      </c>
      <c r="X22">
        <f>HYPERLINK("https://klasma.github.io/Logging_1904/tillsyn/A 47538-2025 tillsynsbegäran.docx", "A 47538-2025")</f>
        <v/>
      </c>
      <c r="Y22">
        <f>HYPERLINK("https://klasma.github.io/Logging_1904/tillsynsmail/A 47538-2025 tillsynsbegäran mail.docx", "A 47538-2025")</f>
        <v/>
      </c>
    </row>
    <row r="23" ht="15" customHeight="1">
      <c r="A23" t="inlineStr">
        <is>
          <t>A 31006-2025</t>
        </is>
      </c>
      <c r="B23" s="1" t="n">
        <v>45832</v>
      </c>
      <c r="C23" s="1" t="n">
        <v>46196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31006-2025 artfynd.xlsx", "A 31006-2025")</f>
        <v/>
      </c>
      <c r="T23">
        <f>HYPERLINK("https://klasma.github.io/Logging_1904/kartor/A 31006-2025 karta.png", "A 31006-2025")</f>
        <v/>
      </c>
      <c r="V23">
        <f>HYPERLINK("https://klasma.github.io/Logging_1904/klagomål/A 31006-2025 FSC-klagomål.docx", "A 31006-2025")</f>
        <v/>
      </c>
      <c r="W23">
        <f>HYPERLINK("https://klasma.github.io/Logging_1904/klagomålsmail/A 31006-2025 FSC-klagomål mail.docx", "A 31006-2025")</f>
        <v/>
      </c>
      <c r="X23">
        <f>HYPERLINK("https://klasma.github.io/Logging_1904/tillsyn/A 31006-2025 tillsynsbegäran.docx", "A 31006-2025")</f>
        <v/>
      </c>
      <c r="Y23">
        <f>HYPERLINK("https://klasma.github.io/Logging_1904/tillsynsmail/A 31006-2025 tillsynsbegäran mail.docx", "A 31006-2025")</f>
        <v/>
      </c>
      <c r="Z23">
        <f>HYPERLINK("https://klasma.github.io/Logging_1904/fåglar/A 31006-2025 prioriterade fågelarter.docx", "A 31006-2025")</f>
        <v/>
      </c>
    </row>
    <row r="24" ht="15" customHeight="1">
      <c r="A24" t="inlineStr">
        <is>
          <t>A 12887-2024</t>
        </is>
      </c>
      <c r="B24" s="1" t="n">
        <v>45385</v>
      </c>
      <c r="C24" s="1" t="n">
        <v>46196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HYPERLINK("https://klasma.github.io/Logging_1904/artfynd/A 12887-2024 artfynd.xlsx", "A 12887-2024")</f>
        <v/>
      </c>
      <c r="T24">
        <f>HYPERLINK("https://klasma.github.io/Logging_1904/kartor/A 12887-2024 karta.png", "A 12887-2024")</f>
        <v/>
      </c>
      <c r="V24">
        <f>HYPERLINK("https://klasma.github.io/Logging_1904/klagomål/A 12887-2024 FSC-klagomål.docx", "A 12887-2024")</f>
        <v/>
      </c>
      <c r="W24">
        <f>HYPERLINK("https://klasma.github.io/Logging_1904/klagomålsmail/A 12887-2024 FSC-klagomål mail.docx", "A 12887-2024")</f>
        <v/>
      </c>
      <c r="X24">
        <f>HYPERLINK("https://klasma.github.io/Logging_1904/tillsyn/A 12887-2024 tillsynsbegäran.docx", "A 12887-2024")</f>
        <v/>
      </c>
      <c r="Y24">
        <f>HYPERLINK("https://klasma.github.io/Logging_1904/tillsynsmail/A 12887-2024 tillsynsbegäran mail.docx", "A 12887-2024")</f>
        <v/>
      </c>
      <c r="Z24">
        <f>HYPERLINK("https://klasma.github.io/Logging_1904/fåglar/A 12887-2024 prioriterade fågelarter.docx", "A 12887-2024")</f>
        <v/>
      </c>
    </row>
    <row r="25" ht="15" customHeight="1">
      <c r="A25" t="inlineStr">
        <is>
          <t>A 54296-2023</t>
        </is>
      </c>
      <c r="B25" s="1" t="n">
        <v>45232</v>
      </c>
      <c r="C25" s="1" t="n">
        <v>46196</v>
      </c>
      <c r="D25" t="inlineStr">
        <is>
          <t>VÄSTMANLANDS LÄN</t>
        </is>
      </c>
      <c r="E25" t="inlineStr">
        <is>
          <t>SKINNSKATTEBERG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HYPERLINK("https://klasma.github.io/Logging_1904/artfynd/A 54296-2023 artfynd.xlsx", "A 54296-2023")</f>
        <v/>
      </c>
      <c r="T25">
        <f>HYPERLINK("https://klasma.github.io/Logging_1904/kartor/A 54296-2023 karta.png", "A 54296-2023")</f>
        <v/>
      </c>
      <c r="V25">
        <f>HYPERLINK("https://klasma.github.io/Logging_1904/klagomål/A 54296-2023 FSC-klagomål.docx", "A 54296-2023")</f>
        <v/>
      </c>
      <c r="W25">
        <f>HYPERLINK("https://klasma.github.io/Logging_1904/klagomålsmail/A 54296-2023 FSC-klagomål mail.docx", "A 54296-2023")</f>
        <v/>
      </c>
      <c r="X25">
        <f>HYPERLINK("https://klasma.github.io/Logging_1904/tillsyn/A 54296-2023 tillsynsbegäran.docx", "A 54296-2023")</f>
        <v/>
      </c>
      <c r="Y25">
        <f>HYPERLINK("https://klasma.github.io/Logging_1904/tillsynsmail/A 54296-2023 tillsynsbegäran mail.docx", "A 54296-2023")</f>
        <v/>
      </c>
    </row>
    <row r="26" ht="15" customHeight="1">
      <c r="A26" t="inlineStr">
        <is>
          <t>A 15734-2026</t>
        </is>
      </c>
      <c r="B26" s="1" t="n">
        <v>46107</v>
      </c>
      <c r="C26" s="1" t="n">
        <v>46196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Koppartaggsvamp</t>
        </is>
      </c>
      <c r="S26">
        <f>HYPERLINK("https://klasma.github.io/Logging_1904/artfynd/A 15734-2026 artfynd.xlsx", "A 15734-2026")</f>
        <v/>
      </c>
      <c r="T26">
        <f>HYPERLINK("https://klasma.github.io/Logging_1904/kartor/A 15734-2026 karta.png", "A 15734-2026")</f>
        <v/>
      </c>
      <c r="V26">
        <f>HYPERLINK("https://klasma.github.io/Logging_1904/klagomål/A 15734-2026 FSC-klagomål.docx", "A 15734-2026")</f>
        <v/>
      </c>
      <c r="W26">
        <f>HYPERLINK("https://klasma.github.io/Logging_1904/klagomålsmail/A 15734-2026 FSC-klagomål mail.docx", "A 15734-2026")</f>
        <v/>
      </c>
      <c r="X26">
        <f>HYPERLINK("https://klasma.github.io/Logging_1904/tillsyn/A 15734-2026 tillsynsbegäran.docx", "A 15734-2026")</f>
        <v/>
      </c>
      <c r="Y26">
        <f>HYPERLINK("https://klasma.github.io/Logging_1904/tillsynsmail/A 15734-2026 tillsynsbegäran mail.docx", "A 15734-2026")</f>
        <v/>
      </c>
    </row>
    <row r="27" ht="15" customHeight="1">
      <c r="A27" t="inlineStr">
        <is>
          <t>A 24492-2026</t>
        </is>
      </c>
      <c r="B27" s="1" t="n">
        <v>46170</v>
      </c>
      <c r="C27" s="1" t="n">
        <v>46196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HYPERLINK("https://klasma.github.io/Logging_1904/artfynd/A 24492-2026 artfynd.xlsx", "A 24492-2026")</f>
        <v/>
      </c>
      <c r="T27">
        <f>HYPERLINK("https://klasma.github.io/Logging_1904/kartor/A 24492-2026 karta.png", "A 24492-2026")</f>
        <v/>
      </c>
      <c r="V27">
        <f>HYPERLINK("https://klasma.github.io/Logging_1904/klagomål/A 24492-2026 FSC-klagomål.docx", "A 24492-2026")</f>
        <v/>
      </c>
      <c r="W27">
        <f>HYPERLINK("https://klasma.github.io/Logging_1904/klagomålsmail/A 24492-2026 FSC-klagomål mail.docx", "A 24492-2026")</f>
        <v/>
      </c>
      <c r="X27">
        <f>HYPERLINK("https://klasma.github.io/Logging_1904/tillsyn/A 24492-2026 tillsynsbegäran.docx", "A 24492-2026")</f>
        <v/>
      </c>
      <c r="Y27">
        <f>HYPERLINK("https://klasma.github.io/Logging_1904/tillsynsmail/A 24492-2026 tillsynsbegäran mail.docx", "A 24492-2026")</f>
        <v/>
      </c>
      <c r="Z27">
        <f>HYPERLINK("https://klasma.github.io/Logging_1904/fåglar/A 24492-2026 prioriterade fågelarter.docx", "A 24492-2026")</f>
        <v/>
      </c>
    </row>
    <row r="28" ht="15" customHeight="1">
      <c r="A28" t="inlineStr">
        <is>
          <t>A 24944-2026</t>
        </is>
      </c>
      <c r="B28" s="1" t="n">
        <v>46174</v>
      </c>
      <c r="C28" s="1" t="n">
        <v>46196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Garnlav</t>
        </is>
      </c>
      <c r="S28">
        <f>HYPERLINK("https://klasma.github.io/Logging_1904/artfynd/A 24944-2026 artfynd.xlsx", "A 24944-2026")</f>
        <v/>
      </c>
      <c r="T28">
        <f>HYPERLINK("https://klasma.github.io/Logging_1904/kartor/A 24944-2026 karta.png", "A 24944-2026")</f>
        <v/>
      </c>
      <c r="V28">
        <f>HYPERLINK("https://klasma.github.io/Logging_1904/klagomål/A 24944-2026 FSC-klagomål.docx", "A 24944-2026")</f>
        <v/>
      </c>
      <c r="W28">
        <f>HYPERLINK("https://klasma.github.io/Logging_1904/klagomålsmail/A 24944-2026 FSC-klagomål mail.docx", "A 24944-2026")</f>
        <v/>
      </c>
      <c r="X28">
        <f>HYPERLINK("https://klasma.github.io/Logging_1904/tillsyn/A 24944-2026 tillsynsbegäran.docx", "A 24944-2026")</f>
        <v/>
      </c>
      <c r="Y28">
        <f>HYPERLINK("https://klasma.github.io/Logging_1904/tillsynsmail/A 24944-2026 tillsynsbegäran mail.docx", "A 24944-2026")</f>
        <v/>
      </c>
    </row>
    <row r="29" ht="15" customHeight="1">
      <c r="A29" t="inlineStr">
        <is>
          <t>A 20559-2026</t>
        </is>
      </c>
      <c r="B29" s="1" t="n">
        <v>46140</v>
      </c>
      <c r="C29" s="1" t="n">
        <v>46196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HYPERLINK("https://klasma.github.io/Logging_1904/artfynd/A 20559-2026 artfynd.xlsx", "A 20559-2026")</f>
        <v/>
      </c>
      <c r="T29">
        <f>HYPERLINK("https://klasma.github.io/Logging_1904/kartor/A 20559-2026 karta.png", "A 20559-2026")</f>
        <v/>
      </c>
      <c r="V29">
        <f>HYPERLINK("https://klasma.github.io/Logging_1904/klagomål/A 20559-2026 FSC-klagomål.docx", "A 20559-2026")</f>
        <v/>
      </c>
      <c r="W29">
        <f>HYPERLINK("https://klasma.github.io/Logging_1904/klagomålsmail/A 20559-2026 FSC-klagomål mail.docx", "A 20559-2026")</f>
        <v/>
      </c>
      <c r="X29">
        <f>HYPERLINK("https://klasma.github.io/Logging_1904/tillsyn/A 20559-2026 tillsynsbegäran.docx", "A 20559-2026")</f>
        <v/>
      </c>
      <c r="Y29">
        <f>HYPERLINK("https://klasma.github.io/Logging_1904/tillsynsmail/A 20559-2026 tillsynsbegäran mail.docx", "A 20559-2026")</f>
        <v/>
      </c>
      <c r="Z29">
        <f>HYPERLINK("https://klasma.github.io/Logging_1904/fåglar/A 20559-2026 prioriterade fågelarter.docx", "A 20559-2026")</f>
        <v/>
      </c>
    </row>
    <row r="30" ht="15" customHeight="1">
      <c r="A30" t="inlineStr">
        <is>
          <t>A 26860-2026</t>
        </is>
      </c>
      <c r="B30" s="1" t="n">
        <v>46185</v>
      </c>
      <c r="C30" s="1" t="n">
        <v>46196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10.3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HYPERLINK("https://klasma.github.io/Logging_1904/artfynd/A 26860-2026 artfynd.xlsx", "A 26860-2026")</f>
        <v/>
      </c>
      <c r="T30">
        <f>HYPERLINK("https://klasma.github.io/Logging_1904/kartor/A 26860-2026 karta.png", "A 26860-2026")</f>
        <v/>
      </c>
      <c r="V30">
        <f>HYPERLINK("https://klasma.github.io/Logging_1904/klagomål/A 26860-2026 FSC-klagomål.docx", "A 26860-2026")</f>
        <v/>
      </c>
      <c r="W30">
        <f>HYPERLINK("https://klasma.github.io/Logging_1904/klagomålsmail/A 26860-2026 FSC-klagomål mail.docx", "A 26860-2026")</f>
        <v/>
      </c>
      <c r="X30">
        <f>HYPERLINK("https://klasma.github.io/Logging_1904/tillsyn/A 26860-2026 tillsynsbegäran.docx", "A 26860-2026")</f>
        <v/>
      </c>
      <c r="Y30">
        <f>HYPERLINK("https://klasma.github.io/Logging_1904/tillsynsmail/A 26860-2026 tillsynsbegäran mail.docx", "A 26860-2026")</f>
        <v/>
      </c>
      <c r="Z30">
        <f>HYPERLINK("https://klasma.github.io/Logging_1904/fåglar/A 26860-2026 prioriterade fågelarter.docx", "A 26860-2026")</f>
        <v/>
      </c>
    </row>
    <row r="31" ht="15" customHeight="1">
      <c r="A31" t="inlineStr">
        <is>
          <t>A 21849-2026</t>
        </is>
      </c>
      <c r="B31" s="1" t="n">
        <v>46150</v>
      </c>
      <c r="C31" s="1" t="n">
        <v>46196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21849-2026 artfynd.xlsx", "A 21849-2026")</f>
        <v/>
      </c>
      <c r="T31">
        <f>HYPERLINK("https://klasma.github.io/Logging_1904/kartor/A 21849-2026 karta.png", "A 21849-2026")</f>
        <v/>
      </c>
      <c r="U31">
        <f>HYPERLINK("https://klasma.github.io/Logging_1904/knärot/A 21849-2026 karta knärot.png", "A 21849-2026")</f>
        <v/>
      </c>
      <c r="V31">
        <f>HYPERLINK("https://klasma.github.io/Logging_1904/klagomål/A 21849-2026 FSC-klagomål.docx", "A 21849-2026")</f>
        <v/>
      </c>
      <c r="W31">
        <f>HYPERLINK("https://klasma.github.io/Logging_1904/klagomålsmail/A 21849-2026 FSC-klagomål mail.docx", "A 21849-2026")</f>
        <v/>
      </c>
      <c r="X31">
        <f>HYPERLINK("https://klasma.github.io/Logging_1904/tillsyn/A 21849-2026 tillsynsbegäran.docx", "A 21849-2026")</f>
        <v/>
      </c>
      <c r="Y31">
        <f>HYPERLINK("https://klasma.github.io/Logging_1904/tillsynsmail/A 21849-2026 tillsynsbegäran mail.docx", "A 21849-2026")</f>
        <v/>
      </c>
    </row>
    <row r="32" ht="15" customHeight="1">
      <c r="A32" t="inlineStr">
        <is>
          <t>A 49630-2024</t>
        </is>
      </c>
      <c r="B32" s="1" t="n">
        <v>45596</v>
      </c>
      <c r="C32" s="1" t="n">
        <v>46196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HYPERLINK("https://klasma.github.io/Logging_1904/artfynd/A 49630-2024 artfynd.xlsx", "A 49630-2024")</f>
        <v/>
      </c>
      <c r="T32">
        <f>HYPERLINK("https://klasma.github.io/Logging_1904/kartor/A 49630-2024 karta.png", "A 49630-2024")</f>
        <v/>
      </c>
      <c r="V32">
        <f>HYPERLINK("https://klasma.github.io/Logging_1904/klagomål/A 49630-2024 FSC-klagomål.docx", "A 49630-2024")</f>
        <v/>
      </c>
      <c r="W32">
        <f>HYPERLINK("https://klasma.github.io/Logging_1904/klagomålsmail/A 49630-2024 FSC-klagomål mail.docx", "A 49630-2024")</f>
        <v/>
      </c>
      <c r="X32">
        <f>HYPERLINK("https://klasma.github.io/Logging_1904/tillsyn/A 49630-2024 tillsynsbegäran.docx", "A 49630-2024")</f>
        <v/>
      </c>
      <c r="Y32">
        <f>HYPERLINK("https://klasma.github.io/Logging_1904/tillsynsmail/A 49630-2024 tillsynsbegäran mail.docx", "A 49630-2024")</f>
        <v/>
      </c>
    </row>
    <row r="33" ht="15" customHeight="1">
      <c r="A33" t="inlineStr">
        <is>
          <t>A 19205-2024</t>
        </is>
      </c>
      <c r="B33" s="1" t="n">
        <v>45428</v>
      </c>
      <c r="C33" s="1" t="n">
        <v>46196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HYPERLINK("https://klasma.github.io/Logging_1904/artfynd/A 19205-2024 artfynd.xlsx", "A 19205-2024")</f>
        <v/>
      </c>
      <c r="T33">
        <f>HYPERLINK("https://klasma.github.io/Logging_1904/kartor/A 19205-2024 karta.png", "A 19205-2024")</f>
        <v/>
      </c>
      <c r="V33">
        <f>HYPERLINK("https://klasma.github.io/Logging_1904/klagomål/A 19205-2024 FSC-klagomål.docx", "A 19205-2024")</f>
        <v/>
      </c>
      <c r="W33">
        <f>HYPERLINK("https://klasma.github.io/Logging_1904/klagomålsmail/A 19205-2024 FSC-klagomål mail.docx", "A 19205-2024")</f>
        <v/>
      </c>
      <c r="X33">
        <f>HYPERLINK("https://klasma.github.io/Logging_1904/tillsyn/A 19205-2024 tillsynsbegäran.docx", "A 19205-2024")</f>
        <v/>
      </c>
      <c r="Y33">
        <f>HYPERLINK("https://klasma.github.io/Logging_1904/tillsynsmail/A 19205-2024 tillsynsbegäran mail.docx", "A 19205-2024")</f>
        <v/>
      </c>
      <c r="Z33">
        <f>HYPERLINK("https://klasma.github.io/Logging_1904/fåglar/A 19205-2024 prioriterade fågelarter.docx", "A 19205-2024")</f>
        <v/>
      </c>
    </row>
    <row r="34" ht="15" customHeight="1">
      <c r="A34" t="inlineStr">
        <is>
          <t>A 27565-2024</t>
        </is>
      </c>
      <c r="B34" s="1" t="n">
        <v>45474</v>
      </c>
      <c r="C34" s="1" t="n">
        <v>46196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HYPERLINK("https://klasma.github.io/Logging_1904/artfynd/A 27565-2024 artfynd.xlsx", "A 27565-2024")</f>
        <v/>
      </c>
      <c r="T34">
        <f>HYPERLINK("https://klasma.github.io/Logging_1904/kartor/A 27565-2024 karta.png", "A 27565-2024")</f>
        <v/>
      </c>
      <c r="V34">
        <f>HYPERLINK("https://klasma.github.io/Logging_1904/klagomål/A 27565-2024 FSC-klagomål.docx", "A 27565-2024")</f>
        <v/>
      </c>
      <c r="W34">
        <f>HYPERLINK("https://klasma.github.io/Logging_1904/klagomålsmail/A 27565-2024 FSC-klagomål mail.docx", "A 27565-2024")</f>
        <v/>
      </c>
      <c r="X34">
        <f>HYPERLINK("https://klasma.github.io/Logging_1904/tillsyn/A 27565-2024 tillsynsbegäran.docx", "A 27565-2024")</f>
        <v/>
      </c>
      <c r="Y34">
        <f>HYPERLINK("https://klasma.github.io/Logging_1904/tillsynsmail/A 27565-2024 tillsynsbegäran mail.docx", "A 27565-2024")</f>
        <v/>
      </c>
    </row>
    <row r="35" ht="15" customHeight="1">
      <c r="A35" t="inlineStr">
        <is>
          <t>A 9491-2024</t>
        </is>
      </c>
      <c r="B35" s="1" t="n">
        <v>45359</v>
      </c>
      <c r="C35" s="1" t="n">
        <v>46196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HYPERLINK("https://klasma.github.io/Logging_1904/artfynd/A 9491-2024 artfynd.xlsx", "A 9491-2024")</f>
        <v/>
      </c>
      <c r="T35">
        <f>HYPERLINK("https://klasma.github.io/Logging_1904/kartor/A 9491-2024 karta.png", "A 9491-2024")</f>
        <v/>
      </c>
      <c r="V35">
        <f>HYPERLINK("https://klasma.github.io/Logging_1904/klagomål/A 9491-2024 FSC-klagomål.docx", "A 9491-2024")</f>
        <v/>
      </c>
      <c r="W35">
        <f>HYPERLINK("https://klasma.github.io/Logging_1904/klagomålsmail/A 9491-2024 FSC-klagomål mail.docx", "A 9491-2024")</f>
        <v/>
      </c>
      <c r="X35">
        <f>HYPERLINK("https://klasma.github.io/Logging_1904/tillsyn/A 9491-2024 tillsynsbegäran.docx", "A 9491-2024")</f>
        <v/>
      </c>
      <c r="Y35">
        <f>HYPERLINK("https://klasma.github.io/Logging_1904/tillsynsmail/A 9491-2024 tillsynsbegäran mail.docx", "A 9491-2024")</f>
        <v/>
      </c>
    </row>
    <row r="36" ht="15" customHeight="1">
      <c r="A36" t="inlineStr">
        <is>
          <t>A 43413-2024</t>
        </is>
      </c>
      <c r="B36" s="1" t="n">
        <v>45568</v>
      </c>
      <c r="C36" s="1" t="n">
        <v>46196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HYPERLINK("https://klasma.github.io/Logging_1904/artfynd/A 43413-2024 artfynd.xlsx", "A 43413-2024")</f>
        <v/>
      </c>
      <c r="T36">
        <f>HYPERLINK("https://klasma.github.io/Logging_1904/kartor/A 43413-2024 karta.png", "A 43413-2024")</f>
        <v/>
      </c>
      <c r="V36">
        <f>HYPERLINK("https://klasma.github.io/Logging_1904/klagomål/A 43413-2024 FSC-klagomål.docx", "A 43413-2024")</f>
        <v/>
      </c>
      <c r="W36">
        <f>HYPERLINK("https://klasma.github.io/Logging_1904/klagomålsmail/A 43413-2024 FSC-klagomål mail.docx", "A 43413-2024")</f>
        <v/>
      </c>
      <c r="X36">
        <f>HYPERLINK("https://klasma.github.io/Logging_1904/tillsyn/A 43413-2024 tillsynsbegäran.docx", "A 43413-2024")</f>
        <v/>
      </c>
      <c r="Y36">
        <f>HYPERLINK("https://klasma.github.io/Logging_1904/tillsynsmail/A 43413-2024 tillsynsbegäran mail.docx", "A 43413-2024")</f>
        <v/>
      </c>
    </row>
    <row r="37" ht="15" customHeight="1">
      <c r="A37" t="inlineStr">
        <is>
          <t>A 23893-2023</t>
        </is>
      </c>
      <c r="B37" s="1" t="n">
        <v>45078</v>
      </c>
      <c r="C37" s="1" t="n">
        <v>46196</v>
      </c>
      <c r="D37" t="inlineStr">
        <is>
          <t>VÄSTMANLANDS LÄN</t>
        </is>
      </c>
      <c r="E37" t="inlineStr">
        <is>
          <t>SKINNSKATTEBERG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HYPERLINK("https://klasma.github.io/Logging_1904/artfynd/A 23893-2023 artfynd.xlsx", "A 23893-2023")</f>
        <v/>
      </c>
      <c r="T37">
        <f>HYPERLINK("https://klasma.github.io/Logging_1904/kartor/A 23893-2023 karta.png", "A 23893-2023")</f>
        <v/>
      </c>
      <c r="U37">
        <f>HYPERLINK("https://klasma.github.io/Logging_1904/knärot/A 23893-2023 karta knärot.png", "A 23893-2023")</f>
        <v/>
      </c>
      <c r="V37">
        <f>HYPERLINK("https://klasma.github.io/Logging_1904/klagomål/A 23893-2023 FSC-klagomål.docx", "A 23893-2023")</f>
        <v/>
      </c>
      <c r="W37">
        <f>HYPERLINK("https://klasma.github.io/Logging_1904/klagomålsmail/A 23893-2023 FSC-klagomål mail.docx", "A 23893-2023")</f>
        <v/>
      </c>
      <c r="X37">
        <f>HYPERLINK("https://klasma.github.io/Logging_1904/tillsyn/A 23893-2023 tillsynsbegäran.docx", "A 23893-2023")</f>
        <v/>
      </c>
      <c r="Y37">
        <f>HYPERLINK("https://klasma.github.io/Logging_1904/tillsynsmail/A 23893-2023 tillsynsbegäran mail.docx", "A 23893-2023")</f>
        <v/>
      </c>
    </row>
    <row r="38" ht="15" customHeight="1">
      <c r="A38" t="inlineStr">
        <is>
          <t>A 33435-2024</t>
        </is>
      </c>
      <c r="B38" s="1" t="n">
        <v>45519</v>
      </c>
      <c r="C38" s="1" t="n">
        <v>46196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HYPERLINK("https://klasma.github.io/Logging_1904/artfynd/A 33435-2024 artfynd.xlsx", "A 33435-2024")</f>
        <v/>
      </c>
      <c r="T38">
        <f>HYPERLINK("https://klasma.github.io/Logging_1904/kartor/A 33435-2024 karta.png", "A 33435-2024")</f>
        <v/>
      </c>
      <c r="V38">
        <f>HYPERLINK("https://klasma.github.io/Logging_1904/klagomål/A 33435-2024 FSC-klagomål.docx", "A 33435-2024")</f>
        <v/>
      </c>
      <c r="W38">
        <f>HYPERLINK("https://klasma.github.io/Logging_1904/klagomålsmail/A 33435-2024 FSC-klagomål mail.docx", "A 33435-2024")</f>
        <v/>
      </c>
      <c r="X38">
        <f>HYPERLINK("https://klasma.github.io/Logging_1904/tillsyn/A 33435-2024 tillsynsbegäran.docx", "A 33435-2024")</f>
        <v/>
      </c>
      <c r="Y38">
        <f>HYPERLINK("https://klasma.github.io/Logging_1904/tillsynsmail/A 33435-2024 tillsynsbegäran mail.docx", "A 33435-2024")</f>
        <v/>
      </c>
      <c r="Z38">
        <f>HYPERLINK("https://klasma.github.io/Logging_1904/fåglar/A 33435-2024 prioriterade fågelarter.docx", "A 33435-2024")</f>
        <v/>
      </c>
    </row>
    <row r="39" ht="15" customHeight="1">
      <c r="A39" t="inlineStr">
        <is>
          <t>A 12024-2023</t>
        </is>
      </c>
      <c r="B39" s="1" t="n">
        <v>44995</v>
      </c>
      <c r="C39" s="1" t="n">
        <v>46196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HYPERLINK("https://klasma.github.io/Logging_1904/artfynd/A 12024-2023 artfynd.xlsx", "A 12024-2023")</f>
        <v/>
      </c>
      <c r="T39">
        <f>HYPERLINK("https://klasma.github.io/Logging_1904/kartor/A 12024-2023 karta.png", "A 12024-2023")</f>
        <v/>
      </c>
      <c r="V39">
        <f>HYPERLINK("https://klasma.github.io/Logging_1904/klagomål/A 12024-2023 FSC-klagomål.docx", "A 12024-2023")</f>
        <v/>
      </c>
      <c r="W39">
        <f>HYPERLINK("https://klasma.github.io/Logging_1904/klagomålsmail/A 12024-2023 FSC-klagomål mail.docx", "A 12024-2023")</f>
        <v/>
      </c>
      <c r="X39">
        <f>HYPERLINK("https://klasma.github.io/Logging_1904/tillsyn/A 12024-2023 tillsynsbegäran.docx", "A 12024-2023")</f>
        <v/>
      </c>
      <c r="Y39">
        <f>HYPERLINK("https://klasma.github.io/Logging_1904/tillsynsmail/A 12024-2023 tillsynsbegäran mail.docx", "A 12024-2023")</f>
        <v/>
      </c>
    </row>
    <row r="40" ht="15" customHeight="1">
      <c r="A40" t="inlineStr">
        <is>
          <t>A 9490-2024</t>
        </is>
      </c>
      <c r="B40" s="1" t="n">
        <v>45359</v>
      </c>
      <c r="C40" s="1" t="n">
        <v>46196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HYPERLINK("https://klasma.github.io/Logging_1904/artfynd/A 9490-2024 artfynd.xlsx", "A 9490-2024")</f>
        <v/>
      </c>
      <c r="T40">
        <f>HYPERLINK("https://klasma.github.io/Logging_1904/kartor/A 9490-2024 karta.png", "A 9490-2024")</f>
        <v/>
      </c>
      <c r="V40">
        <f>HYPERLINK("https://klasma.github.io/Logging_1904/klagomål/A 9490-2024 FSC-klagomål.docx", "A 9490-2024")</f>
        <v/>
      </c>
      <c r="W40">
        <f>HYPERLINK("https://klasma.github.io/Logging_1904/klagomålsmail/A 9490-2024 FSC-klagomål mail.docx", "A 9490-2024")</f>
        <v/>
      </c>
      <c r="X40">
        <f>HYPERLINK("https://klasma.github.io/Logging_1904/tillsyn/A 9490-2024 tillsynsbegäran.docx", "A 9490-2024")</f>
        <v/>
      </c>
      <c r="Y40">
        <f>HYPERLINK("https://klasma.github.io/Logging_1904/tillsynsmail/A 9490-2024 tillsynsbegäran mail.docx", "A 9490-2024")</f>
        <v/>
      </c>
      <c r="Z40">
        <f>HYPERLINK("https://klasma.github.io/Logging_1904/fåglar/A 9490-2024 prioriterade fågelarter.docx", "A 9490-2024")</f>
        <v/>
      </c>
    </row>
    <row r="41" ht="15" customHeight="1">
      <c r="A41" t="inlineStr">
        <is>
          <t>A 4000-2024</t>
        </is>
      </c>
      <c r="B41" s="1" t="n">
        <v>45322</v>
      </c>
      <c r="C41" s="1" t="n">
        <v>46196</v>
      </c>
      <c r="D41" t="inlineStr">
        <is>
          <t>VÄSTMANLANDS LÄN</t>
        </is>
      </c>
      <c r="E41" t="inlineStr">
        <is>
          <t>SKINNSKATTEBERG</t>
        </is>
      </c>
      <c r="G41" t="n">
        <v>14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HYPERLINK("https://klasma.github.io/Logging_1904/artfynd/A 4000-2024 artfynd.xlsx", "A 4000-2024")</f>
        <v/>
      </c>
      <c r="T41">
        <f>HYPERLINK("https://klasma.github.io/Logging_1904/kartor/A 4000-2024 karta.png", "A 4000-2024")</f>
        <v/>
      </c>
      <c r="V41">
        <f>HYPERLINK("https://klasma.github.io/Logging_1904/klagomål/A 4000-2024 FSC-klagomål.docx", "A 4000-2024")</f>
        <v/>
      </c>
      <c r="W41">
        <f>HYPERLINK("https://klasma.github.io/Logging_1904/klagomålsmail/A 4000-2024 FSC-klagomål mail.docx", "A 4000-2024")</f>
        <v/>
      </c>
      <c r="X41">
        <f>HYPERLINK("https://klasma.github.io/Logging_1904/tillsyn/A 4000-2024 tillsynsbegäran.docx", "A 4000-2024")</f>
        <v/>
      </c>
      <c r="Y41">
        <f>HYPERLINK("https://klasma.github.io/Logging_1904/tillsynsmail/A 4000-2024 tillsynsbegäran mail.docx", "A 4000-2024")</f>
        <v/>
      </c>
    </row>
    <row r="42" ht="15" customHeight="1">
      <c r="A42" t="inlineStr">
        <is>
          <t>A 28312-2023</t>
        </is>
      </c>
      <c r="B42" s="1" t="n">
        <v>45099</v>
      </c>
      <c r="C42" s="1" t="n">
        <v>46196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Skrovlig taggsvamp</t>
        </is>
      </c>
      <c r="S42">
        <f>HYPERLINK("https://klasma.github.io/Logging_1904/artfynd/A 28312-2023 artfynd.xlsx", "A 28312-2023")</f>
        <v/>
      </c>
      <c r="T42">
        <f>HYPERLINK("https://klasma.github.io/Logging_1904/kartor/A 28312-2023 karta.png", "A 28312-2023")</f>
        <v/>
      </c>
      <c r="V42">
        <f>HYPERLINK("https://klasma.github.io/Logging_1904/klagomål/A 28312-2023 FSC-klagomål.docx", "A 28312-2023")</f>
        <v/>
      </c>
      <c r="W42">
        <f>HYPERLINK("https://klasma.github.io/Logging_1904/klagomålsmail/A 28312-2023 FSC-klagomål mail.docx", "A 28312-2023")</f>
        <v/>
      </c>
      <c r="X42">
        <f>HYPERLINK("https://klasma.github.io/Logging_1904/tillsyn/A 28312-2023 tillsynsbegäran.docx", "A 28312-2023")</f>
        <v/>
      </c>
      <c r="Y42">
        <f>HYPERLINK("https://klasma.github.io/Logging_1904/tillsynsmail/A 28312-2023 tillsynsbegäran mail.docx", "A 28312-2023")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46196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46196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46196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46196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46196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46196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46196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46196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46196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46196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46196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46196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46196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46196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46196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46196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46196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46196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46196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46196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46196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46196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22605-2024</t>
        </is>
      </c>
      <c r="B65" s="1" t="n">
        <v>45447</v>
      </c>
      <c r="C65" s="1" t="n">
        <v>46196</v>
      </c>
      <c r="D65" t="inlineStr">
        <is>
          <t>VÄSTMANLANDS LÄN</t>
        </is>
      </c>
      <c r="E65" t="inlineStr">
        <is>
          <t>SKINNSKATTEBERG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41333-2023</t>
        </is>
      </c>
      <c r="B66" s="1" t="n">
        <v>45174</v>
      </c>
      <c r="C66" s="1" t="n">
        <v>46196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24793-2022</t>
        </is>
      </c>
      <c r="B67" s="1" t="n">
        <v>44728</v>
      </c>
      <c r="C67" s="1" t="n">
        <v>46196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16394-2024</t>
        </is>
      </c>
      <c r="B68" s="1" t="n">
        <v>45407</v>
      </c>
      <c r="C68" s="1" t="n">
        <v>46196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24777-2022</t>
        </is>
      </c>
      <c r="B69" s="1" t="n">
        <v>44728</v>
      </c>
      <c r="C69" s="1" t="n">
        <v>46196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27653-2023</t>
        </is>
      </c>
      <c r="B70" s="1" t="n">
        <v>45097</v>
      </c>
      <c r="C70" s="1" t="n">
        <v>46196</v>
      </c>
      <c r="D70" t="inlineStr">
        <is>
          <t>VÄSTMANLANDS LÄN</t>
        </is>
      </c>
      <c r="E70" t="inlineStr">
        <is>
          <t>SKINNSKATTEBERG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18417-2025</t>
        </is>
      </c>
      <c r="B71" s="1" t="n">
        <v>45762</v>
      </c>
      <c r="C71" s="1" t="n">
        <v>46196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20816-2023</t>
        </is>
      </c>
      <c r="B72" s="1" t="n">
        <v>45058</v>
      </c>
      <c r="C72" s="1" t="n">
        <v>46196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12158-2024</t>
        </is>
      </c>
      <c r="B73" s="1" t="n">
        <v>45377</v>
      </c>
      <c r="C73" s="1" t="n">
        <v>46196</v>
      </c>
      <c r="D73" t="inlineStr">
        <is>
          <t>VÄSTMANLANDS LÄN</t>
        </is>
      </c>
      <c r="E73" t="inlineStr">
        <is>
          <t>SKINNSKATTEBERG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20430-2024</t>
        </is>
      </c>
      <c r="B74" s="1" t="n">
        <v>45435</v>
      </c>
      <c r="C74" s="1" t="n">
        <v>46196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37730-2024</t>
        </is>
      </c>
      <c r="B75" s="1" t="n">
        <v>45541</v>
      </c>
      <c r="C75" s="1" t="n">
        <v>46196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50980-2022</t>
        </is>
      </c>
      <c r="B76" s="1" t="n">
        <v>44867</v>
      </c>
      <c r="C76" s="1" t="n">
        <v>46196</v>
      </c>
      <c r="D76" t="inlineStr">
        <is>
          <t>VÄSTMANLANDS LÄN</t>
        </is>
      </c>
      <c r="E76" t="inlineStr">
        <is>
          <t>SKINNSKATTEBERG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51026-2025</t>
        </is>
      </c>
      <c r="B77" s="1" t="n">
        <v>45947</v>
      </c>
      <c r="C77" s="1" t="n">
        <v>46196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51028-2025</t>
        </is>
      </c>
      <c r="B78" s="1" t="n">
        <v>45947</v>
      </c>
      <c r="C78" s="1" t="n">
        <v>46196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51023-2025</t>
        </is>
      </c>
      <c r="B79" s="1" t="n">
        <v>45947</v>
      </c>
      <c r="C79" s="1" t="n">
        <v>46196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51025-2025</t>
        </is>
      </c>
      <c r="B80" s="1" t="n">
        <v>45947</v>
      </c>
      <c r="C80" s="1" t="n">
        <v>46196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22299-2025</t>
        </is>
      </c>
      <c r="B81" s="1" t="n">
        <v>45786</v>
      </c>
      <c r="C81" s="1" t="n">
        <v>46196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52018-2025</t>
        </is>
      </c>
      <c r="B82" s="1" t="n">
        <v>45952</v>
      </c>
      <c r="C82" s="1" t="n">
        <v>46196</v>
      </c>
      <c r="D82" t="inlineStr">
        <is>
          <t>VÄSTMANLANDS LÄN</t>
        </is>
      </c>
      <c r="E82" t="inlineStr">
        <is>
          <t>SKINNSKATTEBERG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22280-2025</t>
        </is>
      </c>
      <c r="B83" s="1" t="n">
        <v>45786</v>
      </c>
      <c r="C83" s="1" t="n">
        <v>46196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38783-2024</t>
        </is>
      </c>
      <c r="B84" s="1" t="n">
        <v>45547</v>
      </c>
      <c r="C84" s="1" t="n">
        <v>46196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52728-2025</t>
        </is>
      </c>
      <c r="B85" s="1" t="n">
        <v>45957</v>
      </c>
      <c r="C85" s="1" t="n">
        <v>46196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28941-2024</t>
        </is>
      </c>
      <c r="B86" s="1" t="n">
        <v>45480</v>
      </c>
      <c r="C86" s="1" t="n">
        <v>46196</v>
      </c>
      <c r="D86" t="inlineStr">
        <is>
          <t>VÄSTMANLANDS LÄN</t>
        </is>
      </c>
      <c r="E86" t="inlineStr">
        <is>
          <t>SKINNSKATTEBERG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53471-2025</t>
        </is>
      </c>
      <c r="B87" s="1" t="n">
        <v>45959</v>
      </c>
      <c r="C87" s="1" t="n">
        <v>46196</v>
      </c>
      <c r="D87" t="inlineStr">
        <is>
          <t>VÄSTMANLANDS LÄN</t>
        </is>
      </c>
      <c r="E87" t="inlineStr">
        <is>
          <t>SKINNSKATTEBERG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53132-2025</t>
        </is>
      </c>
      <c r="B88" s="1" t="n">
        <v>45958</v>
      </c>
      <c r="C88" s="1" t="n">
        <v>46196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53761-2025</t>
        </is>
      </c>
      <c r="B89" s="1" t="n">
        <v>45960</v>
      </c>
      <c r="C89" s="1" t="n">
        <v>46196</v>
      </c>
      <c r="D89" t="inlineStr">
        <is>
          <t>VÄSTMANLANDS LÄN</t>
        </is>
      </c>
      <c r="E89" t="inlineStr">
        <is>
          <t>SKINNSKATTEBERG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53539-2025</t>
        </is>
      </c>
      <c r="B90" s="1" t="n">
        <v>45960</v>
      </c>
      <c r="C90" s="1" t="n">
        <v>46196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22285-2025</t>
        </is>
      </c>
      <c r="B91" s="1" t="n">
        <v>45786</v>
      </c>
      <c r="C91" s="1" t="n">
        <v>46196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54499-2025</t>
        </is>
      </c>
      <c r="B92" s="1" t="n">
        <v>45965</v>
      </c>
      <c r="C92" s="1" t="n">
        <v>46196</v>
      </c>
      <c r="D92" t="inlineStr">
        <is>
          <t>VÄSTMANLANDS LÄN</t>
        </is>
      </c>
      <c r="E92" t="inlineStr">
        <is>
          <t>SKINNSKATTEBERG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55007-2025</t>
        </is>
      </c>
      <c r="B93" s="1" t="n">
        <v>45967</v>
      </c>
      <c r="C93" s="1" t="n">
        <v>46196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22079-2024</t>
        </is>
      </c>
      <c r="B94" s="1" t="n">
        <v>45443</v>
      </c>
      <c r="C94" s="1" t="n">
        <v>46196</v>
      </c>
      <c r="D94" t="inlineStr">
        <is>
          <t>VÄSTMANLANDS LÄN</t>
        </is>
      </c>
      <c r="E94" t="inlineStr">
        <is>
          <t>SKINNSKATTEBERG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39691-2025</t>
        </is>
      </c>
      <c r="B95" s="1" t="n">
        <v>45890</v>
      </c>
      <c r="C95" s="1" t="n">
        <v>46196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55002-2025</t>
        </is>
      </c>
      <c r="B96" s="1" t="n">
        <v>45967</v>
      </c>
      <c r="C96" s="1" t="n">
        <v>46196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55005-2025</t>
        </is>
      </c>
      <c r="B97" s="1" t="n">
        <v>45967</v>
      </c>
      <c r="C97" s="1" t="n">
        <v>46196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35051-2024</t>
        </is>
      </c>
      <c r="B98" s="1" t="n">
        <v>45527</v>
      </c>
      <c r="C98" s="1" t="n">
        <v>46196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51472-2024</t>
        </is>
      </c>
      <c r="B99" s="1" t="n">
        <v>45604</v>
      </c>
      <c r="C99" s="1" t="n">
        <v>46196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28058-2024</t>
        </is>
      </c>
      <c r="B100" s="1" t="n">
        <v>45476</v>
      </c>
      <c r="C100" s="1" t="n">
        <v>46196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55952-2025</t>
        </is>
      </c>
      <c r="B101" s="1" t="n">
        <v>45973</v>
      </c>
      <c r="C101" s="1" t="n">
        <v>46196</v>
      </c>
      <c r="D101" t="inlineStr">
        <is>
          <t>VÄSTMANLANDS LÄN</t>
        </is>
      </c>
      <c r="E101" t="inlineStr">
        <is>
          <t>SKINNSKATTEBERG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55885-2025</t>
        </is>
      </c>
      <c r="B102" s="1" t="n">
        <v>45973</v>
      </c>
      <c r="C102" s="1" t="n">
        <v>46196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40788-2025</t>
        </is>
      </c>
      <c r="B103" s="1" t="n">
        <v>45897</v>
      </c>
      <c r="C103" s="1" t="n">
        <v>46196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40776-2025</t>
        </is>
      </c>
      <c r="B104" s="1" t="n">
        <v>45897</v>
      </c>
      <c r="C104" s="1" t="n">
        <v>46196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40778-2025</t>
        </is>
      </c>
      <c r="B105" s="1" t="n">
        <v>45897</v>
      </c>
      <c r="C105" s="1" t="n">
        <v>46196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40784-2025</t>
        </is>
      </c>
      <c r="B106" s="1" t="n">
        <v>45897</v>
      </c>
      <c r="C106" s="1" t="n">
        <v>46196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40783-2025</t>
        </is>
      </c>
      <c r="B107" s="1" t="n">
        <v>45897</v>
      </c>
      <c r="C107" s="1" t="n">
        <v>46196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40782-2025</t>
        </is>
      </c>
      <c r="B108" s="1" t="n">
        <v>45897</v>
      </c>
      <c r="C108" s="1" t="n">
        <v>46196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55229-2023</t>
        </is>
      </c>
      <c r="B109" s="1" t="n">
        <v>45237</v>
      </c>
      <c r="C109" s="1" t="n">
        <v>46196</v>
      </c>
      <c r="D109" t="inlineStr">
        <is>
          <t>VÄSTMANLANDS LÄN</t>
        </is>
      </c>
      <c r="E109" t="inlineStr">
        <is>
          <t>SKINNSKATTEBERG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55887-2025</t>
        </is>
      </c>
      <c r="B110" s="1" t="n">
        <v>45973</v>
      </c>
      <c r="C110" s="1" t="n">
        <v>46196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55889-2025</t>
        </is>
      </c>
      <c r="B111" s="1" t="n">
        <v>45973</v>
      </c>
      <c r="C111" s="1" t="n">
        <v>46196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56465-2025</t>
        </is>
      </c>
      <c r="B112" s="1" t="n">
        <v>45975</v>
      </c>
      <c r="C112" s="1" t="n">
        <v>46196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18516-2024</t>
        </is>
      </c>
      <c r="B113" s="1" t="n">
        <v>45425</v>
      </c>
      <c r="C113" s="1" t="n">
        <v>46196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41575-2025</t>
        </is>
      </c>
      <c r="B114" s="1" t="n">
        <v>45901</v>
      </c>
      <c r="C114" s="1" t="n">
        <v>46196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42429-2025</t>
        </is>
      </c>
      <c r="B115" s="1" t="n">
        <v>45905</v>
      </c>
      <c r="C115" s="1" t="n">
        <v>46196</v>
      </c>
      <c r="D115" t="inlineStr">
        <is>
          <t>VÄSTMANLANDS LÄN</t>
        </is>
      </c>
      <c r="E115" t="inlineStr">
        <is>
          <t>SKINNSKATTEBERG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57282-2025</t>
        </is>
      </c>
      <c r="B116" s="1" t="n">
        <v>45979</v>
      </c>
      <c r="C116" s="1" t="n">
        <v>46196</v>
      </c>
      <c r="D116" t="inlineStr">
        <is>
          <t>VÄSTMANLANDS LÄN</t>
        </is>
      </c>
      <c r="E116" t="inlineStr">
        <is>
          <t>SKINNSKATTEBERG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25846-2025</t>
        </is>
      </c>
      <c r="B117" s="1" t="n">
        <v>45804</v>
      </c>
      <c r="C117" s="1" t="n">
        <v>46196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43185-2025</t>
        </is>
      </c>
      <c r="B118" s="1" t="n">
        <v>45910</v>
      </c>
      <c r="C118" s="1" t="n">
        <v>46196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52532-2024</t>
        </is>
      </c>
      <c r="B119" s="1" t="n">
        <v>45609</v>
      </c>
      <c r="C119" s="1" t="n">
        <v>46196</v>
      </c>
      <c r="D119" t="inlineStr">
        <is>
          <t>VÄSTMANLANDS LÄN</t>
        </is>
      </c>
      <c r="E119" t="inlineStr">
        <is>
          <t>SKINNSKATTEBERG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43175-2025</t>
        </is>
      </c>
      <c r="B120" s="1" t="n">
        <v>45910</v>
      </c>
      <c r="C120" s="1" t="n">
        <v>46196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30353-2023</t>
        </is>
      </c>
      <c r="B121" s="1" t="n">
        <v>45111</v>
      </c>
      <c r="C121" s="1" t="n">
        <v>46196</v>
      </c>
      <c r="D121" t="inlineStr">
        <is>
          <t>VÄSTMANLANDS LÄN</t>
        </is>
      </c>
      <c r="E121" t="inlineStr">
        <is>
          <t>SKINNSKATTEBERG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43190-2025</t>
        </is>
      </c>
      <c r="B122" s="1" t="n">
        <v>45910</v>
      </c>
      <c r="C122" s="1" t="n">
        <v>46196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44174-2025</t>
        </is>
      </c>
      <c r="B123" s="1" t="n">
        <v>45915</v>
      </c>
      <c r="C123" s="1" t="n">
        <v>46196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44175-2025</t>
        </is>
      </c>
      <c r="B124" s="1" t="n">
        <v>45915</v>
      </c>
      <c r="C124" s="1" t="n">
        <v>46196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44188-2025</t>
        </is>
      </c>
      <c r="B125" s="1" t="n">
        <v>45915</v>
      </c>
      <c r="C125" s="1" t="n">
        <v>46196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44179-2025</t>
        </is>
      </c>
      <c r="B126" s="1" t="n">
        <v>45915</v>
      </c>
      <c r="C126" s="1" t="n">
        <v>46196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44184-2025</t>
        </is>
      </c>
      <c r="B127" s="1" t="n">
        <v>45915</v>
      </c>
      <c r="C127" s="1" t="n">
        <v>46196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41581-2025</t>
        </is>
      </c>
      <c r="B128" s="1" t="n">
        <v>45901</v>
      </c>
      <c r="C128" s="1" t="n">
        <v>46196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19919-2025</t>
        </is>
      </c>
      <c r="B129" s="1" t="n">
        <v>45771</v>
      </c>
      <c r="C129" s="1" t="n">
        <v>46196</v>
      </c>
      <c r="D129" t="inlineStr">
        <is>
          <t>VÄSTMANLANDS LÄN</t>
        </is>
      </c>
      <c r="E129" t="inlineStr">
        <is>
          <t>SKINNSKATTEBERG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58882-2025</t>
        </is>
      </c>
      <c r="B130" s="1" t="n">
        <v>45987</v>
      </c>
      <c r="C130" s="1" t="n">
        <v>46196</v>
      </c>
      <c r="D130" t="inlineStr">
        <is>
          <t>VÄSTMANLANDS LÄN</t>
        </is>
      </c>
      <c r="E130" t="inlineStr">
        <is>
          <t>SKINNSKATTEBERG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45117-2025</t>
        </is>
      </c>
      <c r="B131" s="1" t="n">
        <v>45919</v>
      </c>
      <c r="C131" s="1" t="n">
        <v>46196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45121-2025</t>
        </is>
      </c>
      <c r="B132" s="1" t="n">
        <v>45919</v>
      </c>
      <c r="C132" s="1" t="n">
        <v>46196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45119-2025</t>
        </is>
      </c>
      <c r="B133" s="1" t="n">
        <v>45919</v>
      </c>
      <c r="C133" s="1" t="n">
        <v>46196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45126-2025</t>
        </is>
      </c>
      <c r="B134" s="1" t="n">
        <v>45919</v>
      </c>
      <c r="C134" s="1" t="n">
        <v>46196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45115-2025</t>
        </is>
      </c>
      <c r="B135" s="1" t="n">
        <v>45919</v>
      </c>
      <c r="C135" s="1" t="n">
        <v>46196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30988-2022</t>
        </is>
      </c>
      <c r="B136" s="1" t="n">
        <v>44768</v>
      </c>
      <c r="C136" s="1" t="n">
        <v>46196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56921-2023</t>
        </is>
      </c>
      <c r="B137" s="1" t="n">
        <v>45244</v>
      </c>
      <c r="C137" s="1" t="n">
        <v>46196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16088-2024</t>
        </is>
      </c>
      <c r="B138" s="1" t="n">
        <v>45406</v>
      </c>
      <c r="C138" s="1" t="n">
        <v>46196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59710-2025</t>
        </is>
      </c>
      <c r="B139" s="1" t="n">
        <v>45992</v>
      </c>
      <c r="C139" s="1" t="n">
        <v>46196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59711-2025</t>
        </is>
      </c>
      <c r="B140" s="1" t="n">
        <v>45992</v>
      </c>
      <c r="C140" s="1" t="n">
        <v>46196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31629-2024</t>
        </is>
      </c>
      <c r="B141" s="1" t="n">
        <v>45506</v>
      </c>
      <c r="C141" s="1" t="n">
        <v>46196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47541-2025</t>
        </is>
      </c>
      <c r="B142" s="1" t="n">
        <v>45931</v>
      </c>
      <c r="C142" s="1" t="n">
        <v>46196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47543-2025</t>
        </is>
      </c>
      <c r="B143" s="1" t="n">
        <v>45931</v>
      </c>
      <c r="C143" s="1" t="n">
        <v>46196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28940-2024</t>
        </is>
      </c>
      <c r="B144" s="1" t="n">
        <v>45480</v>
      </c>
      <c r="C144" s="1" t="n">
        <v>46196</v>
      </c>
      <c r="D144" t="inlineStr">
        <is>
          <t>VÄSTMANLANDS LÄN</t>
        </is>
      </c>
      <c r="E144" t="inlineStr">
        <is>
          <t>SKINNSKATTEBERG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61895-2025</t>
        </is>
      </c>
      <c r="B145" s="1" t="n">
        <v>46003</v>
      </c>
      <c r="C145" s="1" t="n">
        <v>46196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60185-2022</t>
        </is>
      </c>
      <c r="B146" s="1" t="n">
        <v>44910</v>
      </c>
      <c r="C146" s="1" t="n">
        <v>46196</v>
      </c>
      <c r="D146" t="inlineStr">
        <is>
          <t>VÄSTMANLANDS LÄN</t>
        </is>
      </c>
      <c r="E146" t="inlineStr">
        <is>
          <t>SKINNSKATTEBERG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18161-2024</t>
        </is>
      </c>
      <c r="B147" s="1" t="n">
        <v>45420</v>
      </c>
      <c r="C147" s="1" t="n">
        <v>46196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49022-2025</t>
        </is>
      </c>
      <c r="B148" s="1" t="n">
        <v>45937</v>
      </c>
      <c r="C148" s="1" t="n">
        <v>46196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28831-2025</t>
        </is>
      </c>
      <c r="B149" s="1" t="n">
        <v>45820</v>
      </c>
      <c r="C149" s="1" t="n">
        <v>46196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28873-2025</t>
        </is>
      </c>
      <c r="B150" s="1" t="n">
        <v>45820</v>
      </c>
      <c r="C150" s="1" t="n">
        <v>46196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62934-2025</t>
        </is>
      </c>
      <c r="B151" s="1" t="n">
        <v>46009</v>
      </c>
      <c r="C151" s="1" t="n">
        <v>46196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41594-2025</t>
        </is>
      </c>
      <c r="B152" s="1" t="n">
        <v>45901</v>
      </c>
      <c r="C152" s="1" t="n">
        <v>46196</v>
      </c>
      <c r="D152" t="inlineStr">
        <is>
          <t>VÄSTMANLANDS LÄN</t>
        </is>
      </c>
      <c r="E152" t="inlineStr">
        <is>
          <t>SKINNSKATTEBERG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29070-2025</t>
        </is>
      </c>
      <c r="B153" s="1" t="n">
        <v>45821</v>
      </c>
      <c r="C153" s="1" t="n">
        <v>46196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62933-2025</t>
        </is>
      </c>
      <c r="B154" s="1" t="n">
        <v>46009</v>
      </c>
      <c r="C154" s="1" t="n">
        <v>46196</v>
      </c>
      <c r="D154" t="inlineStr">
        <is>
          <t>VÄSTMANLANDS LÄN</t>
        </is>
      </c>
      <c r="E154" t="inlineStr">
        <is>
          <t>SKINNSKATTEBERG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29808-2025</t>
        </is>
      </c>
      <c r="B155" s="1" t="n">
        <v>45825</v>
      </c>
      <c r="C155" s="1" t="n">
        <v>46196</v>
      </c>
      <c r="D155" t="inlineStr">
        <is>
          <t>VÄSTMANLANDS LÄN</t>
        </is>
      </c>
      <c r="E155" t="inlineStr">
        <is>
          <t>SKINNSKATTEBERG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53145-2021</t>
        </is>
      </c>
      <c r="B156" s="1" t="n">
        <v>44468</v>
      </c>
      <c r="C156" s="1" t="n">
        <v>46196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53243-2021</t>
        </is>
      </c>
      <c r="B157" s="1" t="n">
        <v>44468</v>
      </c>
      <c r="C157" s="1" t="n">
        <v>46196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50672-2025</t>
        </is>
      </c>
      <c r="B158" s="1" t="n">
        <v>45945</v>
      </c>
      <c r="C158" s="1" t="n">
        <v>46196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29810-2025</t>
        </is>
      </c>
      <c r="B159" s="1" t="n">
        <v>45825</v>
      </c>
      <c r="C159" s="1" t="n">
        <v>46196</v>
      </c>
      <c r="D159" t="inlineStr">
        <is>
          <t>VÄSTMANLANDS LÄN</t>
        </is>
      </c>
      <c r="E159" t="inlineStr">
        <is>
          <t>SKINNSKATTEBERG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30436-2025</t>
        </is>
      </c>
      <c r="B160" s="1" t="n">
        <v>45827</v>
      </c>
      <c r="C160" s="1" t="n">
        <v>46196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30439-2025</t>
        </is>
      </c>
      <c r="B161" s="1" t="n">
        <v>45827</v>
      </c>
      <c r="C161" s="1" t="n">
        <v>46196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59578-2024</t>
        </is>
      </c>
      <c r="B162" s="1" t="n">
        <v>45637</v>
      </c>
      <c r="C162" s="1" t="n">
        <v>46196</v>
      </c>
      <c r="D162" t="inlineStr">
        <is>
          <t>VÄSTMANLANDS LÄN</t>
        </is>
      </c>
      <c r="E162" t="inlineStr">
        <is>
          <t>SKINNSKATTEBERG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50407-2023</t>
        </is>
      </c>
      <c r="B163" s="1" t="n">
        <v>45216</v>
      </c>
      <c r="C163" s="1" t="n">
        <v>46196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8199-2023</t>
        </is>
      </c>
      <c r="B164" s="1" t="n">
        <v>44974</v>
      </c>
      <c r="C164" s="1" t="n">
        <v>46196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Kyrkan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31011-2025</t>
        </is>
      </c>
      <c r="B165" s="1" t="n">
        <v>45832</v>
      </c>
      <c r="C165" s="1" t="n">
        <v>46196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30873-2025</t>
        </is>
      </c>
      <c r="B166" s="1" t="n">
        <v>45832</v>
      </c>
      <c r="C166" s="1" t="n">
        <v>46196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30885-2025</t>
        </is>
      </c>
      <c r="B167" s="1" t="n">
        <v>45832</v>
      </c>
      <c r="C167" s="1" t="n">
        <v>46196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11800-2024</t>
        </is>
      </c>
      <c r="B168" s="1" t="n">
        <v>45375</v>
      </c>
      <c r="C168" s="1" t="n">
        <v>46196</v>
      </c>
      <c r="D168" t="inlineStr">
        <is>
          <t>VÄSTMANLANDS LÄN</t>
        </is>
      </c>
      <c r="E168" t="inlineStr">
        <is>
          <t>SKINNSKATTEBERG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31234-2025</t>
        </is>
      </c>
      <c r="B169" s="1" t="n">
        <v>45832</v>
      </c>
      <c r="C169" s="1" t="n">
        <v>46196</v>
      </c>
      <c r="D169" t="inlineStr">
        <is>
          <t>VÄSTMANLANDS LÄN</t>
        </is>
      </c>
      <c r="E169" t="inlineStr">
        <is>
          <t>SKINNSKATTEBERG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2609-2026</t>
        </is>
      </c>
      <c r="B170" s="1" t="n">
        <v>46037</v>
      </c>
      <c r="C170" s="1" t="n">
        <v>46196</v>
      </c>
      <c r="D170" t="inlineStr">
        <is>
          <t>VÄSTMANLANDS LÄN</t>
        </is>
      </c>
      <c r="E170" t="inlineStr">
        <is>
          <t>SKINNSKATTEBERG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2606-2026</t>
        </is>
      </c>
      <c r="B171" s="1" t="n">
        <v>46037</v>
      </c>
      <c r="C171" s="1" t="n">
        <v>46196</v>
      </c>
      <c r="D171" t="inlineStr">
        <is>
          <t>VÄSTMANLANDS LÄN</t>
        </is>
      </c>
      <c r="E171" t="inlineStr">
        <is>
          <t>SKINNSKATTEBERG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58317-2023</t>
        </is>
      </c>
      <c r="B172" s="1" t="n">
        <v>45250</v>
      </c>
      <c r="C172" s="1" t="n">
        <v>46196</v>
      </c>
      <c r="D172" t="inlineStr">
        <is>
          <t>VÄSTMANLANDS LÄN</t>
        </is>
      </c>
      <c r="E172" t="inlineStr">
        <is>
          <t>SKINNSKATTEBERG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20243-2024</t>
        </is>
      </c>
      <c r="B173" s="1" t="n">
        <v>45434</v>
      </c>
      <c r="C173" s="1" t="n">
        <v>46196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34720-2025</t>
        </is>
      </c>
      <c r="B174" s="1" t="n">
        <v>45848</v>
      </c>
      <c r="C174" s="1" t="n">
        <v>46196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5704-2026</t>
        </is>
      </c>
      <c r="B175" s="1" t="n">
        <v>46051</v>
      </c>
      <c r="C175" s="1" t="n">
        <v>46196</v>
      </c>
      <c r="D175" t="inlineStr">
        <is>
          <t>VÄSTMANLANDS LÄN</t>
        </is>
      </c>
      <c r="E175" t="inlineStr">
        <is>
          <t>SKINNSKATTEBERG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57984-2023</t>
        </is>
      </c>
      <c r="B176" s="1" t="n">
        <v>45247</v>
      </c>
      <c r="C176" s="1" t="n">
        <v>46196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35204-2025</t>
        </is>
      </c>
      <c r="B177" s="1" t="n">
        <v>45853</v>
      </c>
      <c r="C177" s="1" t="n">
        <v>46196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5693-2026</t>
        </is>
      </c>
      <c r="B178" s="1" t="n">
        <v>46051</v>
      </c>
      <c r="C178" s="1" t="n">
        <v>46196</v>
      </c>
      <c r="D178" t="inlineStr">
        <is>
          <t>VÄSTMANLANDS LÄN</t>
        </is>
      </c>
      <c r="E178" t="inlineStr">
        <is>
          <t>SKINNSKATTEBERG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40174-2024</t>
        </is>
      </c>
      <c r="B179" s="1" t="n">
        <v>45554</v>
      </c>
      <c r="C179" s="1" t="n">
        <v>46196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35205-2025</t>
        </is>
      </c>
      <c r="B180" s="1" t="n">
        <v>45853</v>
      </c>
      <c r="C180" s="1" t="n">
        <v>46196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5675-2026</t>
        </is>
      </c>
      <c r="B181" s="1" t="n">
        <v>46051</v>
      </c>
      <c r="C181" s="1" t="n">
        <v>46196</v>
      </c>
      <c r="D181" t="inlineStr">
        <is>
          <t>VÄSTMANLANDS LÄN</t>
        </is>
      </c>
      <c r="E181" t="inlineStr">
        <is>
          <t>SKINNSKATTEBERG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38521-2023</t>
        </is>
      </c>
      <c r="B182" s="1" t="n">
        <v>45162</v>
      </c>
      <c r="C182" s="1" t="n">
        <v>46196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52696-2024</t>
        </is>
      </c>
      <c r="B183" s="1" t="n">
        <v>45610</v>
      </c>
      <c r="C183" s="1" t="n">
        <v>46196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6601-2026</t>
        </is>
      </c>
      <c r="B184" s="1" t="n">
        <v>46056</v>
      </c>
      <c r="C184" s="1" t="n">
        <v>46196</v>
      </c>
      <c r="D184" t="inlineStr">
        <is>
          <t>VÄSTMANLANDS LÄN</t>
        </is>
      </c>
      <c r="E184" t="inlineStr">
        <is>
          <t>SKINNSKATTEBERG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16393-2024</t>
        </is>
      </c>
      <c r="B185" s="1" t="n">
        <v>45407</v>
      </c>
      <c r="C185" s="1" t="n">
        <v>46196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4385-2025</t>
        </is>
      </c>
      <c r="B186" s="1" t="n">
        <v>45686</v>
      </c>
      <c r="C186" s="1" t="n">
        <v>46196</v>
      </c>
      <c r="D186" t="inlineStr">
        <is>
          <t>VÄSTMANLANDS LÄN</t>
        </is>
      </c>
      <c r="E186" t="inlineStr">
        <is>
          <t>SKINNSKATTEBERG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1069-2023</t>
        </is>
      </c>
      <c r="B187" s="1" t="n">
        <v>44935</v>
      </c>
      <c r="C187" s="1" t="n">
        <v>46196</v>
      </c>
      <c r="D187" t="inlineStr">
        <is>
          <t>VÄSTMANLANDS LÄN</t>
        </is>
      </c>
      <c r="E187" t="inlineStr">
        <is>
          <t>SKINNSKATTEBERG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37763-2025</t>
        </is>
      </c>
      <c r="B188" s="1" t="n">
        <v>45880</v>
      </c>
      <c r="C188" s="1" t="n">
        <v>46196</v>
      </c>
      <c r="D188" t="inlineStr">
        <is>
          <t>VÄSTMANLANDS LÄN</t>
        </is>
      </c>
      <c r="E188" t="inlineStr">
        <is>
          <t>SKINNSKATTEBERG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19655-2025</t>
        </is>
      </c>
      <c r="B189" s="1" t="n">
        <v>45770</v>
      </c>
      <c r="C189" s="1" t="n">
        <v>46196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43807-2024</t>
        </is>
      </c>
      <c r="B190" s="1" t="n">
        <v>45571</v>
      </c>
      <c r="C190" s="1" t="n">
        <v>46196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35706-2024</t>
        </is>
      </c>
      <c r="B191" s="1" t="n">
        <v>45532</v>
      </c>
      <c r="C191" s="1" t="n">
        <v>46196</v>
      </c>
      <c r="D191" t="inlineStr">
        <is>
          <t>VÄSTMANLANDS LÄN</t>
        </is>
      </c>
      <c r="E191" t="inlineStr">
        <is>
          <t>SKINNSKATTEBERG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16089-2024</t>
        </is>
      </c>
      <c r="B192" s="1" t="n">
        <v>45406</v>
      </c>
      <c r="C192" s="1" t="n">
        <v>46196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48825-2022</t>
        </is>
      </c>
      <c r="B193" s="1" t="n">
        <v>44859</v>
      </c>
      <c r="C193" s="1" t="n">
        <v>46196</v>
      </c>
      <c r="D193" t="inlineStr">
        <is>
          <t>VÄSTMANLANDS LÄN</t>
        </is>
      </c>
      <c r="E193" t="inlineStr">
        <is>
          <t>SKINNSKATTEBERG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13350-2026</t>
        </is>
      </c>
      <c r="B194" s="1" t="n">
        <v>46094</v>
      </c>
      <c r="C194" s="1" t="n">
        <v>46196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13353-2026</t>
        </is>
      </c>
      <c r="B195" s="1" t="n">
        <v>46094</v>
      </c>
      <c r="C195" s="1" t="n">
        <v>46196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13355-2026</t>
        </is>
      </c>
      <c r="B196" s="1" t="n">
        <v>46094</v>
      </c>
      <c r="C196" s="1" t="n">
        <v>46196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15094-2026</t>
        </is>
      </c>
      <c r="B197" s="1" t="n">
        <v>46105</v>
      </c>
      <c r="C197" s="1" t="n">
        <v>46196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35059-2024</t>
        </is>
      </c>
      <c r="B198" s="1" t="n">
        <v>45527</v>
      </c>
      <c r="C198" s="1" t="n">
        <v>46196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15732-2026</t>
        </is>
      </c>
      <c r="B199" s="1" t="n">
        <v>46107</v>
      </c>
      <c r="C199" s="1" t="n">
        <v>46196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15955-2026</t>
        </is>
      </c>
      <c r="B200" s="1" t="n">
        <v>46108</v>
      </c>
      <c r="C200" s="1" t="n">
        <v>46196</v>
      </c>
      <c r="D200" t="inlineStr">
        <is>
          <t>VÄSTMANLANDS LÄN</t>
        </is>
      </c>
      <c r="E200" t="inlineStr">
        <is>
          <t>SKINNSKATTEBERG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15730-2026</t>
        </is>
      </c>
      <c r="B201" s="1" t="n">
        <v>46107</v>
      </c>
      <c r="C201" s="1" t="n">
        <v>46196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16136-2026</t>
        </is>
      </c>
      <c r="B202" s="1" t="n">
        <v>46108</v>
      </c>
      <c r="C202" s="1" t="n">
        <v>46196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15731-2026</t>
        </is>
      </c>
      <c r="B203" s="1" t="n">
        <v>46107</v>
      </c>
      <c r="C203" s="1" t="n">
        <v>46196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16304-2026</t>
        </is>
      </c>
      <c r="B204" s="1" t="n">
        <v>46111</v>
      </c>
      <c r="C204" s="1" t="n">
        <v>46196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22260-2026</t>
        </is>
      </c>
      <c r="B205" s="1" t="n">
        <v>46154</v>
      </c>
      <c r="C205" s="1" t="n">
        <v>46196</v>
      </c>
      <c r="D205" t="inlineStr">
        <is>
          <t>VÄSTMANLANDS LÄN</t>
        </is>
      </c>
      <c r="E205" t="inlineStr">
        <is>
          <t>SKINNSKATTEBERG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16299-2026</t>
        </is>
      </c>
      <c r="B206" s="1" t="n">
        <v>46111</v>
      </c>
      <c r="C206" s="1" t="n">
        <v>46196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16301-2026</t>
        </is>
      </c>
      <c r="B207" s="1" t="n">
        <v>46111</v>
      </c>
      <c r="C207" s="1" t="n">
        <v>46196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57343-2023</t>
        </is>
      </c>
      <c r="B208" s="1" t="n">
        <v>45245</v>
      </c>
      <c r="C208" s="1" t="n">
        <v>46196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17098-2026</t>
        </is>
      </c>
      <c r="B209" s="1" t="n">
        <v>46114</v>
      </c>
      <c r="C209" s="1" t="n">
        <v>46196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7103-2022</t>
        </is>
      </c>
      <c r="B210" s="1" t="n">
        <v>44603</v>
      </c>
      <c r="C210" s="1" t="n">
        <v>46196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22779-2026</t>
        </is>
      </c>
      <c r="B211" s="1" t="n">
        <v>46157</v>
      </c>
      <c r="C211" s="1" t="n">
        <v>46196</v>
      </c>
      <c r="D211" t="inlineStr">
        <is>
          <t>VÄSTMANLANDS LÄN</t>
        </is>
      </c>
      <c r="E211" t="inlineStr">
        <is>
          <t>SKINNSKATTEBERG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17344-2026</t>
        </is>
      </c>
      <c r="B212" s="1" t="n">
        <v>46119</v>
      </c>
      <c r="C212" s="1" t="n">
        <v>46196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47693-2023</t>
        </is>
      </c>
      <c r="B213" s="1" t="n">
        <v>45198</v>
      </c>
      <c r="C213" s="1" t="n">
        <v>46196</v>
      </c>
      <c r="D213" t="inlineStr">
        <is>
          <t>VÄSTMANLANDS LÄN</t>
        </is>
      </c>
      <c r="E213" t="inlineStr">
        <is>
          <t>SKINNSKATTEBERG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23566-2026</t>
        </is>
      </c>
      <c r="B214" s="1" t="n">
        <v>46163</v>
      </c>
      <c r="C214" s="1" t="n">
        <v>46196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23560-2026</t>
        </is>
      </c>
      <c r="B215" s="1" t="n">
        <v>46163</v>
      </c>
      <c r="C215" s="1" t="n">
        <v>46196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23561-2026</t>
        </is>
      </c>
      <c r="B216" s="1" t="n">
        <v>46163</v>
      </c>
      <c r="C216" s="1" t="n">
        <v>46196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23565-2026</t>
        </is>
      </c>
      <c r="B217" s="1" t="n">
        <v>46163</v>
      </c>
      <c r="C217" s="1" t="n">
        <v>46196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23567-2026</t>
        </is>
      </c>
      <c r="B218" s="1" t="n">
        <v>46163</v>
      </c>
      <c r="C218" s="1" t="n">
        <v>46196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17933-2026</t>
        </is>
      </c>
      <c r="B219" s="1" t="n">
        <v>46122</v>
      </c>
      <c r="C219" s="1" t="n">
        <v>46196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24199-2026</t>
        </is>
      </c>
      <c r="B220" s="1" t="n">
        <v>46168</v>
      </c>
      <c r="C220" s="1" t="n">
        <v>46196</v>
      </c>
      <c r="D220" t="inlineStr">
        <is>
          <t>VÄSTMANLANDS LÄN</t>
        </is>
      </c>
      <c r="E220" t="inlineStr">
        <is>
          <t>SKINNSKATTEBERG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17997-2026</t>
        </is>
      </c>
      <c r="B221" s="1" t="n">
        <v>46124</v>
      </c>
      <c r="C221" s="1" t="n">
        <v>46196</v>
      </c>
      <c r="D221" t="inlineStr">
        <is>
          <t>VÄSTMANLANDS LÄN</t>
        </is>
      </c>
      <c r="E221" t="inlineStr">
        <is>
          <t>SKINNSKATTEBERG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24493-2026</t>
        </is>
      </c>
      <c r="B222" s="1" t="n">
        <v>46170</v>
      </c>
      <c r="C222" s="1" t="n">
        <v>46196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18948-2026</t>
        </is>
      </c>
      <c r="B223" s="1" t="n">
        <v>46129</v>
      </c>
      <c r="C223" s="1" t="n">
        <v>46196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24489-2026</t>
        </is>
      </c>
      <c r="B224" s="1" t="n">
        <v>46170</v>
      </c>
      <c r="C224" s="1" t="n">
        <v>46196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24494-2026</t>
        </is>
      </c>
      <c r="B225" s="1" t="n">
        <v>46170</v>
      </c>
      <c r="C225" s="1" t="n">
        <v>46196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24491-2026</t>
        </is>
      </c>
      <c r="B226" s="1" t="n">
        <v>46170</v>
      </c>
      <c r="C226" s="1" t="n">
        <v>46196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24495-2026</t>
        </is>
      </c>
      <c r="B227" s="1" t="n">
        <v>46170</v>
      </c>
      <c r="C227" s="1" t="n">
        <v>46196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6183-2023</t>
        </is>
      </c>
      <c r="B228" s="1" t="n">
        <v>44964</v>
      </c>
      <c r="C228" s="1" t="n">
        <v>46196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19540-2026</t>
        </is>
      </c>
      <c r="B229" s="1" t="n">
        <v>46134</v>
      </c>
      <c r="C229" s="1" t="n">
        <v>46196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25638-2026</t>
        </is>
      </c>
      <c r="B230" s="1" t="n">
        <v>46177</v>
      </c>
      <c r="C230" s="1" t="n">
        <v>46196</v>
      </c>
      <c r="D230" t="inlineStr">
        <is>
          <t>VÄSTMANLANDS LÄN</t>
        </is>
      </c>
      <c r="E230" t="inlineStr">
        <is>
          <t>SKINNSKATTEBERG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19541-2026</t>
        </is>
      </c>
      <c r="B231" s="1" t="n">
        <v>46134</v>
      </c>
      <c r="C231" s="1" t="n">
        <v>46196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25640-2026</t>
        </is>
      </c>
      <c r="B232" s="1" t="n">
        <v>46177</v>
      </c>
      <c r="C232" s="1" t="n">
        <v>46196</v>
      </c>
      <c r="D232" t="inlineStr">
        <is>
          <t>VÄSTMANLANDS LÄN</t>
        </is>
      </c>
      <c r="E232" t="inlineStr">
        <is>
          <t>SKINNSKATTEBERG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19582-2026</t>
        </is>
      </c>
      <c r="B233" s="1" t="n">
        <v>46134</v>
      </c>
      <c r="C233" s="1" t="n">
        <v>46196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11494-2023</t>
        </is>
      </c>
      <c r="B234" s="1" t="n">
        <v>44993</v>
      </c>
      <c r="C234" s="1" t="n">
        <v>46196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22611-2024</t>
        </is>
      </c>
      <c r="B235" s="1" t="n">
        <v>45447</v>
      </c>
      <c r="C235" s="1" t="n">
        <v>46196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28610-2025</t>
        </is>
      </c>
      <c r="B236" s="1" t="n">
        <v>45819</v>
      </c>
      <c r="C236" s="1" t="n">
        <v>46196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28613-2025</t>
        </is>
      </c>
      <c r="B237" s="1" t="n">
        <v>45819</v>
      </c>
      <c r="C237" s="1" t="n">
        <v>46196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19928-2026</t>
        </is>
      </c>
      <c r="B238" s="1" t="n">
        <v>46136</v>
      </c>
      <c r="C238" s="1" t="n">
        <v>46196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25750-2026</t>
        </is>
      </c>
      <c r="B239" s="1" t="n">
        <v>46178</v>
      </c>
      <c r="C239" s="1" t="n">
        <v>46196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36248-2024</t>
        </is>
      </c>
      <c r="B240" s="1" t="n">
        <v>45534</v>
      </c>
      <c r="C240" s="1" t="n">
        <v>46196</v>
      </c>
      <c r="D240" t="inlineStr">
        <is>
          <t>VÄSTMANLANDS LÄN</t>
        </is>
      </c>
      <c r="E240" t="inlineStr">
        <is>
          <t>SKINNSKATTEBERG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25748-2026</t>
        </is>
      </c>
      <c r="B241" s="1" t="n">
        <v>46178</v>
      </c>
      <c r="C241" s="1" t="n">
        <v>46196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19939-2026</t>
        </is>
      </c>
      <c r="B242" s="1" t="n">
        <v>46136</v>
      </c>
      <c r="C242" s="1" t="n">
        <v>46196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54439-2024</t>
        </is>
      </c>
      <c r="B243" s="1" t="n">
        <v>45617</v>
      </c>
      <c r="C243" s="1" t="n">
        <v>46196</v>
      </c>
      <c r="D243" t="inlineStr">
        <is>
          <t>VÄSTMANLANDS LÄN</t>
        </is>
      </c>
      <c r="E243" t="inlineStr">
        <is>
          <t>SKINNSKATTEBERG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19943-2026</t>
        </is>
      </c>
      <c r="B244" s="1" t="n">
        <v>46136</v>
      </c>
      <c r="C244" s="1" t="n">
        <v>46196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57747-2023</t>
        </is>
      </c>
      <c r="B245" s="1" t="n">
        <v>45246</v>
      </c>
      <c r="C245" s="1" t="n">
        <v>46196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25753-2026</t>
        </is>
      </c>
      <c r="B246" s="1" t="n">
        <v>46178</v>
      </c>
      <c r="C246" s="1" t="n">
        <v>46196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47137-2024</t>
        </is>
      </c>
      <c r="B247" s="1" t="n">
        <v>45586</v>
      </c>
      <c r="C247" s="1" t="n">
        <v>46196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26354-2026</t>
        </is>
      </c>
      <c r="B248" s="1" t="n">
        <v>46182</v>
      </c>
      <c r="C248" s="1" t="n">
        <v>46196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20623-2026</t>
        </is>
      </c>
      <c r="B249" s="1" t="n">
        <v>46141</v>
      </c>
      <c r="C249" s="1" t="n">
        <v>46196</v>
      </c>
      <c r="D249" t="inlineStr">
        <is>
          <t>VÄSTMANLANDS LÄN</t>
        </is>
      </c>
      <c r="E249" t="inlineStr">
        <is>
          <t>SKINNSKATTEBERG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20556-2026</t>
        </is>
      </c>
      <c r="B250" s="1" t="n">
        <v>46140</v>
      </c>
      <c r="C250" s="1" t="n">
        <v>46196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20563-2026</t>
        </is>
      </c>
      <c r="B251" s="1" t="n">
        <v>46140</v>
      </c>
      <c r="C251" s="1" t="n">
        <v>46196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26356-2026</t>
        </is>
      </c>
      <c r="B252" s="1" t="n">
        <v>46182</v>
      </c>
      <c r="C252" s="1" t="n">
        <v>46196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20848-2026</t>
        </is>
      </c>
      <c r="B253" s="1" t="n">
        <v>46142</v>
      </c>
      <c r="C253" s="1" t="n">
        <v>46196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20840-2026</t>
        </is>
      </c>
      <c r="B254" s="1" t="n">
        <v>46142</v>
      </c>
      <c r="C254" s="1" t="n">
        <v>46196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20850-2026</t>
        </is>
      </c>
      <c r="B255" s="1" t="n">
        <v>46142</v>
      </c>
      <c r="C255" s="1" t="n">
        <v>46196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20852-2026</t>
        </is>
      </c>
      <c r="B256" s="1" t="n">
        <v>46142</v>
      </c>
      <c r="C256" s="1" t="n">
        <v>46196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26862-2026</t>
        </is>
      </c>
      <c r="B257" s="1" t="n">
        <v>46185</v>
      </c>
      <c r="C257" s="1" t="n">
        <v>46196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20856-2026</t>
        </is>
      </c>
      <c r="B258" s="1" t="n">
        <v>46142</v>
      </c>
      <c r="C258" s="1" t="n">
        <v>46196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20854-2026</t>
        </is>
      </c>
      <c r="B259" s="1" t="n">
        <v>46142</v>
      </c>
      <c r="C259" s="1" t="n">
        <v>46196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20853-2026</t>
        </is>
      </c>
      <c r="B260" s="1" t="n">
        <v>46142</v>
      </c>
      <c r="C260" s="1" t="n">
        <v>46196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27919-2026</t>
        </is>
      </c>
      <c r="B261" s="1" t="n">
        <v>46191</v>
      </c>
      <c r="C261" s="1" t="n">
        <v>46196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27637-2026</t>
        </is>
      </c>
      <c r="B262" s="1" t="n">
        <v>46190</v>
      </c>
      <c r="C262" s="1" t="n">
        <v>46196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27921-2026</t>
        </is>
      </c>
      <c r="B263" s="1" t="n">
        <v>46191</v>
      </c>
      <c r="C263" s="1" t="n">
        <v>46196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26865-2026</t>
        </is>
      </c>
      <c r="B264" s="1" t="n">
        <v>46185</v>
      </c>
      <c r="C264" s="1" t="n">
        <v>46196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27634-2026</t>
        </is>
      </c>
      <c r="B265" s="1" t="n">
        <v>46190</v>
      </c>
      <c r="C265" s="1" t="n">
        <v>46196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27639-2026</t>
        </is>
      </c>
      <c r="B266" s="1" t="n">
        <v>46190</v>
      </c>
      <c r="C266" s="1" t="n">
        <v>46196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26866-2026</t>
        </is>
      </c>
      <c r="B267" s="1" t="n">
        <v>46185</v>
      </c>
      <c r="C267" s="1" t="n">
        <v>46196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28161-2026</t>
        </is>
      </c>
      <c r="B268" s="1" t="n">
        <v>46195</v>
      </c>
      <c r="C268" s="1" t="n">
        <v>46196</v>
      </c>
      <c r="D268" t="inlineStr">
        <is>
          <t>VÄSTMANLANDS LÄN</t>
        </is>
      </c>
      <c r="E268" t="inlineStr">
        <is>
          <t>SKINNSKATTEBERG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43411-2024</t>
        </is>
      </c>
      <c r="B269" s="1" t="n">
        <v>45568</v>
      </c>
      <c r="C269" s="1" t="n">
        <v>46196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21847-2026</t>
        </is>
      </c>
      <c r="B270" s="1" t="n">
        <v>46150</v>
      </c>
      <c r="C270" s="1" t="n">
        <v>46196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21848-2026</t>
        </is>
      </c>
      <c r="B271" s="1" t="n">
        <v>46150</v>
      </c>
      <c r="C271" s="1" t="n">
        <v>46196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54589-2024</t>
        </is>
      </c>
      <c r="B272" s="1" t="n">
        <v>45617</v>
      </c>
      <c r="C272" s="1" t="n">
        <v>46196</v>
      </c>
      <c r="D272" t="inlineStr">
        <is>
          <t>VÄSTMANLANDS LÄN</t>
        </is>
      </c>
      <c r="E272" t="inlineStr">
        <is>
          <t>SKINNSKATTEBERG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14189-2024</t>
        </is>
      </c>
      <c r="B273" s="1" t="n">
        <v>45393</v>
      </c>
      <c r="C273" s="1" t="n">
        <v>46196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16647-2025</t>
        </is>
      </c>
      <c r="B274" s="1" t="n">
        <v>45754</v>
      </c>
      <c r="C274" s="1" t="n">
        <v>46196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47689-2023</t>
        </is>
      </c>
      <c r="B275" s="1" t="n">
        <v>45198</v>
      </c>
      <c r="C275" s="1" t="n">
        <v>46196</v>
      </c>
      <c r="D275" t="inlineStr">
        <is>
          <t>VÄSTMANLANDS LÄN</t>
        </is>
      </c>
      <c r="E275" t="inlineStr">
        <is>
          <t>SKINNSKATTEBERG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21571-2023</t>
        </is>
      </c>
      <c r="B276" s="1" t="n">
        <v>45063</v>
      </c>
      <c r="C276" s="1" t="n">
        <v>46196</v>
      </c>
      <c r="D276" t="inlineStr">
        <is>
          <t>VÄSTMANLANDS LÄN</t>
        </is>
      </c>
      <c r="E276" t="inlineStr">
        <is>
          <t>SKINNSKATTEBERG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21579-2023</t>
        </is>
      </c>
      <c r="B277" s="1" t="n">
        <v>45063</v>
      </c>
      <c r="C277" s="1" t="n">
        <v>46196</v>
      </c>
      <c r="D277" t="inlineStr">
        <is>
          <t>VÄSTMANLANDS LÄN</t>
        </is>
      </c>
      <c r="E277" t="inlineStr">
        <is>
          <t>SKINNSKATTEBERG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31262-2023</t>
        </is>
      </c>
      <c r="B278" s="1" t="n">
        <v>45114</v>
      </c>
      <c r="C278" s="1" t="n">
        <v>46196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43805-2024</t>
        </is>
      </c>
      <c r="B279" s="1" t="n">
        <v>45571</v>
      </c>
      <c r="C279" s="1" t="n">
        <v>46196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43806-2024</t>
        </is>
      </c>
      <c r="B280" s="1" t="n">
        <v>45571</v>
      </c>
      <c r="C280" s="1" t="n">
        <v>46196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55210-2023</t>
        </is>
      </c>
      <c r="B281" s="1" t="n">
        <v>45237</v>
      </c>
      <c r="C281" s="1" t="n">
        <v>46196</v>
      </c>
      <c r="D281" t="inlineStr">
        <is>
          <t>VÄSTMANLANDS LÄN</t>
        </is>
      </c>
      <c r="E281" t="inlineStr">
        <is>
          <t>SKINNSKATTEBERG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20248-2024</t>
        </is>
      </c>
      <c r="B282" s="1" t="n">
        <v>45434</v>
      </c>
      <c r="C282" s="1" t="n">
        <v>46196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16729-2024</t>
        </is>
      </c>
      <c r="B283" s="1" t="n">
        <v>45410</v>
      </c>
      <c r="C283" s="1" t="n">
        <v>46196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33900-2023</t>
        </is>
      </c>
      <c r="B284" s="1" t="n">
        <v>45134</v>
      </c>
      <c r="C284" s="1" t="n">
        <v>46196</v>
      </c>
      <c r="D284" t="inlineStr">
        <is>
          <t>VÄSTMANLANDS LÄN</t>
        </is>
      </c>
      <c r="E284" t="inlineStr">
        <is>
          <t>SKINNSKATTEBERG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27329-2023</t>
        </is>
      </c>
      <c r="B285" s="1" t="n">
        <v>45096</v>
      </c>
      <c r="C285" s="1" t="n">
        <v>46196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14237-2025</t>
        </is>
      </c>
      <c r="B286" s="1" t="n">
        <v>45740</v>
      </c>
      <c r="C286" s="1" t="n">
        <v>46196</v>
      </c>
      <c r="D286" t="inlineStr">
        <is>
          <t>VÄSTMANLANDS LÄN</t>
        </is>
      </c>
      <c r="E286" t="inlineStr">
        <is>
          <t>SKINNSKATTEBERG</t>
        </is>
      </c>
      <c r="G286" t="n">
        <v>10.4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16397-2024</t>
        </is>
      </c>
      <c r="B287" s="1" t="n">
        <v>45407</v>
      </c>
      <c r="C287" s="1" t="n">
        <v>46196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11826-2024</t>
        </is>
      </c>
      <c r="B288" s="1" t="n">
        <v>45376</v>
      </c>
      <c r="C288" s="1" t="n">
        <v>46196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8218-2023</t>
        </is>
      </c>
      <c r="B289" s="1" t="n">
        <v>44974</v>
      </c>
      <c r="C289" s="1" t="n">
        <v>46196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21908-2023</t>
        </is>
      </c>
      <c r="B290" s="1" t="n">
        <v>45068</v>
      </c>
      <c r="C290" s="1" t="n">
        <v>46196</v>
      </c>
      <c r="D290" t="inlineStr">
        <is>
          <t>VÄSTMANLANDS LÄN</t>
        </is>
      </c>
      <c r="E290" t="inlineStr">
        <is>
          <t>SKINNSKATTEBERG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25843-2023</t>
        </is>
      </c>
      <c r="B291" s="1" t="n">
        <v>45090</v>
      </c>
      <c r="C291" s="1" t="n">
        <v>46196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5001-2024</t>
        </is>
      </c>
      <c r="B292" s="1" t="n">
        <v>45329</v>
      </c>
      <c r="C292" s="1" t="n">
        <v>46196</v>
      </c>
      <c r="D292" t="inlineStr">
        <is>
          <t>VÄSTMANLANDS LÄN</t>
        </is>
      </c>
      <c r="E292" t="inlineStr">
        <is>
          <t>SKINNSKATTEBERG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58834-2022</t>
        </is>
      </c>
      <c r="B293" s="1" t="n">
        <v>44903</v>
      </c>
      <c r="C293" s="1" t="n">
        <v>46196</v>
      </c>
      <c r="D293" t="inlineStr">
        <is>
          <t>VÄSTMANLANDS LÄN</t>
        </is>
      </c>
      <c r="E293" t="inlineStr">
        <is>
          <t>SKINNSKATTEBERG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13676-2022</t>
        </is>
      </c>
      <c r="B294" s="1" t="n">
        <v>44648</v>
      </c>
      <c r="C294" s="1" t="n">
        <v>46196</v>
      </c>
      <c r="D294" t="inlineStr">
        <is>
          <t>VÄSTMANLANDS LÄN</t>
        </is>
      </c>
      <c r="E294" t="inlineStr">
        <is>
          <t>SKINNSKATTEBERG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1282-2023</t>
        </is>
      </c>
      <c r="B295" s="1" t="n">
        <v>44936</v>
      </c>
      <c r="C295" s="1" t="n">
        <v>46196</v>
      </c>
      <c r="D295" t="inlineStr">
        <is>
          <t>VÄSTMANLANDS LÄN</t>
        </is>
      </c>
      <c r="E295" t="inlineStr">
        <is>
          <t>SKINNSKATTEBERG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36597-2024</t>
        </is>
      </c>
      <c r="B296" s="1" t="n">
        <v>45537</v>
      </c>
      <c r="C296" s="1" t="n">
        <v>46196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42093-2023</t>
        </is>
      </c>
      <c r="B297" s="1" t="n">
        <v>45177</v>
      </c>
      <c r="C297" s="1" t="n">
        <v>46196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55428-2021</t>
        </is>
      </c>
      <c r="B298" s="1" t="n">
        <v>44475</v>
      </c>
      <c r="C298" s="1" t="n">
        <v>46196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53880-2021</t>
        </is>
      </c>
      <c r="B299" s="1" t="n">
        <v>44469</v>
      </c>
      <c r="C299" s="1" t="n">
        <v>46196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52600-2021</t>
        </is>
      </c>
      <c r="B300" s="1" t="n">
        <v>44466</v>
      </c>
      <c r="C300" s="1" t="n">
        <v>46196</v>
      </c>
      <c r="D300" t="inlineStr">
        <is>
          <t>VÄSTMANLANDS LÄN</t>
        </is>
      </c>
      <c r="E300" t="inlineStr">
        <is>
          <t>SKINNSKATTEBERG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53183-2021</t>
        </is>
      </c>
      <c r="B301" s="1" t="n">
        <v>44468</v>
      </c>
      <c r="C301" s="1" t="n">
        <v>46196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18163-2024</t>
        </is>
      </c>
      <c r="B302" s="1" t="n">
        <v>45420</v>
      </c>
      <c r="C302" s="1" t="n">
        <v>46196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51508-2021</t>
        </is>
      </c>
      <c r="B303" s="1" t="n">
        <v>44462</v>
      </c>
      <c r="C303" s="1" t="n">
        <v>46196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35370-2024</t>
        </is>
      </c>
      <c r="B304" s="1" t="n">
        <v>45531</v>
      </c>
      <c r="C304" s="1" t="n">
        <v>46196</v>
      </c>
      <c r="D304" t="inlineStr">
        <is>
          <t>VÄSTMANLANDS LÄN</t>
        </is>
      </c>
      <c r="E304" t="inlineStr">
        <is>
          <t>SKINNSKATTEBERG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53142-2021</t>
        </is>
      </c>
      <c r="B305" s="1" t="n">
        <v>44468</v>
      </c>
      <c r="C305" s="1" t="n">
        <v>46196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15737-2024</t>
        </is>
      </c>
      <c r="B306" s="1" t="n">
        <v>45404</v>
      </c>
      <c r="C306" s="1" t="n">
        <v>46196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32316-2024</t>
        </is>
      </c>
      <c r="B307" s="1" t="n">
        <v>45512</v>
      </c>
      <c r="C307" s="1" t="n">
        <v>46196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51475-2024</t>
        </is>
      </c>
      <c r="B308" s="1" t="n">
        <v>45604</v>
      </c>
      <c r="C308" s="1" t="n">
        <v>46196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16400-2024</t>
        </is>
      </c>
      <c r="B309" s="1" t="n">
        <v>45407</v>
      </c>
      <c r="C309" s="1" t="n">
        <v>46196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49847-2021</t>
        </is>
      </c>
      <c r="B310" s="1" t="n">
        <v>44455</v>
      </c>
      <c r="C310" s="1" t="n">
        <v>46196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36288-2022</t>
        </is>
      </c>
      <c r="B311" s="1" t="n">
        <v>44803</v>
      </c>
      <c r="C311" s="1" t="n">
        <v>46196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19398-2024</t>
        </is>
      </c>
      <c r="B312" s="1" t="n">
        <v>45429</v>
      </c>
      <c r="C312" s="1" t="n">
        <v>46196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20074-2023</t>
        </is>
      </c>
      <c r="B313" s="1" t="n">
        <v>45054</v>
      </c>
      <c r="C313" s="1" t="n">
        <v>46196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20430-2023</t>
        </is>
      </c>
      <c r="B314" s="1" t="n">
        <v>45056</v>
      </c>
      <c r="C314" s="1" t="n">
        <v>46196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13713-2024</t>
        </is>
      </c>
      <c r="B315" s="1" t="n">
        <v>45390</v>
      </c>
      <c r="C315" s="1" t="n">
        <v>46196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22591-2024</t>
        </is>
      </c>
      <c r="B316" s="1" t="n">
        <v>45447</v>
      </c>
      <c r="C316" s="1" t="n">
        <v>46196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29708-2024</t>
        </is>
      </c>
      <c r="B317" s="1" t="n">
        <v>45485</v>
      </c>
      <c r="C317" s="1" t="n">
        <v>46196</v>
      </c>
      <c r="D317" t="inlineStr">
        <is>
          <t>VÄSTMANLANDS LÄN</t>
        </is>
      </c>
      <c r="E317" t="inlineStr">
        <is>
          <t>SKINNSKATTEBERG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40554-2024</t>
        </is>
      </c>
      <c r="B318" s="1" t="n">
        <v>45555</v>
      </c>
      <c r="C318" s="1" t="n">
        <v>46196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13385-2024</t>
        </is>
      </c>
      <c r="B319" s="1" t="n">
        <v>45387</v>
      </c>
      <c r="C319" s="1" t="n">
        <v>46196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21576-2023</t>
        </is>
      </c>
      <c r="B320" s="1" t="n">
        <v>45063</v>
      </c>
      <c r="C320" s="1" t="n">
        <v>46196</v>
      </c>
      <c r="D320" t="inlineStr">
        <is>
          <t>VÄSTMANLANDS LÄN</t>
        </is>
      </c>
      <c r="E320" t="inlineStr">
        <is>
          <t>SKINNSKATTEBERG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15540-2024</t>
        </is>
      </c>
      <c r="B321" s="1" t="n">
        <v>45401</v>
      </c>
      <c r="C321" s="1" t="n">
        <v>46196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37432-2023</t>
        </is>
      </c>
      <c r="B322" s="1" t="n">
        <v>45156</v>
      </c>
      <c r="C322" s="1" t="n">
        <v>46196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27328-2023</t>
        </is>
      </c>
      <c r="B323" s="1" t="n">
        <v>45096</v>
      </c>
      <c r="C323" s="1" t="n">
        <v>46196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40545-2023</t>
        </is>
      </c>
      <c r="B324" s="1" t="n">
        <v>45170</v>
      </c>
      <c r="C324" s="1" t="n">
        <v>46196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40998-2024</t>
        </is>
      </c>
      <c r="B325" s="1" t="n">
        <v>45558</v>
      </c>
      <c r="C325" s="1" t="n">
        <v>46196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10232-2025</t>
        </is>
      </c>
      <c r="B326" s="1" t="n">
        <v>45720</v>
      </c>
      <c r="C326" s="1" t="n">
        <v>46196</v>
      </c>
      <c r="D326" t="inlineStr">
        <is>
          <t>VÄSTMANLANDS LÄN</t>
        </is>
      </c>
      <c r="E326" t="inlineStr">
        <is>
          <t>SKINNSKATTEBERG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44693-2024</t>
        </is>
      </c>
      <c r="B327" s="1" t="n">
        <v>45574</v>
      </c>
      <c r="C327" s="1" t="n">
        <v>46196</v>
      </c>
      <c r="D327" t="inlineStr">
        <is>
          <t>VÄSTMANLANDS LÄN</t>
        </is>
      </c>
      <c r="E327" t="inlineStr">
        <is>
          <t>SKINNSKATTEBERG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44694-2024</t>
        </is>
      </c>
      <c r="B328" s="1" t="n">
        <v>45574</v>
      </c>
      <c r="C328" s="1" t="n">
        <v>46196</v>
      </c>
      <c r="D328" t="inlineStr">
        <is>
          <t>VÄSTMANLANDS LÄN</t>
        </is>
      </c>
      <c r="E328" t="inlineStr">
        <is>
          <t>SKINNSKATTEBERG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38738-2021</t>
        </is>
      </c>
      <c r="B329" s="1" t="n">
        <v>44410</v>
      </c>
      <c r="C329" s="1" t="n">
        <v>46196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24427-2023</t>
        </is>
      </c>
      <c r="B330" s="1" t="n">
        <v>45082</v>
      </c>
      <c r="C330" s="1" t="n">
        <v>46196</v>
      </c>
      <c r="D330" t="inlineStr">
        <is>
          <t>VÄSTMANLANDS LÄN</t>
        </is>
      </c>
      <c r="E330" t="inlineStr">
        <is>
          <t>SKINNSKATTEBERG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61181-2021</t>
        </is>
      </c>
      <c r="B331" s="1" t="n">
        <v>44498</v>
      </c>
      <c r="C331" s="1" t="n">
        <v>46196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33396-2023</t>
        </is>
      </c>
      <c r="B332" s="1" t="n">
        <v>45128</v>
      </c>
      <c r="C332" s="1" t="n">
        <v>46196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40320-2023</t>
        </is>
      </c>
      <c r="B333" s="1" t="n">
        <v>45169</v>
      </c>
      <c r="C333" s="1" t="n">
        <v>46196</v>
      </c>
      <c r="D333" t="inlineStr">
        <is>
          <t>VÄSTMANLANDS LÄN</t>
        </is>
      </c>
      <c r="E333" t="inlineStr">
        <is>
          <t>SKINNSKATTEBERG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40179-2024</t>
        </is>
      </c>
      <c r="B334" s="1" t="n">
        <v>45554</v>
      </c>
      <c r="C334" s="1" t="n">
        <v>46196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24884-2023</t>
        </is>
      </c>
      <c r="B335" s="1" t="n">
        <v>45085</v>
      </c>
      <c r="C335" s="1" t="n">
        <v>46196</v>
      </c>
      <c r="D335" t="inlineStr">
        <is>
          <t>VÄSTMANLANDS LÄN</t>
        </is>
      </c>
      <c r="E335" t="inlineStr">
        <is>
          <t>SKINNSKATTEBERG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54501-2024</t>
        </is>
      </c>
      <c r="B336" s="1" t="n">
        <v>45617</v>
      </c>
      <c r="C336" s="1" t="n">
        <v>46196</v>
      </c>
      <c r="D336" t="inlineStr">
        <is>
          <t>VÄSTMANLANDS LÄN</t>
        </is>
      </c>
      <c r="E336" t="inlineStr">
        <is>
          <t>SKINNSKATTEBERG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6298-2023</t>
        </is>
      </c>
      <c r="B337" s="1" t="n">
        <v>44965</v>
      </c>
      <c r="C337" s="1" t="n">
        <v>46196</v>
      </c>
      <c r="D337" t="inlineStr">
        <is>
          <t>VÄSTMANLANDS LÄN</t>
        </is>
      </c>
      <c r="E337" t="inlineStr">
        <is>
          <t>SKINNSKATTEBERG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31260-2023</t>
        </is>
      </c>
      <c r="B338" s="1" t="n">
        <v>45114</v>
      </c>
      <c r="C338" s="1" t="n">
        <v>46196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13553-2023</t>
        </is>
      </c>
      <c r="B339" s="1" t="n">
        <v>45006</v>
      </c>
      <c r="C339" s="1" t="n">
        <v>46196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Allmännings- och besparingsskogar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12888-2024</t>
        </is>
      </c>
      <c r="B340" s="1" t="n">
        <v>45385</v>
      </c>
      <c r="C340" s="1" t="n">
        <v>46196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15561-2024</t>
        </is>
      </c>
      <c r="B341" s="1" t="n">
        <v>45401</v>
      </c>
      <c r="C341" s="1" t="n">
        <v>46196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6943-2023</t>
        </is>
      </c>
      <c r="B342" s="1" t="n">
        <v>44967</v>
      </c>
      <c r="C342" s="1" t="n">
        <v>46196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43400-2024</t>
        </is>
      </c>
      <c r="B343" s="1" t="n">
        <v>45568</v>
      </c>
      <c r="C343" s="1" t="n">
        <v>46196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60355-2024</t>
        </is>
      </c>
      <c r="B344" s="1" t="n">
        <v>45643</v>
      </c>
      <c r="C344" s="1" t="n">
        <v>46196</v>
      </c>
      <c r="D344" t="inlineStr">
        <is>
          <t>VÄSTMANLANDS LÄN</t>
        </is>
      </c>
      <c r="E344" t="inlineStr">
        <is>
          <t>SKINNSKATTEBERG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5505-2025</t>
        </is>
      </c>
      <c r="B345" s="1" t="n">
        <v>45693</v>
      </c>
      <c r="C345" s="1" t="n">
        <v>46196</v>
      </c>
      <c r="D345" t="inlineStr">
        <is>
          <t>VÄSTMANLANDS LÄN</t>
        </is>
      </c>
      <c r="E345" t="inlineStr">
        <is>
          <t>SKINNSKATTEBERG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20379-2024</t>
        </is>
      </c>
      <c r="B346" s="1" t="n">
        <v>45435</v>
      </c>
      <c r="C346" s="1" t="n">
        <v>46196</v>
      </c>
      <c r="D346" t="inlineStr">
        <is>
          <t>VÄSTMANLANDS LÄN</t>
        </is>
      </c>
      <c r="E346" t="inlineStr">
        <is>
          <t>SKINNSKATTEBERG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11992-2023</t>
        </is>
      </c>
      <c r="B347" s="1" t="n">
        <v>44995</v>
      </c>
      <c r="C347" s="1" t="n">
        <v>46196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37210-2022</t>
        </is>
      </c>
      <c r="B348" s="1" t="n">
        <v>44806</v>
      </c>
      <c r="C348" s="1" t="n">
        <v>46196</v>
      </c>
      <c r="D348" t="inlineStr">
        <is>
          <t>VÄSTMANLANDS LÄN</t>
        </is>
      </c>
      <c r="E348" t="inlineStr">
        <is>
          <t>SKINNSKATTEBERG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54657-2022</t>
        </is>
      </c>
      <c r="B349" s="1" t="n">
        <v>44883</v>
      </c>
      <c r="C349" s="1" t="n">
        <v>46196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40167-2024</t>
        </is>
      </c>
      <c r="B350" s="1" t="n">
        <v>45554</v>
      </c>
      <c r="C350" s="1" t="n">
        <v>46196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40169-2024</t>
        </is>
      </c>
      <c r="B351" s="1" t="n">
        <v>45554</v>
      </c>
      <c r="C351" s="1" t="n">
        <v>46196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66584-2021</t>
        </is>
      </c>
      <c r="B352" s="1" t="n">
        <v>44519</v>
      </c>
      <c r="C352" s="1" t="n">
        <v>46196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37342-2023</t>
        </is>
      </c>
      <c r="B353" s="1" t="n">
        <v>45156</v>
      </c>
      <c r="C353" s="1" t="n">
        <v>46196</v>
      </c>
      <c r="D353" t="inlineStr">
        <is>
          <t>VÄSTMANLANDS LÄN</t>
        </is>
      </c>
      <c r="E353" t="inlineStr">
        <is>
          <t>SKINNSKATTEBERG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58987-2023</t>
        </is>
      </c>
      <c r="B354" s="1" t="n">
        <v>45252</v>
      </c>
      <c r="C354" s="1" t="n">
        <v>46196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31302-2024</t>
        </is>
      </c>
      <c r="B355" s="1" t="n">
        <v>45504</v>
      </c>
      <c r="C355" s="1" t="n">
        <v>46196</v>
      </c>
      <c r="D355" t="inlineStr">
        <is>
          <t>VÄSTMANLANDS LÄN</t>
        </is>
      </c>
      <c r="E355" t="inlineStr">
        <is>
          <t>SKINNSKATTEBERG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1611-2024</t>
        </is>
      </c>
      <c r="B356" s="1" t="n">
        <v>45306</v>
      </c>
      <c r="C356" s="1" t="n">
        <v>46196</v>
      </c>
      <c r="D356" t="inlineStr">
        <is>
          <t>VÄSTMANLANDS LÄN</t>
        </is>
      </c>
      <c r="E356" t="inlineStr">
        <is>
          <t>SKINNSKATTEBERG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1619-2024</t>
        </is>
      </c>
      <c r="B357" s="1" t="n">
        <v>45306</v>
      </c>
      <c r="C357" s="1" t="n">
        <v>46196</v>
      </c>
      <c r="D357" t="inlineStr">
        <is>
          <t>VÄSTMANLANDS LÄN</t>
        </is>
      </c>
      <c r="E357" t="inlineStr">
        <is>
          <t>SKINNSKATTEBERG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1620-2024</t>
        </is>
      </c>
      <c r="B358" s="1" t="n">
        <v>45306</v>
      </c>
      <c r="C358" s="1" t="n">
        <v>46196</v>
      </c>
      <c r="D358" t="inlineStr">
        <is>
          <t>VÄSTMANLANDS LÄN</t>
        </is>
      </c>
      <c r="E358" t="inlineStr">
        <is>
          <t>SKINNSKATTEBERG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40497-2023</t>
        </is>
      </c>
      <c r="B359" s="1" t="n">
        <v>45170</v>
      </c>
      <c r="C359" s="1" t="n">
        <v>46196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15184-2025</t>
        </is>
      </c>
      <c r="B360" s="1" t="n">
        <v>45744</v>
      </c>
      <c r="C360" s="1" t="n">
        <v>46196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41332-2023</t>
        </is>
      </c>
      <c r="B361" s="1" t="n">
        <v>45174</v>
      </c>
      <c r="C361" s="1" t="n">
        <v>46196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40549-2024</t>
        </is>
      </c>
      <c r="B362" s="1" t="n">
        <v>45555</v>
      </c>
      <c r="C362" s="1" t="n">
        <v>46196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42425-2023</t>
        </is>
      </c>
      <c r="B363" s="1" t="n">
        <v>45180</v>
      </c>
      <c r="C363" s="1" t="n">
        <v>46196</v>
      </c>
      <c r="D363" t="inlineStr">
        <is>
          <t>VÄSTMANLANDS LÄN</t>
        </is>
      </c>
      <c r="E363" t="inlineStr">
        <is>
          <t>SKINNSKATTEBERG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61424-2023</t>
        </is>
      </c>
      <c r="B364" s="1" t="n">
        <v>45264</v>
      </c>
      <c r="C364" s="1" t="n">
        <v>46196</v>
      </c>
      <c r="D364" t="inlineStr">
        <is>
          <t>VÄSTMANLANDS LÄN</t>
        </is>
      </c>
      <c r="E364" t="inlineStr">
        <is>
          <t>SKINNSKATTEBERG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33789-2024</t>
        </is>
      </c>
      <c r="B365" s="1" t="n">
        <v>45520</v>
      </c>
      <c r="C365" s="1" t="n">
        <v>46196</v>
      </c>
      <c r="D365" t="inlineStr">
        <is>
          <t>VÄSTMANLANDS LÄN</t>
        </is>
      </c>
      <c r="E365" t="inlineStr">
        <is>
          <t>SKINNSKATTEBERG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22394-2022</t>
        </is>
      </c>
      <c r="B366" s="1" t="n">
        <v>44713</v>
      </c>
      <c r="C366" s="1" t="n">
        <v>46196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35831-2024</t>
        </is>
      </c>
      <c r="B367" s="1" t="n">
        <v>45532</v>
      </c>
      <c r="C367" s="1" t="n">
        <v>46196</v>
      </c>
      <c r="D367" t="inlineStr">
        <is>
          <t>VÄSTMANLANDS LÄN</t>
        </is>
      </c>
      <c r="E367" t="inlineStr">
        <is>
          <t>SKINNSKATTEBERG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35834-2024</t>
        </is>
      </c>
      <c r="B368" s="1" t="n">
        <v>45532</v>
      </c>
      <c r="C368" s="1" t="n">
        <v>46196</v>
      </c>
      <c r="D368" t="inlineStr">
        <is>
          <t>VÄSTMANLANDS LÄN</t>
        </is>
      </c>
      <c r="E368" t="inlineStr">
        <is>
          <t>SKINNSKATTEBERG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40176-2024</t>
        </is>
      </c>
      <c r="B369" s="1" t="n">
        <v>45554</v>
      </c>
      <c r="C369" s="1" t="n">
        <v>46196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19093-2023</t>
        </is>
      </c>
      <c r="B370" s="1" t="n">
        <v>45048</v>
      </c>
      <c r="C370" s="1" t="n">
        <v>46196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35683-2024</t>
        </is>
      </c>
      <c r="B371" s="1" t="n">
        <v>45532</v>
      </c>
      <c r="C371" s="1" t="n">
        <v>46196</v>
      </c>
      <c r="D371" t="inlineStr">
        <is>
          <t>VÄSTMANLANDS LÄN</t>
        </is>
      </c>
      <c r="E371" t="inlineStr">
        <is>
          <t>SKINNSKATTEBERG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31268-2023</t>
        </is>
      </c>
      <c r="B372" s="1" t="n">
        <v>45114</v>
      </c>
      <c r="C372" s="1" t="n">
        <v>46196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31617-2024</t>
        </is>
      </c>
      <c r="B373" s="1" t="n">
        <v>45506</v>
      </c>
      <c r="C373" s="1" t="n">
        <v>46196</v>
      </c>
      <c r="D373" t="inlineStr">
        <is>
          <t>VÄSTMANLANDS LÄN</t>
        </is>
      </c>
      <c r="E373" t="inlineStr">
        <is>
          <t>SKINNSKATTEBERG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4379-2025</t>
        </is>
      </c>
      <c r="B374" s="1" t="n">
        <v>45686</v>
      </c>
      <c r="C374" s="1" t="n">
        <v>46196</v>
      </c>
      <c r="D374" t="inlineStr">
        <is>
          <t>VÄSTMANLANDS LÄN</t>
        </is>
      </c>
      <c r="E374" t="inlineStr">
        <is>
          <t>SKINNSKATTEBERG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52556-2024</t>
        </is>
      </c>
      <c r="B375" s="1" t="n">
        <v>45609</v>
      </c>
      <c r="C375" s="1" t="n">
        <v>46196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40546-2023</t>
        </is>
      </c>
      <c r="B376" s="1" t="n">
        <v>45170</v>
      </c>
      <c r="C376" s="1" t="n">
        <v>46196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58979-2023</t>
        </is>
      </c>
      <c r="B377" s="1" t="n">
        <v>45252</v>
      </c>
      <c r="C377" s="1" t="n">
        <v>46196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14719-2023</t>
        </is>
      </c>
      <c r="B378" s="1" t="n">
        <v>45014</v>
      </c>
      <c r="C378" s="1" t="n">
        <v>46196</v>
      </c>
      <c r="D378" t="inlineStr">
        <is>
          <t>VÄSTMANLANDS LÄN</t>
        </is>
      </c>
      <c r="E378" t="inlineStr">
        <is>
          <t>SKINNSKATTEBERG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14736-2023</t>
        </is>
      </c>
      <c r="B379" s="1" t="n">
        <v>45014</v>
      </c>
      <c r="C379" s="1" t="n">
        <v>46196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18409-2025</t>
        </is>
      </c>
      <c r="B380" s="1" t="n">
        <v>45762</v>
      </c>
      <c r="C380" s="1" t="n">
        <v>46196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18109-2023</t>
        </is>
      </c>
      <c r="B381" s="1" t="n">
        <v>45040</v>
      </c>
      <c r="C381" s="1" t="n">
        <v>46196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40901-2021</t>
        </is>
      </c>
      <c r="B382" s="1" t="n">
        <v>44421</v>
      </c>
      <c r="C382" s="1" t="n">
        <v>46196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48492-2024</t>
        </is>
      </c>
      <c r="B383" s="1" t="n">
        <v>45592</v>
      </c>
      <c r="C383" s="1" t="n">
        <v>46196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20947-2025</t>
        </is>
      </c>
      <c r="B384" s="1" t="n">
        <v>45777</v>
      </c>
      <c r="C384" s="1" t="n">
        <v>46196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20949-2025</t>
        </is>
      </c>
      <c r="B385" s="1" t="n">
        <v>45777</v>
      </c>
      <c r="C385" s="1" t="n">
        <v>46196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2026-06-23T04:34:00Z</dcterms:created>
  <dcterms:modified xmlns:dcterms="http://purl.org/dc/terms/" xmlns:xsi="http://www.w3.org/2001/XMLSchema-instance" xsi:type="dcterms:W3CDTF">2026-06-23T04:34:01Z</dcterms:modified>
</cp:coreProperties>
</file>