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t="n">
        <v>8</v>
      </c>
      <c r="V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46224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46224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46224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t="n">
        <v>9</v>
      </c>
      <c r="V6" s="2" t="inlineStr">
        <is>
          <t>Grangråticka
Dofttaggsvamp
Tallticka
Blåsippa
Kråka</t>
        </is>
      </c>
      <c r="W6">
        <f>HYPERLINK("https://klasma.github.io/Logging_1904/artfynd/A 61212-2022 artfynd.xlsx", "A 61212-2022")</f>
        <v/>
      </c>
      <c r="X6">
        <f>HYPERLINK("https://klasma.github.io/Logging_1904/kartor/A 61212-2022 karta.png", "A 61212-2022")</f>
        <v/>
      </c>
      <c r="Y6">
        <f>HYPERLINK("https://klasma.github.io/Logging_1904/kartor_geotiff/A 61212-2022 georefererad karta.tif", "A 61212-2022")</f>
        <v/>
      </c>
      <c r="AA6">
        <f>HYPERLINK("https://klasma.github.io/Logging_1904/klagomål/A 61212-2022 FSC-klagomål.docx", "A 61212-2022")</f>
        <v/>
      </c>
      <c r="AB6">
        <f>HYPERLINK("https://klasma.github.io/Logging_1904/klagomålsmail/A 61212-2022 FSC-klagomål mail.docx", "A 61212-2022")</f>
        <v/>
      </c>
      <c r="AC6">
        <f>HYPERLINK("https://klasma.github.io/Logging_1904/tillsyn/A 61212-2022 tillsynsbegäran.docx", "A 61212-2022")</f>
        <v/>
      </c>
      <c r="AD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46224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46224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Vedtrappmossa
Björksplintborre
Gulnål
Vedticka</t>
        </is>
      </c>
      <c r="W8">
        <f>HYPERLINK("https://klasma.github.io/Logging_1904/artfynd/A 56183-2025 artfynd.xlsx", "A 56183-2025")</f>
        <v/>
      </c>
      <c r="X8">
        <f>HYPERLINK("https://klasma.github.io/Logging_1904/kartor/A 56183-2025 karta.png", "A 56183-2025")</f>
        <v/>
      </c>
      <c r="Y8">
        <f>HYPERLINK("https://klasma.github.io/Logging_1904/kartor_geotiff/A 56183-2025 georefererad karta.tif", "A 56183-2025")</f>
        <v/>
      </c>
      <c r="AA8">
        <f>HYPERLINK("https://klasma.github.io/Logging_1904/klagomål/A 56183-2025 FSC-klagomål.docx", "A 56183-2025")</f>
        <v/>
      </c>
      <c r="AB8">
        <f>HYPERLINK("https://klasma.github.io/Logging_1904/klagomålsmail/A 56183-2025 FSC-klagomål mail.docx", "A 56183-2025")</f>
        <v/>
      </c>
      <c r="AC8">
        <f>HYPERLINK("https://klasma.github.io/Logging_1904/tillsyn/A 56183-2025 tillsynsbegäran.docx", "A 56183-2025")</f>
        <v/>
      </c>
      <c r="AD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19656-2025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45770</v>
      </c>
      <c r="E10" s="1" t="n">
        <v>46224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3.8</v>
      </c>
      <c r="J10" t="n">
        <v>0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Rynkskinn
Ullticka
Brandticka</t>
        </is>
      </c>
      <c r="W10">
        <f>HYPERLINK("https://klasma.github.io/Logging_1904/artfynd/A 19656-2025 artfynd.xlsx", "A 19656-2025")</f>
        <v/>
      </c>
      <c r="X10">
        <f>HYPERLINK("https://klasma.github.io/Logging_1904/kartor/A 19656-2025 karta.png", "A 19656-2025")</f>
        <v/>
      </c>
      <c r="Y10">
        <f>HYPERLINK("https://klasma.github.io/Logging_1904/kartor_geotiff/A 19656-2025 georefererad karta.tif", "A 19656-2025")</f>
        <v/>
      </c>
      <c r="AA10">
        <f>HYPERLINK("https://klasma.github.io/Logging_1904/klagomål/A 19656-2025 FSC-klagomål.docx", "A 19656-2025")</f>
        <v/>
      </c>
      <c r="AB10">
        <f>HYPERLINK("https://klasma.github.io/Logging_1904/klagomålsmail/A 19656-2025 FSC-klagomål mail.docx", "A 19656-2025")</f>
        <v/>
      </c>
      <c r="AC10">
        <f>HYPERLINK("https://klasma.github.io/Logging_1904/tillsyn/A 19656-2025 tillsynsbegäran.docx", "A 19656-2025")</f>
        <v/>
      </c>
      <c r="AD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45390</v>
      </c>
      <c r="E11" s="1" t="n">
        <v>46224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Krusfrö
Järpe
Tjäder</t>
        </is>
      </c>
      <c r="W11">
        <f>HYPERLINK("https://klasma.github.io/Logging_1904/artfynd/A 13715-2024 artfynd.xlsx", "A 13715-2024")</f>
        <v/>
      </c>
      <c r="X11">
        <f>HYPERLINK("https://klasma.github.io/Logging_1904/kartor/A 13715-2024 karta.png", "A 13715-2024")</f>
        <v/>
      </c>
      <c r="Y11">
        <f>HYPERLINK("https://klasma.github.io/Logging_1904/kartor_geotiff/A 13715-2024 georefererad karta.tif", "A 13715-2024")</f>
        <v/>
      </c>
      <c r="AA11">
        <f>HYPERLINK("https://klasma.github.io/Logging_1904/klagomål/A 13715-2024 FSC-klagomål.docx", "A 13715-2024")</f>
        <v/>
      </c>
      <c r="AB11">
        <f>HYPERLINK("https://klasma.github.io/Logging_1904/klagomålsmail/A 13715-2024 FSC-klagomål mail.docx", "A 13715-2024")</f>
        <v/>
      </c>
      <c r="AC11">
        <f>HYPERLINK("https://klasma.github.io/Logging_1904/tillsyn/A 13715-2024 tillsynsbegäran.docx", "A 13715-2024")</f>
        <v/>
      </c>
      <c r="AD11">
        <f>HYPERLINK("https://klasma.github.io/Logging_1904/tillsynsmail/A 13715-2024 tillsynsbegäran mail.docx", "A 13715-2024")</f>
        <v/>
      </c>
      <c r="AE11">
        <f>HYPERLINK("https://klasma.github.io/Logging_1904/fåglar/A 13715-2024 prioriterade fågelarter.docx", "A 13715-2024")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46224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46224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46224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46224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46224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16910-2025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46224</v>
      </c>
      <c r="F17" t="inlineStr">
        <is>
          <t>VÄSTMANLANDS LÄN</t>
        </is>
      </c>
      <c r="G17" t="inlineStr">
        <is>
          <t>SKINNSKATTEBERG</t>
        </is>
      </c>
      <c r="I17" t="n">
        <v>3.2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Vedtrappmossa
Fläcknycklar</t>
        </is>
      </c>
      <c r="W17">
        <f>HYPERLINK("https://klasma.github.io/Logging_1904/artfynd/A 16910-2025 artfynd.xlsx", "A 16910-2025")</f>
        <v/>
      </c>
      <c r="X17">
        <f>HYPERLINK("https://klasma.github.io/Logging_1904/kartor/A 16910-2025 karta.png", "A 16910-2025")</f>
        <v/>
      </c>
      <c r="Y17">
        <f>HYPERLINK("https://klasma.github.io/Logging_1904/kartor_geotiff/A 16910-2025 georefererad karta.tif", "A 16910-2025")</f>
        <v/>
      </c>
      <c r="AA17">
        <f>HYPERLINK("https://klasma.github.io/Logging_1904/klagomål/A 16910-2025 FSC-klagomål.docx", "A 16910-2025")</f>
        <v/>
      </c>
      <c r="AB17">
        <f>HYPERLINK("https://klasma.github.io/Logging_1904/klagomålsmail/A 16910-2025 FSC-klagomål mail.docx", "A 16910-2025")</f>
        <v/>
      </c>
      <c r="AC17">
        <f>HYPERLINK("https://klasma.github.io/Logging_1904/tillsyn/A 16910-2025 tillsynsbegäran.docx", "A 16910-2025")</f>
        <v/>
      </c>
      <c r="AD17">
        <f>HYPERLINK("https://klasma.github.io/Logging_1904/tillsynsmail/A 16910-2025 tillsynsbegäran mail.docx", "A 16910-2025")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46224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46224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46224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46224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46224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47538-2025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45931</v>
      </c>
      <c r="E23" s="1" t="n">
        <v>46224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HYPERLINK("https://klasma.github.io/Logging_1904/artfynd/A 47538-2025 artfynd.xlsx", "A 47538-2025")</f>
        <v/>
      </c>
      <c r="X23">
        <f>HYPERLINK("https://klasma.github.io/Logging_1904/kartor/A 47538-2025 karta.png", "A 47538-2025")</f>
        <v/>
      </c>
      <c r="Y23">
        <f>HYPERLINK("https://klasma.github.io/Logging_1904/kartor_geotiff/A 47538-2025 georefererad karta.tif", "A 47538-2025")</f>
        <v/>
      </c>
      <c r="AA23">
        <f>HYPERLINK("https://klasma.github.io/Logging_1904/klagomål/A 47538-2025 FSC-klagomål.docx", "A 47538-2025")</f>
        <v/>
      </c>
      <c r="AB23">
        <f>HYPERLINK("https://klasma.github.io/Logging_1904/klagomålsmail/A 47538-2025 FSC-klagomål mail.docx", "A 47538-2025")</f>
        <v/>
      </c>
      <c r="AC23">
        <f>HYPERLINK("https://klasma.github.io/Logging_1904/tillsyn/A 47538-2025 tillsynsbegäran.docx", "A 47538-2025")</f>
        <v/>
      </c>
      <c r="AD23">
        <f>HYPERLINK("https://klasma.github.io/Logging_1904/tillsynsmail/A 47538-2025 tillsynsbegäran mail.docx", "A 47538-2025")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46224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54296-2023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46224</v>
      </c>
      <c r="F25" t="inlineStr">
        <is>
          <t>VÄSTMANLANDS LÄN</t>
        </is>
      </c>
      <c r="G25" t="inlineStr">
        <is>
          <t>SKINNSKATTEBERG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Kopparödla</t>
        </is>
      </c>
      <c r="W25">
        <f>HYPERLINK("https://klasma.github.io/Logging_1904/artfynd/A 54296-2023 artfynd.xlsx", "A 54296-2023")</f>
        <v/>
      </c>
      <c r="X25">
        <f>HYPERLINK("https://klasma.github.io/Logging_1904/kartor/A 54296-2023 karta.png", "A 54296-2023")</f>
        <v/>
      </c>
      <c r="Y25">
        <f>HYPERLINK("https://klasma.github.io/Logging_1904/kartor_geotiff/A 54296-2023 georefererad karta.tif", "A 54296-2023")</f>
        <v/>
      </c>
      <c r="AA25">
        <f>HYPERLINK("https://klasma.github.io/Logging_1904/klagomål/A 54296-2023 FSC-klagomål.docx", "A 54296-2023")</f>
        <v/>
      </c>
      <c r="AB25">
        <f>HYPERLINK("https://klasma.github.io/Logging_1904/klagomålsmail/A 54296-2023 FSC-klagomål mail.docx", "A 54296-2023")</f>
        <v/>
      </c>
      <c r="AC25">
        <f>HYPERLINK("https://klasma.github.io/Logging_1904/tillsyn/A 54296-2023 tillsynsbegäran.docx", "A 54296-2023")</f>
        <v/>
      </c>
      <c r="AD25">
        <f>HYPERLINK("https://klasma.github.io/Logging_1904/tillsynsmail/A 54296-2023 tillsynsbegäran mail.docx", "A 54296-2023")</f>
        <v/>
      </c>
    </row>
    <row r="26" ht="15" customHeight="1">
      <c r="A26" t="inlineStr">
        <is>
          <t>A 57395-2025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46224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Vedticka</t>
        </is>
      </c>
      <c r="W26">
        <f>HYPERLINK("https://klasma.github.io/Logging_1904/artfynd/A 57395-2025 artfynd.xlsx", "A 57395-2025")</f>
        <v/>
      </c>
      <c r="X26">
        <f>HYPERLINK("https://klasma.github.io/Logging_1904/kartor/A 57395-2025 karta.png", "A 57395-2025")</f>
        <v/>
      </c>
      <c r="Y26">
        <f>HYPERLINK("https://klasma.github.io/Logging_1904/kartor_geotiff/A 57395-2025 georefererad karta.tif", "A 57395-2025")</f>
        <v/>
      </c>
      <c r="AA26">
        <f>HYPERLINK("https://klasma.github.io/Logging_1904/klagomål/A 57395-2025 FSC-klagomål.docx", "A 57395-2025")</f>
        <v/>
      </c>
      <c r="AB26">
        <f>HYPERLINK("https://klasma.github.io/Logging_1904/klagomålsmail/A 57395-2025 FSC-klagomål mail.docx", "A 57395-2025")</f>
        <v/>
      </c>
      <c r="AC26">
        <f>HYPERLINK("https://klasma.github.io/Logging_1904/tillsyn/A 57395-2025 tillsynsbegäran.docx", "A 57395-2025")</f>
        <v/>
      </c>
      <c r="AD26">
        <f>HYPERLINK("https://klasma.github.io/Logging_1904/tillsynsmail/A 57395-2025 tillsynsbegäran mail.docx", "A 57395-2025")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46224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46224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15734-2026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46107</v>
      </c>
      <c r="E29" s="1" t="n">
        <v>46224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Koppartaggsvamp</t>
        </is>
      </c>
      <c r="W29">
        <f>HYPERLINK("https://klasma.github.io/Logging_1904/artfynd/A 15734-2026 artfynd.xlsx", "A 15734-2026")</f>
        <v/>
      </c>
      <c r="X29">
        <f>HYPERLINK("https://klasma.github.io/Logging_1904/kartor/A 15734-2026 karta.png", "A 15734-2026")</f>
        <v/>
      </c>
      <c r="Y29">
        <f>HYPERLINK("https://klasma.github.io/Logging_1904/kartor_geotiff/A 15734-2026 georefererad karta.tif", "A 15734-2026")</f>
        <v/>
      </c>
      <c r="AA29">
        <f>HYPERLINK("https://klasma.github.io/Logging_1904/klagomål/A 15734-2026 FSC-klagomål.docx", "A 15734-2026")</f>
        <v/>
      </c>
      <c r="AB29">
        <f>HYPERLINK("https://klasma.github.io/Logging_1904/klagomålsmail/A 15734-2026 FSC-klagomål mail.docx", "A 15734-2026")</f>
        <v/>
      </c>
      <c r="AC29">
        <f>HYPERLINK("https://klasma.github.io/Logging_1904/tillsyn/A 15734-2026 tillsynsbegäran.docx", "A 15734-2026")</f>
        <v/>
      </c>
      <c r="AD29">
        <f>HYPERLINK("https://klasma.github.io/Logging_1904/tillsynsmail/A 15734-2026 tillsynsbegäran mail.docx", "A 15734-2026")</f>
        <v/>
      </c>
    </row>
    <row r="30" ht="15" customHeight="1">
      <c r="A30" t="inlineStr">
        <is>
          <t>A 27565-2024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45474</v>
      </c>
      <c r="E30" s="1" t="n">
        <v>46224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Mörk husmossa</t>
        </is>
      </c>
      <c r="W30">
        <f>HYPERLINK("https://klasma.github.io/Logging_1904/artfynd/A 27565-2024 artfynd.xlsx", "A 27565-2024")</f>
        <v/>
      </c>
      <c r="X30">
        <f>HYPERLINK("https://klasma.github.io/Logging_1904/kartor/A 27565-2024 karta.png", "A 27565-2024")</f>
        <v/>
      </c>
      <c r="Y30">
        <f>HYPERLINK("https://klasma.github.io/Logging_1904/kartor_geotiff/A 27565-2024 georefererad karta.tif", "A 27565-2024")</f>
        <v/>
      </c>
      <c r="AA30">
        <f>HYPERLINK("https://klasma.github.io/Logging_1904/klagomål/A 27565-2024 FSC-klagomål.docx", "A 27565-2024")</f>
        <v/>
      </c>
      <c r="AB30">
        <f>HYPERLINK("https://klasma.github.io/Logging_1904/klagomålsmail/A 27565-2024 FSC-klagomål mail.docx", "A 27565-2024")</f>
        <v/>
      </c>
      <c r="AC30">
        <f>HYPERLINK("https://klasma.github.io/Logging_1904/tillsyn/A 27565-2024 tillsynsbegäran.docx", "A 27565-2024")</f>
        <v/>
      </c>
      <c r="AD30">
        <f>HYPERLINK("https://klasma.github.io/Logging_1904/tillsynsmail/A 27565-2024 tillsynsbegäran mail.docx", "A 27565-2024")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46224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46224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HYPERLINK("https://klasma.github.io/Logging_1904/artfynd/A 9491-2024 artfynd.xlsx", "A 9491-2024")</f>
        <v/>
      </c>
      <c r="X32">
        <f>HYPERLINK("https://klasma.github.io/Logging_1904/kartor/A 9491-2024 karta.png", "A 9491-2024")</f>
        <v/>
      </c>
      <c r="Y32">
        <f>HYPERLINK("https://klasma.github.io/Logging_1904/kartor_geotiff/A 9491-2024 georefererad karta.tif", "A 9491-2024")</f>
        <v/>
      </c>
      <c r="AA32">
        <f>HYPERLINK("https://klasma.github.io/Logging_1904/klagomål/A 9491-2024 FSC-klagomål.docx", "A 9491-2024")</f>
        <v/>
      </c>
      <c r="AB32">
        <f>HYPERLINK("https://klasma.github.io/Logging_1904/klagomålsmail/A 9491-2024 FSC-klagomål mail.docx", "A 9491-2024")</f>
        <v/>
      </c>
      <c r="AC32">
        <f>HYPERLINK("https://klasma.github.io/Logging_1904/tillsyn/A 9491-2024 tillsynsbegäran.docx", "A 9491-2024")</f>
        <v/>
      </c>
      <c r="AD32">
        <f>HYPERLINK("https://klasma.github.io/Logging_1904/tillsynsmail/A 9491-2024 tillsynsbegäran mail.docx", "A 9491-2024")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46224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26860-2026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46224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10.3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Kungsörn</t>
        </is>
      </c>
      <c r="W34">
        <f>HYPERLINK("https://klasma.github.io/Logging_1904/artfynd/A 26860-2026 artfynd.xlsx", "A 26860-2026")</f>
        <v/>
      </c>
      <c r="X34">
        <f>HYPERLINK("https://klasma.github.io/Logging_1904/kartor/A 26860-2026 karta.png", "A 26860-2026")</f>
        <v/>
      </c>
      <c r="Y34">
        <f>HYPERLINK("https://klasma.github.io/Logging_1904/kartor_geotiff/A 26860-2026 georefererad karta.tif", "A 26860-2026")</f>
        <v/>
      </c>
      <c r="AA34">
        <f>HYPERLINK("https://klasma.github.io/Logging_1904/klagomål/A 26860-2026 FSC-klagomål.docx", "A 26860-2026")</f>
        <v/>
      </c>
      <c r="AB34">
        <f>HYPERLINK("https://klasma.github.io/Logging_1904/klagomålsmail/A 26860-2026 FSC-klagomål mail.docx", "A 26860-2026")</f>
        <v/>
      </c>
      <c r="AC34">
        <f>HYPERLINK("https://klasma.github.io/Logging_1904/tillsyn/A 26860-2026 tillsynsbegäran.docx", "A 26860-2026")</f>
        <v/>
      </c>
      <c r="AD34">
        <f>HYPERLINK("https://klasma.github.io/Logging_1904/tillsynsmail/A 26860-2026 tillsynsbegäran mail.docx", "A 26860-2026")</f>
        <v/>
      </c>
      <c r="AE34">
        <f>HYPERLINK("https://klasma.github.io/Logging_1904/fåglar/A 26860-2026 prioriterade fågelarter.docx", "A 26860-2026")</f>
        <v/>
      </c>
    </row>
    <row r="35" ht="15" customHeight="1">
      <c r="A35" t="inlineStr">
        <is>
          <t>A 43413-2024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46224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Orange taggsvamp</t>
        </is>
      </c>
      <c r="W35">
        <f>HYPERLINK("https://klasma.github.io/Logging_1904/artfynd/A 43413-2024 artfynd.xlsx", "A 43413-2024")</f>
        <v/>
      </c>
      <c r="X35">
        <f>HYPERLINK("https://klasma.github.io/Logging_1904/kartor/A 43413-2024 karta.png", "A 43413-2024")</f>
        <v/>
      </c>
      <c r="Y35">
        <f>HYPERLINK("https://klasma.github.io/Logging_1904/kartor_geotiff/A 43413-2024 georefererad karta.tif", "A 43413-2024")</f>
        <v/>
      </c>
      <c r="AA35">
        <f>HYPERLINK("https://klasma.github.io/Logging_1904/klagomål/A 43413-2024 FSC-klagomål.docx", "A 43413-2024")</f>
        <v/>
      </c>
      <c r="AB35">
        <f>HYPERLINK("https://klasma.github.io/Logging_1904/klagomålsmail/A 43413-2024 FSC-klagomål mail.docx", "A 43413-2024")</f>
        <v/>
      </c>
      <c r="AC35">
        <f>HYPERLINK("https://klasma.github.io/Logging_1904/tillsyn/A 43413-2024 tillsynsbegäran.docx", "A 43413-2024")</f>
        <v/>
      </c>
      <c r="AD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46224</v>
      </c>
      <c r="F36" t="inlineStr">
        <is>
          <t>VÄSTMANLANDS LÄN</t>
        </is>
      </c>
      <c r="G36" t="inlineStr">
        <is>
          <t>SKINNSKATTEBERG</t>
        </is>
      </c>
      <c r="I36" t="n">
        <v>1.6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Knärot</t>
        </is>
      </c>
      <c r="W36">
        <f>HYPERLINK("https://klasma.github.io/Logging_1904/artfynd/A 23893-2023 artfynd.xlsx", "A 23893-2023")</f>
        <v/>
      </c>
      <c r="X36">
        <f>HYPERLINK("https://klasma.github.io/Logging_1904/kartor/A 23893-2023 karta.png", "A 23893-2023")</f>
        <v/>
      </c>
      <c r="Y36">
        <f>HYPERLINK("https://klasma.github.io/Logging_1904/kartor_geotiff/A 23893-2023 georefererad karta.tif", "A 23893-2023")</f>
        <v/>
      </c>
      <c r="Z36">
        <f>HYPERLINK("https://klasma.github.io/Logging_1904/knärot/A 23893-2023 karta knärot.png", "A 23893-2023")</f>
        <v/>
      </c>
      <c r="AA36">
        <f>HYPERLINK("https://klasma.github.io/Logging_1904/klagomål/A 23893-2023 FSC-klagomål.docx", "A 23893-2023")</f>
        <v/>
      </c>
      <c r="AB36">
        <f>HYPERLINK("https://klasma.github.io/Logging_1904/klagomålsmail/A 23893-2023 FSC-klagomål mail.docx", "A 23893-2023")</f>
        <v/>
      </c>
      <c r="AC36">
        <f>HYPERLINK("https://klasma.github.io/Logging_1904/tillsyn/A 23893-2023 tillsynsbegäran.docx", "A 23893-2023")</f>
        <v/>
      </c>
      <c r="AD36">
        <f>HYPERLINK("https://klasma.github.io/Logging_1904/tillsynsmail/A 23893-2023 tillsynsbegäran mail.docx", "A 23893-2023")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46224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46224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46224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46224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9490-2024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46224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9490-2024 artfynd.xlsx", "A 9490-2024")</f>
        <v/>
      </c>
      <c r="X41">
        <f>HYPERLINK("https://klasma.github.io/Logging_1904/kartor/A 9490-2024 karta.png", "A 9490-2024")</f>
        <v/>
      </c>
      <c r="Y41">
        <f>HYPERLINK("https://klasma.github.io/Logging_1904/kartor_geotiff/A 9490-2024 georefererad karta.tif", "A 9490-2024")</f>
        <v/>
      </c>
      <c r="AA41">
        <f>HYPERLINK("https://klasma.github.io/Logging_1904/klagomål/A 9490-2024 FSC-klagomål.docx", "A 9490-2024")</f>
        <v/>
      </c>
      <c r="AB41">
        <f>HYPERLINK("https://klasma.github.io/Logging_1904/klagomålsmail/A 9490-2024 FSC-klagomål mail.docx", "A 9490-2024")</f>
        <v/>
      </c>
      <c r="AC41">
        <f>HYPERLINK("https://klasma.github.io/Logging_1904/tillsyn/A 9490-2024 tillsynsbegäran.docx", "A 9490-2024")</f>
        <v/>
      </c>
      <c r="AD41">
        <f>HYPERLINK("https://klasma.github.io/Logging_1904/tillsynsmail/A 9490-2024 tillsynsbegäran mail.docx", "A 9490-2024")</f>
        <v/>
      </c>
      <c r="AE41">
        <f>HYPERLINK("https://klasma.github.io/Logging_1904/fåglar/A 9490-2024 prioriterade fågelarter.docx", "A 9490-2024")</f>
        <v/>
      </c>
    </row>
    <row r="42" ht="15" customHeight="1">
      <c r="A42" t="inlineStr">
        <is>
          <t>A 4000-2024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46224</v>
      </c>
      <c r="F42" t="inlineStr">
        <is>
          <t>VÄSTMANLANDS LÄN</t>
        </is>
      </c>
      <c r="G42" t="inlineStr">
        <is>
          <t>SKINNSKATTEBERG</t>
        </is>
      </c>
      <c r="I42" t="n">
        <v>14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Klasefibbla</t>
        </is>
      </c>
      <c r="W42">
        <f>HYPERLINK("https://klasma.github.io/Logging_1904/artfynd/A 4000-2024 artfynd.xlsx", "A 4000-2024")</f>
        <v/>
      </c>
      <c r="X42">
        <f>HYPERLINK("https://klasma.github.io/Logging_1904/kartor/A 4000-2024 karta.png", "A 4000-2024")</f>
        <v/>
      </c>
      <c r="Y42">
        <f>HYPERLINK("https://klasma.github.io/Logging_1904/kartor_geotiff/A 4000-2024 georefererad karta.tif", "A 4000-2024")</f>
        <v/>
      </c>
      <c r="AA42">
        <f>HYPERLINK("https://klasma.github.io/Logging_1904/klagomål/A 4000-2024 FSC-klagomål.docx", "A 4000-2024")</f>
        <v/>
      </c>
      <c r="AB42">
        <f>HYPERLINK("https://klasma.github.io/Logging_1904/klagomålsmail/A 4000-2024 FSC-klagomål mail.docx", "A 4000-2024")</f>
        <v/>
      </c>
      <c r="AC42">
        <f>HYPERLINK("https://klasma.github.io/Logging_1904/tillsyn/A 4000-2024 tillsynsbegäran.docx", "A 4000-2024")</f>
        <v/>
      </c>
      <c r="AD42">
        <f>HYPERLINK("https://klasma.github.io/Logging_1904/tillsynsmail/A 4000-2024 tillsynsbegäran mail.docx", "A 4000-2024")</f>
        <v/>
      </c>
    </row>
    <row r="43" ht="15" customHeight="1">
      <c r="A43" t="inlineStr">
        <is>
          <t>A 24944-2026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46224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8.4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24944-2026 artfynd.xlsx", "A 24944-2026")</f>
        <v/>
      </c>
      <c r="X43">
        <f>HYPERLINK("https://klasma.github.io/Logging_1904/kartor/A 24944-2026 karta.png", "A 24944-2026")</f>
        <v/>
      </c>
      <c r="Y43">
        <f>HYPERLINK("https://klasma.github.io/Logging_1904/kartor_geotiff/A 24944-2026 georefererad karta.tif", "A 24944-2026")</f>
        <v/>
      </c>
      <c r="AA43">
        <f>HYPERLINK("https://klasma.github.io/Logging_1904/klagomål/A 24944-2026 FSC-klagomål.docx", "A 24944-2026")</f>
        <v/>
      </c>
      <c r="AB43">
        <f>HYPERLINK("https://klasma.github.io/Logging_1904/klagomålsmail/A 24944-2026 FSC-klagomål mail.docx", "A 24944-2026")</f>
        <v/>
      </c>
      <c r="AC43">
        <f>HYPERLINK("https://klasma.github.io/Logging_1904/tillsyn/A 24944-2026 tillsynsbegäran.docx", "A 24944-2026")</f>
        <v/>
      </c>
      <c r="AD43">
        <f>HYPERLINK("https://klasma.github.io/Logging_1904/tillsynsmail/A 24944-2026 tillsynsbegäran mail.docx", "A 24944-2026")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46224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46224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46224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46224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46224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46224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16860-2022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44674</v>
      </c>
      <c r="E51" s="1" t="n">
        <v>46224</v>
      </c>
      <c r="F51" t="inlineStr">
        <is>
          <t>VÄSTMANLANDS LÄN</t>
        </is>
      </c>
      <c r="G51" t="inlineStr">
        <is>
          <t>SKINNSKATTEBERG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46224</v>
      </c>
      <c r="F52" t="inlineStr">
        <is>
          <t>VÄSTMANLANDS LÄN</t>
        </is>
      </c>
      <c r="G52" t="inlineStr">
        <is>
          <t>SKINNSKATTEBERG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46224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46224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46224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46224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46224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46224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46224</v>
      </c>
      <c r="F59" t="inlineStr">
        <is>
          <t>VÄSTMANLANDS LÄN</t>
        </is>
      </c>
      <c r="G59" t="inlineStr">
        <is>
          <t>SKINNSKATTEBERG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46224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46224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46224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46224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46224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46224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46224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46224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46224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46224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46224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45407</v>
      </c>
      <c r="E71" s="1" t="n">
        <v>46224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46224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46224</v>
      </c>
      <c r="F73" t="inlineStr">
        <is>
          <t>VÄSTMANLANDS LÄN</t>
        </is>
      </c>
      <c r="G73" t="inlineStr">
        <is>
          <t>SKINNSKATTEBERG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45058</v>
      </c>
      <c r="E74" s="1" t="n">
        <v>46224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46224</v>
      </c>
      <c r="F75" t="inlineStr">
        <is>
          <t>VÄSTMANLANDS LÄN</t>
        </is>
      </c>
      <c r="G75" t="inlineStr">
        <is>
          <t>SKINNSKATTEBERG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46224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46224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46224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46224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46224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46224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46224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45786</v>
      </c>
      <c r="E83" s="1" t="n">
        <v>46224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46224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45547</v>
      </c>
      <c r="E85" s="1" t="n">
        <v>46224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45480</v>
      </c>
      <c r="E86" s="1" t="n">
        <v>46224</v>
      </c>
      <c r="F86" t="inlineStr">
        <is>
          <t>VÄSTMANLANDS LÄN</t>
        </is>
      </c>
      <c r="G86" t="inlineStr">
        <is>
          <t>SKINNSKATTEBERG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46224</v>
      </c>
      <c r="F87" t="inlineStr">
        <is>
          <t>VÄSTMANLANDS LÄN</t>
        </is>
      </c>
      <c r="G87" t="inlineStr">
        <is>
          <t>SKINNSKATTEBERG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22285-2025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45786</v>
      </c>
      <c r="E88" s="1" t="n">
        <v>46224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46224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Kyrkan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45406</v>
      </c>
      <c r="E90" s="1" t="n">
        <v>46224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46224</v>
      </c>
      <c r="F91" t="inlineStr">
        <is>
          <t>VÄSTMANLANDS LÄN</t>
        </is>
      </c>
      <c r="G91" t="inlineStr">
        <is>
          <t>SKINNSKATTEBERG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45443</v>
      </c>
      <c r="E92" s="1" t="n">
        <v>46224</v>
      </c>
      <c r="F92" t="inlineStr">
        <is>
          <t>VÄSTMANLANDS LÄN</t>
        </is>
      </c>
      <c r="G92" t="inlineStr">
        <is>
          <t>SKINNSKATTEBERG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46224</v>
      </c>
      <c r="F93" t="inlineStr">
        <is>
          <t>VÄSTMANLANDS LÄN</t>
        </is>
      </c>
      <c r="G93" t="inlineStr">
        <is>
          <t>SKINNSKATTEBERG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46224</v>
      </c>
      <c r="F94" t="inlineStr">
        <is>
          <t>VÄSTMANLANDS LÄN</t>
        </is>
      </c>
      <c r="G94" t="inlineStr">
        <is>
          <t>SKINNSKATTEBERG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45527</v>
      </c>
      <c r="E95" s="1" t="n">
        <v>46224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31629-2024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45506</v>
      </c>
      <c r="E96" s="1" t="n">
        <v>46224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46224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60185-2022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44910</v>
      </c>
      <c r="E98" s="1" t="n">
        <v>46224</v>
      </c>
      <c r="F98" t="inlineStr">
        <is>
          <t>VÄSTMANLANDS LÄN</t>
        </is>
      </c>
      <c r="G98" t="inlineStr">
        <is>
          <t>SKINNSKATTEBERG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18161-2024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45420</v>
      </c>
      <c r="E99" s="1" t="n">
        <v>46224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46224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53145-2021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44468</v>
      </c>
      <c r="E101" s="1" t="n">
        <v>46224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46224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40776-2025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46224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46224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46224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40783-2025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46224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46224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53243-2021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44468</v>
      </c>
      <c r="E108" s="1" t="n">
        <v>46224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46224</v>
      </c>
      <c r="F109" t="inlineStr">
        <is>
          <t>VÄSTMANLANDS LÄN</t>
        </is>
      </c>
      <c r="G109" t="inlineStr">
        <is>
          <t>SKINNSKATTEBERG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46224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46224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Kyrkan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25846-2025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45804</v>
      </c>
      <c r="E112" s="1" t="n">
        <v>46224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45375</v>
      </c>
      <c r="E113" s="1" t="n">
        <v>46224</v>
      </c>
      <c r="F113" t="inlineStr">
        <is>
          <t>VÄSTMANLANDS LÄN</t>
        </is>
      </c>
      <c r="G113" t="inlineStr">
        <is>
          <t>SKINNSKATTEBERG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45250</v>
      </c>
      <c r="E114" s="1" t="n">
        <v>46224</v>
      </c>
      <c r="F114" t="inlineStr">
        <is>
          <t>VÄSTMANLANDS LÄN</t>
        </is>
      </c>
      <c r="G114" t="inlineStr">
        <is>
          <t>SKINNSKATTEBERG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45434</v>
      </c>
      <c r="E115" s="1" t="n">
        <v>46224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45247</v>
      </c>
      <c r="E116" s="1" t="n">
        <v>46224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46224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46224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46224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45480</v>
      </c>
      <c r="E120" s="1" t="n">
        <v>46224</v>
      </c>
      <c r="F120" t="inlineStr">
        <is>
          <t>VÄSTMANLANDS LÄN</t>
        </is>
      </c>
      <c r="G120" t="inlineStr">
        <is>
          <t>SKINNSKATTEBERG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46224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44184-2025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45915</v>
      </c>
      <c r="E122" s="1" t="n">
        <v>46224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46224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41581-2025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46224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46224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28831-2025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45820</v>
      </c>
      <c r="E126" s="1" t="n">
        <v>46224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46224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46224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46224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46224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28873-2025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45820</v>
      </c>
      <c r="E131" s="1" t="n">
        <v>46224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46224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46224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46224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29808-2025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45825</v>
      </c>
      <c r="E135" s="1" t="n">
        <v>46224</v>
      </c>
      <c r="F135" t="inlineStr">
        <is>
          <t>VÄSTMANLANDS LÄN</t>
        </is>
      </c>
      <c r="G135" t="inlineStr">
        <is>
          <t>SKINNSKATTEBERG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45686</v>
      </c>
      <c r="E136" s="1" t="n">
        <v>46224</v>
      </c>
      <c r="F136" t="inlineStr">
        <is>
          <t>VÄSTMANLANDS LÄN</t>
        </is>
      </c>
      <c r="G136" t="inlineStr">
        <is>
          <t>SKINNSKATTEBERG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46224</v>
      </c>
      <c r="F137" t="inlineStr">
        <is>
          <t>VÄSTMANLANDS LÄN</t>
        </is>
      </c>
      <c r="G137" t="inlineStr">
        <is>
          <t>SKINNSKATTEBERG</t>
        </is>
      </c>
      <c r="I137" t="n">
        <v>10.5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29810-2025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45825</v>
      </c>
      <c r="E138" s="1" t="n">
        <v>46224</v>
      </c>
      <c r="F138" t="inlineStr">
        <is>
          <t>VÄSTMANLANDS LÄN</t>
        </is>
      </c>
      <c r="G138" t="inlineStr">
        <is>
          <t>SKINNSKATTEBERG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46224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30439-2025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45827</v>
      </c>
      <c r="E140" s="1" t="n">
        <v>46224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46224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46224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46224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45832</v>
      </c>
      <c r="E144" s="1" t="n">
        <v>46224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45832</v>
      </c>
      <c r="E145" s="1" t="n">
        <v>46224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31234-2025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45832</v>
      </c>
      <c r="E146" s="1" t="n">
        <v>46224</v>
      </c>
      <c r="F146" t="inlineStr">
        <is>
          <t>VÄSTMANLANDS LÄN</t>
        </is>
      </c>
      <c r="G146" t="inlineStr">
        <is>
          <t>SKINNSKATTEBERG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45571</v>
      </c>
      <c r="E147" s="1" t="n">
        <v>46224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46224</v>
      </c>
      <c r="F148" t="inlineStr">
        <is>
          <t>VÄSTMANLANDS LÄN</t>
        </is>
      </c>
      <c r="G148" t="inlineStr">
        <is>
          <t>SKINNSKATTEBERG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46224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46224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46224</v>
      </c>
      <c r="F151" t="inlineStr">
        <is>
          <t>VÄSTMANLANDS LÄN</t>
        </is>
      </c>
      <c r="G151" t="inlineStr">
        <is>
          <t>SKINNSKATTEBERG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46224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45848</v>
      </c>
      <c r="E153" s="1" t="n">
        <v>46224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45947</v>
      </c>
      <c r="E154" s="1" t="n">
        <v>46224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45947</v>
      </c>
      <c r="E155" s="1" t="n">
        <v>46224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45853</v>
      </c>
      <c r="E156" s="1" t="n">
        <v>46224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46224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46224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46224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35205-2025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46224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45527</v>
      </c>
      <c r="E161" s="1" t="n">
        <v>46224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46224</v>
      </c>
      <c r="F162" t="inlineStr">
        <is>
          <t>VÄSTMANLANDS LÄN</t>
        </is>
      </c>
      <c r="G162" t="inlineStr">
        <is>
          <t>SKINNSKATTEBERG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46224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46224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44603</v>
      </c>
      <c r="E165" s="1" t="n">
        <v>46224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46224</v>
      </c>
      <c r="F166" t="inlineStr">
        <is>
          <t>VÄSTMANLANDS LÄN</t>
        </is>
      </c>
      <c r="G166" t="inlineStr">
        <is>
          <t>SKINNSKATTEBERG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46224</v>
      </c>
      <c r="F167" t="inlineStr">
        <is>
          <t>VÄSTMANLANDS LÄN</t>
        </is>
      </c>
      <c r="G167" t="inlineStr">
        <is>
          <t>SKINNSKATTEBERG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53132-2025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46224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46224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46224</v>
      </c>
      <c r="F170" t="inlineStr">
        <is>
          <t>VÄSTMANLANDS LÄN</t>
        </is>
      </c>
      <c r="G170" t="inlineStr">
        <is>
          <t>SKINNSKATTEBERG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46224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46224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46224</v>
      </c>
      <c r="F173" t="inlineStr">
        <is>
          <t>VÄSTMANLANDS LÄN</t>
        </is>
      </c>
      <c r="G173" t="inlineStr">
        <is>
          <t>SKINNSKATTEBERG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46224</v>
      </c>
      <c r="F174" t="inlineStr">
        <is>
          <t>VÄSTMANLANDS LÄN</t>
        </is>
      </c>
      <c r="G174" t="inlineStr">
        <is>
          <t>SKINNSKATTEBERG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57747-2023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45246</v>
      </c>
      <c r="E175" s="1" t="n">
        <v>46224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46224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46224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46224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46224</v>
      </c>
      <c r="F179" t="inlineStr">
        <is>
          <t>VÄSTMANLANDS LÄN</t>
        </is>
      </c>
      <c r="G179" t="inlineStr">
        <is>
          <t>SKINNSKATTEBERG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46224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46224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46224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46224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46224</v>
      </c>
      <c r="F184" t="inlineStr">
        <is>
          <t>VÄSTMANLANDS LÄN</t>
        </is>
      </c>
      <c r="G184" t="inlineStr">
        <is>
          <t>SKINNSKATTEBERG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46224</v>
      </c>
      <c r="F185" t="inlineStr">
        <is>
          <t>VÄSTMANLANDS LÄN</t>
        </is>
      </c>
      <c r="G185" t="inlineStr">
        <is>
          <t>SKINNSKATTEBERG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46224</v>
      </c>
      <c r="F186" t="inlineStr">
        <is>
          <t>VÄSTMANLANDS LÄN</t>
        </is>
      </c>
      <c r="G186" t="inlineStr">
        <is>
          <t>SKINNSKATTEBERG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45393</v>
      </c>
      <c r="E187" s="1" t="n">
        <v>46224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46224</v>
      </c>
      <c r="F188" t="inlineStr">
        <is>
          <t>VÄSTMANLANDS LÄN</t>
        </is>
      </c>
      <c r="G188" t="inlineStr">
        <is>
          <t>SKINNSKATTEBERG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46224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46224</v>
      </c>
      <c r="F190" t="inlineStr">
        <is>
          <t>VÄSTMANLANDS LÄN</t>
        </is>
      </c>
      <c r="G190" t="inlineStr">
        <is>
          <t>SKINNSKATTEBERG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46224</v>
      </c>
      <c r="F191" t="inlineStr">
        <is>
          <t>VÄSTMANLANDS LÄN</t>
        </is>
      </c>
      <c r="G191" t="inlineStr">
        <is>
          <t>SKINNSKATTEBERG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46224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46224</v>
      </c>
      <c r="F193" t="inlineStr">
        <is>
          <t>VÄSTMANLANDS LÄN</t>
        </is>
      </c>
      <c r="G193" t="inlineStr">
        <is>
          <t>SKINNSKATTEBERG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46224</v>
      </c>
      <c r="F194" t="inlineStr">
        <is>
          <t>VÄSTMANLANDS LÄN</t>
        </is>
      </c>
      <c r="G194" t="inlineStr">
        <is>
          <t>SKINNSKATTEBERG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45114</v>
      </c>
      <c r="E195" s="1" t="n">
        <v>46224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46224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46224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45571</v>
      </c>
      <c r="E198" s="1" t="n">
        <v>46224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45571</v>
      </c>
      <c r="E199" s="1" t="n">
        <v>46224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46224</v>
      </c>
      <c r="F200" t="inlineStr">
        <is>
          <t>VÄSTMANLANDS LÄN</t>
        </is>
      </c>
      <c r="G200" t="inlineStr">
        <is>
          <t>SKINNSKATTEBERG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20248-2024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45434</v>
      </c>
      <c r="E201" s="1" t="n">
        <v>46224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16729-2024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45410</v>
      </c>
      <c r="E202" s="1" t="n">
        <v>46224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5704-2026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46051</v>
      </c>
      <c r="E203" s="1" t="n">
        <v>46224</v>
      </c>
      <c r="F203" t="inlineStr">
        <is>
          <t>VÄSTMANLANDS LÄN</t>
        </is>
      </c>
      <c r="G203" t="inlineStr">
        <is>
          <t>SKINNSKATTEBERG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5693-2026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46051</v>
      </c>
      <c r="E204" s="1" t="n">
        <v>46224</v>
      </c>
      <c r="F204" t="inlineStr">
        <is>
          <t>VÄSTMANLANDS LÄN</t>
        </is>
      </c>
      <c r="G204" t="inlineStr">
        <is>
          <t>SKINNSKATTEBERG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46051</v>
      </c>
      <c r="E205" s="1" t="n">
        <v>46224</v>
      </c>
      <c r="F205" t="inlineStr">
        <is>
          <t>VÄSTMANLANDS LÄN</t>
        </is>
      </c>
      <c r="G205" t="inlineStr">
        <is>
          <t>SKINNSKATTEBERG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46224</v>
      </c>
      <c r="F206" t="inlineStr">
        <is>
          <t>VÄSTMANLANDS LÄN</t>
        </is>
      </c>
      <c r="G206" t="inlineStr">
        <is>
          <t>SKINNSKATTEBERG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46224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14237-2025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46224</v>
      </c>
      <c r="F208" t="inlineStr">
        <is>
          <t>VÄSTMANLANDS LÄN</t>
        </is>
      </c>
      <c r="G208" t="inlineStr">
        <is>
          <t>SKINNSKATTEBERG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46224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46224</v>
      </c>
      <c r="F210" t="inlineStr">
        <is>
          <t>VÄSTMANLANDS LÄN</t>
        </is>
      </c>
      <c r="G210" t="inlineStr">
        <is>
          <t>SKINNSKATTEBERG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46224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46224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Kyrkan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46224</v>
      </c>
      <c r="F213" t="inlineStr">
        <is>
          <t>VÄSTMANLANDS LÄN</t>
        </is>
      </c>
      <c r="G213" t="inlineStr">
        <is>
          <t>SKINNSKATTEBERG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25843-2023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45090</v>
      </c>
      <c r="E214" s="1" t="n">
        <v>46224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46224</v>
      </c>
      <c r="F215" t="inlineStr">
        <is>
          <t>VÄSTMANLANDS LÄN</t>
        </is>
      </c>
      <c r="G215" t="inlineStr">
        <is>
          <t>SKINNSKATTEBERG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46224</v>
      </c>
      <c r="F216" t="inlineStr">
        <is>
          <t>VÄSTMANLANDS LÄN</t>
        </is>
      </c>
      <c r="G216" t="inlineStr">
        <is>
          <t>SKINNSKATTEBERG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46224</v>
      </c>
      <c r="F217" t="inlineStr">
        <is>
          <t>VÄSTMANLANDS LÄN</t>
        </is>
      </c>
      <c r="G217" t="inlineStr">
        <is>
          <t>SKINNSKATTEBERG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46224</v>
      </c>
      <c r="F218" t="inlineStr">
        <is>
          <t>VÄSTMANLANDS LÄN</t>
        </is>
      </c>
      <c r="G218" t="inlineStr">
        <is>
          <t>SKINNSKATTEBERG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46224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46224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46224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46224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45177</v>
      </c>
      <c r="E223" s="1" t="n">
        <v>46224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46224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55428-2021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44475</v>
      </c>
      <c r="E225" s="1" t="n">
        <v>46224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53880-2021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46224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52600-2021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44466</v>
      </c>
      <c r="E227" s="1" t="n">
        <v>46224</v>
      </c>
      <c r="F227" t="inlineStr">
        <is>
          <t>VÄSTMANLANDS LÄN</t>
        </is>
      </c>
      <c r="G227" t="inlineStr">
        <is>
          <t>SKINNSKATTEBERG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53183-2021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44468</v>
      </c>
      <c r="E228" s="1" t="n">
        <v>46224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46224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46224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15955-2026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46108</v>
      </c>
      <c r="E231" s="1" t="n">
        <v>46224</v>
      </c>
      <c r="F231" t="inlineStr">
        <is>
          <t>VÄSTMANLANDS LÄN</t>
        </is>
      </c>
      <c r="G231" t="inlineStr">
        <is>
          <t>SKINNSKATTEBERG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46224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16136-2026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46108</v>
      </c>
      <c r="E233" s="1" t="n">
        <v>46224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46224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51508-2021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44462</v>
      </c>
      <c r="E235" s="1" t="n">
        <v>46224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45531</v>
      </c>
      <c r="E236" s="1" t="n">
        <v>46224</v>
      </c>
      <c r="F236" t="inlineStr">
        <is>
          <t>VÄSTMANLANDS LÄN</t>
        </is>
      </c>
      <c r="G236" t="inlineStr">
        <is>
          <t>SKINNSKATTEBERG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53142-2021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44468</v>
      </c>
      <c r="E237" s="1" t="n">
        <v>46224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46224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46224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46224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46224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46114</v>
      </c>
      <c r="E242" s="1" t="n">
        <v>46224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46119</v>
      </c>
      <c r="E243" s="1" t="n">
        <v>46224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46224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46122</v>
      </c>
      <c r="E245" s="1" t="n">
        <v>46224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45604</v>
      </c>
      <c r="E246" s="1" t="n">
        <v>46224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46124</v>
      </c>
      <c r="E247" s="1" t="n">
        <v>46224</v>
      </c>
      <c r="F247" t="inlineStr">
        <is>
          <t>VÄSTMANLANDS LÄN</t>
        </is>
      </c>
      <c r="G247" t="inlineStr">
        <is>
          <t>SKINNSKATTEBERG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46129</v>
      </c>
      <c r="E248" s="1" t="n">
        <v>46224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46224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49847-2021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44455</v>
      </c>
      <c r="E250" s="1" t="n">
        <v>46224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44803</v>
      </c>
      <c r="E251" s="1" t="n">
        <v>46224</v>
      </c>
      <c r="F251" t="inlineStr">
        <is>
          <t>VÄSTMANLANDS LÄN</t>
        </is>
      </c>
      <c r="G251" t="inlineStr">
        <is>
          <t>SKINNSKATTEBERG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19540-2026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46134</v>
      </c>
      <c r="E252" s="1" t="n">
        <v>46224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19541-2026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46134</v>
      </c>
      <c r="E253" s="1" t="n">
        <v>46224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19582-2026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46134</v>
      </c>
      <c r="E254" s="1" t="n">
        <v>46224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46224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45447</v>
      </c>
      <c r="E256" s="1" t="n">
        <v>46224</v>
      </c>
      <c r="F256" t="inlineStr">
        <is>
          <t>VÄSTMANLANDS LÄN</t>
        </is>
      </c>
      <c r="G256" t="inlineStr">
        <is>
          <t>SKINNSKATTEBERG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46224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46224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45056</v>
      </c>
      <c r="E259" s="1" t="n">
        <v>46224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46224</v>
      </c>
      <c r="F260" t="inlineStr">
        <is>
          <t>VÄSTMANLANDS LÄN</t>
        </is>
      </c>
      <c r="G260" t="inlineStr">
        <is>
          <t>SKINNSKATTEBERG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13713-2024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45390</v>
      </c>
      <c r="E261" s="1" t="n">
        <v>46224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46224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45447</v>
      </c>
      <c r="E263" s="1" t="n">
        <v>46224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46224</v>
      </c>
      <c r="F264" t="inlineStr">
        <is>
          <t>VÄSTMANLANDS LÄN</t>
        </is>
      </c>
      <c r="G264" t="inlineStr">
        <is>
          <t>SKINNSKATTEBERG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45485</v>
      </c>
      <c r="E265" s="1" t="n">
        <v>46224</v>
      </c>
      <c r="F265" t="inlineStr">
        <is>
          <t>VÄSTMANLANDS LÄN</t>
        </is>
      </c>
      <c r="G265" t="inlineStr">
        <is>
          <t>SKINNSKATTEBERG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46224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46224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46224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46224</v>
      </c>
      <c r="F269" t="inlineStr">
        <is>
          <t>VÄSTMANLANDS LÄN</t>
        </is>
      </c>
      <c r="G269" t="inlineStr">
        <is>
          <t>SKINNSKATTEBERG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46224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46224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47137-2024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46224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46224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46224</v>
      </c>
      <c r="F274" t="inlineStr">
        <is>
          <t>VÄSTMANLANDS LÄN</t>
        </is>
      </c>
      <c r="G274" t="inlineStr">
        <is>
          <t>SKINNSKATTEBERG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46224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20563-2026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46140</v>
      </c>
      <c r="E276" s="1" t="n">
        <v>46224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45096</v>
      </c>
      <c r="E277" s="1" t="n">
        <v>46224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40545-2023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45170</v>
      </c>
      <c r="E278" s="1" t="n">
        <v>46224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45558</v>
      </c>
      <c r="E279" s="1" t="n">
        <v>46224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26356-2026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46182</v>
      </c>
      <c r="E280" s="1" t="n">
        <v>46224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46224</v>
      </c>
      <c r="F281" t="inlineStr">
        <is>
          <t>VÄSTMANLANDS LÄN</t>
        </is>
      </c>
      <c r="G281" t="inlineStr">
        <is>
          <t>SKINNSKATTEBERG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46224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46224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20850-2026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46142</v>
      </c>
      <c r="E284" s="1" t="n">
        <v>46224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46224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46224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46224</v>
      </c>
      <c r="F287" t="inlineStr">
        <is>
          <t>VÄSTMANLANDS LÄN</t>
        </is>
      </c>
      <c r="G287" t="inlineStr">
        <is>
          <t>SKINNSKATTEBERG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46224</v>
      </c>
      <c r="F288" t="inlineStr">
        <is>
          <t>VÄSTMANLANDS LÄN</t>
        </is>
      </c>
      <c r="G288" t="inlineStr">
        <is>
          <t>SKINNSKATTEBERG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46224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46224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46224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38738-2021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44410</v>
      </c>
      <c r="E292" s="1" t="n">
        <v>46224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45082</v>
      </c>
      <c r="E293" s="1" t="n">
        <v>46224</v>
      </c>
      <c r="F293" t="inlineStr">
        <is>
          <t>VÄSTMANLANDS LÄN</t>
        </is>
      </c>
      <c r="G293" t="inlineStr">
        <is>
          <t>SKINNSKATTEBERG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61181-2021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44498</v>
      </c>
      <c r="E294" s="1" t="n">
        <v>46224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45128</v>
      </c>
      <c r="E295" s="1" t="n">
        <v>46224</v>
      </c>
      <c r="F295" t="inlineStr">
        <is>
          <t>VÄSTMANLANDS LÄN</t>
        </is>
      </c>
      <c r="G295" t="inlineStr">
        <is>
          <t>SKINNSKATTEBERG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46224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46224</v>
      </c>
      <c r="F297" t="inlineStr">
        <is>
          <t>VÄSTMANLANDS LÄN</t>
        </is>
      </c>
      <c r="G297" t="inlineStr">
        <is>
          <t>SKINNSKATTEBERG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46190</v>
      </c>
      <c r="E298" s="1" t="n">
        <v>46224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46224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46224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46224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46224</v>
      </c>
      <c r="F302" t="inlineStr">
        <is>
          <t>VÄSTMANLANDS LÄN</t>
        </is>
      </c>
      <c r="G302" t="inlineStr">
        <is>
          <t>SKINNSKATTEBERG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46224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46224</v>
      </c>
      <c r="F304" t="inlineStr">
        <is>
          <t>VÄSTMANLANDS LÄN</t>
        </is>
      </c>
      <c r="G304" t="inlineStr">
        <is>
          <t>SKINNSKATTEBERG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44965</v>
      </c>
      <c r="E305" s="1" t="n">
        <v>46224</v>
      </c>
      <c r="F305" t="inlineStr">
        <is>
          <t>VÄSTMANLANDS LÄN</t>
        </is>
      </c>
      <c r="G305" t="inlineStr">
        <is>
          <t>SKINNSKATTEBERG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46224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46195</v>
      </c>
      <c r="E307" s="1" t="n">
        <v>46224</v>
      </c>
      <c r="F307" t="inlineStr">
        <is>
          <t>VÄSTMANLANDS LÄN</t>
        </is>
      </c>
      <c r="G307" t="inlineStr">
        <is>
          <t>SKINNSKATTEBERG</t>
        </is>
      </c>
      <c r="I307" t="n">
        <v>8.5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46224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46224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45006</v>
      </c>
      <c r="E310" s="1" t="n">
        <v>46224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Allmännings- och besparingsskogar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46224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45385</v>
      </c>
      <c r="E312" s="1" t="n">
        <v>46224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46224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15561-2024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45401</v>
      </c>
      <c r="E314" s="1" t="n">
        <v>46224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46224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46224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46224</v>
      </c>
      <c r="F317" t="inlineStr">
        <is>
          <t>VÄSTMANLANDS LÄN</t>
        </is>
      </c>
      <c r="G317" t="inlineStr">
        <is>
          <t>SKINNSKATTEBERG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46224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46197</v>
      </c>
      <c r="E319" s="1" t="n">
        <v>46224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46224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45643</v>
      </c>
      <c r="E321" s="1" t="n">
        <v>46224</v>
      </c>
      <c r="F321" t="inlineStr">
        <is>
          <t>VÄSTMANLANDS LÄN</t>
        </is>
      </c>
      <c r="G321" t="inlineStr">
        <is>
          <t>SKINNSKATTEBERG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45435</v>
      </c>
      <c r="E322" s="1" t="n">
        <v>46224</v>
      </c>
      <c r="F322" t="inlineStr">
        <is>
          <t>VÄSTMANLANDS LÄN</t>
        </is>
      </c>
      <c r="G322" t="inlineStr">
        <is>
          <t>SKINNSKATTEBERG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46224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37210-2022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46224</v>
      </c>
      <c r="F324" t="inlineStr">
        <is>
          <t>VÄSTMANLANDS LÄN</t>
        </is>
      </c>
      <c r="G324" t="inlineStr">
        <is>
          <t>SKINNSKATTEBERG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22779-2026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46157</v>
      </c>
      <c r="E325" s="1" t="n">
        <v>46224</v>
      </c>
      <c r="F325" t="inlineStr">
        <is>
          <t>VÄSTMANLANDS LÄN</t>
        </is>
      </c>
      <c r="G325" t="inlineStr">
        <is>
          <t>SKINNSKATTEBERG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54657-2022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44883</v>
      </c>
      <c r="E326" s="1" t="n">
        <v>46224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46224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46224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29026-2026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46199</v>
      </c>
      <c r="E329" s="1" t="n">
        <v>46224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46224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66584-2021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46224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46224</v>
      </c>
      <c r="F332" t="inlineStr">
        <is>
          <t>VÄSTMANLANDS LÄN</t>
        </is>
      </c>
      <c r="G332" t="inlineStr">
        <is>
          <t>SKINNSKATTEBERG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58987-2023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46224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46224</v>
      </c>
      <c r="F334" t="inlineStr">
        <is>
          <t>VÄSTMANLANDS LÄN</t>
        </is>
      </c>
      <c r="G334" t="inlineStr">
        <is>
          <t>SKINNSKATTEBERG</t>
        </is>
      </c>
      <c r="I334" t="n">
        <v>17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46200</v>
      </c>
      <c r="E335" s="1" t="n">
        <v>46224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46200</v>
      </c>
      <c r="E336" s="1" t="n">
        <v>46224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46224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45306</v>
      </c>
      <c r="E338" s="1" t="n">
        <v>46224</v>
      </c>
      <c r="F338" t="inlineStr">
        <is>
          <t>VÄSTMANLANDS LÄN</t>
        </is>
      </c>
      <c r="G338" t="inlineStr">
        <is>
          <t>SKINNSKATTEBERG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46224</v>
      </c>
      <c r="F339" t="inlineStr">
        <is>
          <t>VÄSTMANLANDS LÄN</t>
        </is>
      </c>
      <c r="G339" t="inlineStr">
        <is>
          <t>SKINNSKATTEBERG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46224</v>
      </c>
      <c r="F340" t="inlineStr">
        <is>
          <t>VÄSTMANLANDS LÄN</t>
        </is>
      </c>
      <c r="G340" t="inlineStr">
        <is>
          <t>SKINNSKATTEBERG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46224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46224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46224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46224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46224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15184-2025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45744</v>
      </c>
      <c r="E346" s="1" t="n">
        <v>46224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45174</v>
      </c>
      <c r="E347" s="1" t="n">
        <v>46224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45555</v>
      </c>
      <c r="E348" s="1" t="n">
        <v>46224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46224</v>
      </c>
      <c r="F349" t="inlineStr">
        <is>
          <t>VÄSTMANLANDS LÄN</t>
        </is>
      </c>
      <c r="G349" t="inlineStr">
        <is>
          <t>SKINNSKATTEBERG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46224</v>
      </c>
      <c r="F350" t="inlineStr">
        <is>
          <t>VÄSTMANLANDS LÄN</t>
        </is>
      </c>
      <c r="G350" t="inlineStr">
        <is>
          <t>SKINNSKATTEBERG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46210</v>
      </c>
      <c r="E351" s="1" t="n">
        <v>46224</v>
      </c>
      <c r="F351" t="inlineStr">
        <is>
          <t>VÄSTMANLANDS LÄN</t>
        </is>
      </c>
      <c r="G351" t="inlineStr">
        <is>
          <t>SKINNSKATTEBERG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46224</v>
      </c>
      <c r="F352" t="inlineStr">
        <is>
          <t>VÄSTMANLANDS LÄN</t>
        </is>
      </c>
      <c r="G352" t="inlineStr">
        <is>
          <t>SKINNSKATTEBERG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45520</v>
      </c>
      <c r="E353" s="1" t="n">
        <v>46224</v>
      </c>
      <c r="F353" t="inlineStr">
        <is>
          <t>VÄSTMANLANDS LÄN</t>
        </is>
      </c>
      <c r="G353" t="inlineStr">
        <is>
          <t>SKINNSKATTEBERG</t>
        </is>
      </c>
      <c r="I353" t="n">
        <v>9.1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44713</v>
      </c>
      <c r="E354" s="1" t="n">
        <v>46224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46224</v>
      </c>
      <c r="F355" t="inlineStr">
        <is>
          <t>VÄSTMANLANDS LÄN</t>
        </is>
      </c>
      <c r="G355" t="inlineStr">
        <is>
          <t>SKINNSKATTEBERG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46224</v>
      </c>
      <c r="F356" t="inlineStr">
        <is>
          <t>VÄSTMANLANDS LÄN</t>
        </is>
      </c>
      <c r="G356" t="inlineStr">
        <is>
          <t>SKINNSKATTEBERG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40176-2024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45554</v>
      </c>
      <c r="E357" s="1" t="n">
        <v>46224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46224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46224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46224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45048</v>
      </c>
      <c r="E361" s="1" t="n">
        <v>46224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46224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46224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46224</v>
      </c>
      <c r="F364" t="inlineStr">
        <is>
          <t>VÄSTMANLANDS LÄN</t>
        </is>
      </c>
      <c r="G364" t="inlineStr">
        <is>
          <t>SKINNSKATTEBERG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45532</v>
      </c>
      <c r="E365" s="1" t="n">
        <v>46224</v>
      </c>
      <c r="F365" t="inlineStr">
        <is>
          <t>VÄSTMANLANDS LÄN</t>
        </is>
      </c>
      <c r="G365" t="inlineStr">
        <is>
          <t>SKINNSKATTEBERG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46224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45506</v>
      </c>
      <c r="E367" s="1" t="n">
        <v>46224</v>
      </c>
      <c r="F367" t="inlineStr">
        <is>
          <t>VÄSTMANLANDS LÄN</t>
        </is>
      </c>
      <c r="G367" t="inlineStr">
        <is>
          <t>SKINNSKATTEBERG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45686</v>
      </c>
      <c r="E368" s="1" t="n">
        <v>46224</v>
      </c>
      <c r="F368" t="inlineStr">
        <is>
          <t>VÄSTMANLANDS LÄN</t>
        </is>
      </c>
      <c r="G368" t="inlineStr">
        <is>
          <t>SKINNSKATTEBERG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46224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46224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14719-2023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45014</v>
      </c>
      <c r="E371" s="1" t="n">
        <v>46224</v>
      </c>
      <c r="F371" t="inlineStr">
        <is>
          <t>VÄSTMANLANDS LÄN</t>
        </is>
      </c>
      <c r="G371" t="inlineStr">
        <is>
          <t>SKINNSKATTEBERG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14736-2023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45014</v>
      </c>
      <c r="E372" s="1" t="n">
        <v>46224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46224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46177</v>
      </c>
      <c r="E374" s="1" t="n">
        <v>46224</v>
      </c>
      <c r="F374" t="inlineStr">
        <is>
          <t>VÄSTMANLANDS LÄN</t>
        </is>
      </c>
      <c r="G374" t="inlineStr">
        <is>
          <t>SKINNSKATTEBERG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46224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46224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46177</v>
      </c>
      <c r="E377" s="1" t="n">
        <v>46224</v>
      </c>
      <c r="F377" t="inlineStr">
        <is>
          <t>VÄSTMANLANDS LÄN</t>
        </is>
      </c>
      <c r="G377" t="inlineStr">
        <is>
          <t>SKINNSKATTEBERG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46224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40901-2021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44421</v>
      </c>
      <c r="E379" s="1" t="n">
        <v>46224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46224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48492-2024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45592</v>
      </c>
      <c r="E381" s="1" t="n">
        <v>46224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46224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46224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12158-2024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45377</v>
      </c>
      <c r="E384" s="1" t="n">
        <v>46224</v>
      </c>
      <c r="F384" t="inlineStr">
        <is>
          <t>VÄSTMANLANDS LÄN</t>
        </is>
      </c>
      <c r="G384" t="inlineStr">
        <is>
          <t>SKINNSKATTEBERG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46224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50980-2022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46224</v>
      </c>
      <c r="F386" t="inlineStr">
        <is>
          <t>VÄSTMANLANDS LÄN</t>
        </is>
      </c>
      <c r="G386" t="inlineStr">
        <is>
          <t>SKINNSKATTEBERG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46224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46224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46224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46224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46224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46224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46224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46224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46224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46224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46224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46224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2026-07-21T01:39:56Z</dcterms:created>
  <dcterms:modified xmlns:dcterms="http://purl.org/dc/terms/" xmlns:xsi="http://www.w3.org/2001/XMLSchema-instance" xsi:type="dcterms:W3CDTF">2026-07-21T01:39:56Z</dcterms:modified>
</cp:coreProperties>
</file>