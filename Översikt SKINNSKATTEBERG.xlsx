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46299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46299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46299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46299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46299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46299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46299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46299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46299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46299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46299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46299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18515-2024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46299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Plattlummer
Fläcknycklar
Revlummer</t>
        </is>
      </c>
      <c r="W17">
        <f>HYPERLINK("https://klasma.github.io/Logging_1904/artfynd/A 18515-2024 artfynd.xlsx", "A 18515-2024")</f>
        <v/>
      </c>
      <c r="X17">
        <f>HYPERLINK("https://klasma.github.io/Logging_1904/kartor/A 18515-2024 karta.png", "A 18515-2024")</f>
        <v/>
      </c>
      <c r="Y17">
        <f>HYPERLINK("https://klasma.github.io/Logging_1904/kartor_geotiff/A 18515-2024 georefererad karta.tif", "A 18515-2024")</f>
        <v/>
      </c>
      <c r="AA17">
        <f>HYPERLINK("https://klasma.github.io/Logging_1904/klagomål/A 18515-2024 FSC-klagomål.docx", "A 18515-2024")</f>
        <v/>
      </c>
      <c r="AB17">
        <f>HYPERLINK("https://klasma.github.io/Logging_1904/klagomålsmail/A 18515-2024 FSC-klagomål mail.docx", "A 18515-2024")</f>
        <v/>
      </c>
      <c r="AC17">
        <f>HYPERLINK("https://klasma.github.io/Logging_1904/tillsyn/A 18515-2024 tillsynsbegäran.docx", "A 18515-2024")</f>
        <v/>
      </c>
      <c r="AD17">
        <f>HYPERLINK("https://klasma.github.io/Logging_1904/tillsynsmail/A 18515-2024 tillsynsbegäran mail.docx", "A 18515-2024")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46299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46299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46299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46299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46299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46299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46299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46299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46299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46299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46299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57747-2023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45246</v>
      </c>
      <c r="E30" s="1" t="n">
        <v>46299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Myopa fasciata</t>
        </is>
      </c>
      <c r="W30">
        <f>HYPERLINK("https://klasma.github.io/Logging_1904/artfynd/A 57747-2023 artfynd.xlsx", "A 57747-2023")</f>
        <v/>
      </c>
      <c r="X30">
        <f>HYPERLINK("https://klasma.github.io/Logging_1904/kartor/A 57747-2023 karta.png", "A 57747-2023")</f>
        <v/>
      </c>
      <c r="Y30">
        <f>HYPERLINK("https://klasma.github.io/Logging_1904/kartor_geotiff/A 57747-2023 georefererad karta.tif", "A 57747-2023")</f>
        <v/>
      </c>
      <c r="AA30">
        <f>HYPERLINK("https://klasma.github.io/Logging_1904/klagomål/A 57747-2023 FSC-klagomål.docx", "A 57747-2023")</f>
        <v/>
      </c>
      <c r="AB30">
        <f>HYPERLINK("https://klasma.github.io/Logging_1904/klagomålsmail/A 57747-2023 FSC-klagomål mail.docx", "A 57747-2023")</f>
        <v/>
      </c>
      <c r="AC30">
        <f>HYPERLINK("https://klasma.github.io/Logging_1904/tillsyn/A 57747-2023 tillsynsbegäran.docx", "A 57747-2023")</f>
        <v/>
      </c>
      <c r="AD30">
        <f>HYPERLINK("https://klasma.github.io/Logging_1904/tillsynsmail/A 57747-2023 tillsynsbegäran mail.docx", "A 57747-2023")</f>
        <v/>
      </c>
    </row>
    <row r="31" ht="15" customHeight="1">
      <c r="A31" t="inlineStr">
        <is>
          <t>A 15734-2026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46107</v>
      </c>
      <c r="E31" s="1" t="n">
        <v>46299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Koppartaggsvamp</t>
        </is>
      </c>
      <c r="W31">
        <f>HYPERLINK("https://klasma.github.io/Logging_1904/artfynd/A 15734-2026 artfynd.xlsx", "A 15734-2026")</f>
        <v/>
      </c>
      <c r="X31">
        <f>HYPERLINK("https://klasma.github.io/Logging_1904/kartor/A 15734-2026 karta.png", "A 15734-2026")</f>
        <v/>
      </c>
      <c r="Y31">
        <f>HYPERLINK("https://klasma.github.io/Logging_1904/kartor_geotiff/A 15734-2026 georefererad karta.tif", "A 15734-2026")</f>
        <v/>
      </c>
      <c r="AA31">
        <f>HYPERLINK("https://klasma.github.io/Logging_1904/klagomål/A 15734-2026 FSC-klagomål.docx", "A 15734-2026")</f>
        <v/>
      </c>
      <c r="AB31">
        <f>HYPERLINK("https://klasma.github.io/Logging_1904/klagomålsmail/A 15734-2026 FSC-klagomål mail.docx", "A 15734-2026")</f>
        <v/>
      </c>
      <c r="AC31">
        <f>HYPERLINK("https://klasma.github.io/Logging_1904/tillsyn/A 15734-2026 tillsynsbegäran.docx", "A 15734-2026")</f>
        <v/>
      </c>
      <c r="AD31">
        <f>HYPERLINK("https://klasma.github.io/Logging_1904/tillsynsmail/A 15734-2026 tillsynsbegäran mail.docx", "A 15734-2026")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46299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Vedticka</t>
        </is>
      </c>
      <c r="W32">
        <f>HYPERLINK("https://klasma.github.io/Logging_1904/artfynd/A 57395-2025 artfynd.xlsx", "A 57395-2025")</f>
        <v/>
      </c>
      <c r="X32">
        <f>HYPERLINK("https://klasma.github.io/Logging_1904/kartor/A 57395-2025 karta.png", "A 57395-2025")</f>
        <v/>
      </c>
      <c r="Y32">
        <f>HYPERLINK("https://klasma.github.io/Logging_1904/kartor_geotiff/A 57395-2025 georefererad karta.tif", "A 57395-2025")</f>
        <v/>
      </c>
      <c r="AA32">
        <f>HYPERLINK("https://klasma.github.io/Logging_1904/klagomål/A 57395-2025 FSC-klagomål.docx", "A 57395-2025")</f>
        <v/>
      </c>
      <c r="AB32">
        <f>HYPERLINK("https://klasma.github.io/Logging_1904/klagomålsmail/A 57395-2025 FSC-klagomål mail.docx", "A 57395-2025")</f>
        <v/>
      </c>
      <c r="AC32">
        <f>HYPERLINK("https://klasma.github.io/Logging_1904/tillsyn/A 57395-2025 tillsynsbegäran.docx", "A 57395-2025")</f>
        <v/>
      </c>
      <c r="AD32">
        <f>HYPERLINK("https://klasma.github.io/Logging_1904/tillsynsmail/A 57395-2025 tillsynsbegäran mail.docx", "A 57395-2025")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46299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31006-2025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45832</v>
      </c>
      <c r="E34" s="1" t="n">
        <v>46299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HYPERLINK("https://klasma.github.io/Logging_1904/artfynd/A 31006-2025 artfynd.xlsx", "A 31006-2025")</f>
        <v/>
      </c>
      <c r="X34">
        <f>HYPERLINK("https://klasma.github.io/Logging_1904/kartor/A 31006-2025 karta.png", "A 31006-2025")</f>
        <v/>
      </c>
      <c r="Y34">
        <f>HYPERLINK("https://klasma.github.io/Logging_1904/kartor_geotiff/A 31006-2025 georefererad karta.tif", "A 31006-2025")</f>
        <v/>
      </c>
      <c r="AA34">
        <f>HYPERLINK("https://klasma.github.io/Logging_1904/klagomål/A 31006-2025 FSC-klagomål.docx", "A 31006-2025")</f>
        <v/>
      </c>
      <c r="AB34">
        <f>HYPERLINK("https://klasma.github.io/Logging_1904/klagomålsmail/A 31006-2025 FSC-klagomål mail.docx", "A 31006-2025")</f>
        <v/>
      </c>
      <c r="AC34">
        <f>HYPERLINK("https://klasma.github.io/Logging_1904/tillsyn/A 31006-2025 tillsynsbegäran.docx", "A 31006-2025")</f>
        <v/>
      </c>
      <c r="AD34">
        <f>HYPERLINK("https://klasma.github.io/Logging_1904/tillsynsmail/A 31006-2025 tillsynsbegäran mail.docx", "A 31006-2025")</f>
        <v/>
      </c>
      <c r="AE34">
        <f>HYPERLINK("https://klasma.github.io/Logging_1904/fåglar/A 31006-2025 prioriterade fågelarter.docx", "A 31006-2025")</f>
        <v/>
      </c>
    </row>
    <row r="35" ht="15" customHeight="1">
      <c r="A35" t="inlineStr">
        <is>
          <t>A 19205-2024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46299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Järpe</t>
        </is>
      </c>
      <c r="W35">
        <f>HYPERLINK("https://klasma.github.io/Logging_1904/artfynd/A 19205-2024 artfynd.xlsx", "A 19205-2024")</f>
        <v/>
      </c>
      <c r="X35">
        <f>HYPERLINK("https://klasma.github.io/Logging_1904/kartor/A 19205-2024 karta.png", "A 19205-2024")</f>
        <v/>
      </c>
      <c r="Y35">
        <f>HYPERLINK("https://klasma.github.io/Logging_1904/kartor_geotiff/A 19205-2024 georefererad karta.tif", "A 19205-2024")</f>
        <v/>
      </c>
      <c r="AA35">
        <f>HYPERLINK("https://klasma.github.io/Logging_1904/klagomål/A 19205-2024 FSC-klagomål.docx", "A 19205-2024")</f>
        <v/>
      </c>
      <c r="AB35">
        <f>HYPERLINK("https://klasma.github.io/Logging_1904/klagomålsmail/A 19205-2024 FSC-klagomål mail.docx", "A 19205-2024")</f>
        <v/>
      </c>
      <c r="AC35">
        <f>HYPERLINK("https://klasma.github.io/Logging_1904/tillsyn/A 19205-2024 tillsynsbegäran.docx", "A 19205-2024")</f>
        <v/>
      </c>
      <c r="AD35">
        <f>HYPERLINK("https://klasma.github.io/Logging_1904/tillsynsmail/A 19205-2024 tillsynsbegäran mail.docx", "A 19205-2024")</f>
        <v/>
      </c>
      <c r="AE35">
        <f>HYPERLINK("https://klasma.github.io/Logging_1904/fåglar/A 19205-2024 prioriterade fågelarter.docx", "A 19205-2024")</f>
        <v/>
      </c>
    </row>
    <row r="36" ht="15" customHeight="1">
      <c r="A36" t="inlineStr">
        <is>
          <t>A 20559-2026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46299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0.3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HYPERLINK("https://klasma.github.io/Logging_1904/artfynd/A 20559-2026 artfynd.xlsx", "A 20559-2026")</f>
        <v/>
      </c>
      <c r="X36">
        <f>HYPERLINK("https://klasma.github.io/Logging_1904/kartor/A 20559-2026 karta.png", "A 20559-2026")</f>
        <v/>
      </c>
      <c r="Y36">
        <f>HYPERLINK("https://klasma.github.io/Logging_1904/kartor_geotiff/A 20559-2026 georefererad karta.tif", "A 20559-2026")</f>
        <v/>
      </c>
      <c r="AA36">
        <f>HYPERLINK("https://klasma.github.io/Logging_1904/klagomål/A 20559-2026 FSC-klagomål.docx", "A 20559-2026")</f>
        <v/>
      </c>
      <c r="AB36">
        <f>HYPERLINK("https://klasma.github.io/Logging_1904/klagomålsmail/A 20559-2026 FSC-klagomål mail.docx", "A 20559-2026")</f>
        <v/>
      </c>
      <c r="AC36">
        <f>HYPERLINK("https://klasma.github.io/Logging_1904/tillsyn/A 20559-2026 tillsynsbegäran.docx", "A 20559-2026")</f>
        <v/>
      </c>
      <c r="AD36">
        <f>HYPERLINK("https://klasma.github.io/Logging_1904/tillsynsmail/A 20559-2026 tillsynsbegäran mail.docx", "A 20559-2026")</f>
        <v/>
      </c>
      <c r="AE36">
        <f>HYPERLINK("https://klasma.github.io/Logging_1904/fåglar/A 20559-2026 prioriterade fågelarter.docx", "A 20559-2026")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46299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24492-2026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46299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24492-2026 artfynd.xlsx", "A 24492-2026")</f>
        <v/>
      </c>
      <c r="X38">
        <f>HYPERLINK("https://klasma.github.io/Logging_1904/kartor/A 24492-2026 karta.png", "A 24492-2026")</f>
        <v/>
      </c>
      <c r="Y38">
        <f>HYPERLINK("https://klasma.github.io/Logging_1904/kartor_geotiff/A 24492-2026 georefererad karta.tif", "A 24492-2026")</f>
        <v/>
      </c>
      <c r="AA38">
        <f>HYPERLINK("https://klasma.github.io/Logging_1904/klagomål/A 24492-2026 FSC-klagomål.docx", "A 24492-2026")</f>
        <v/>
      </c>
      <c r="AB38">
        <f>HYPERLINK("https://klasma.github.io/Logging_1904/klagomålsmail/A 24492-2026 FSC-klagomål mail.docx", "A 24492-2026")</f>
        <v/>
      </c>
      <c r="AC38">
        <f>HYPERLINK("https://klasma.github.io/Logging_1904/tillsyn/A 24492-2026 tillsynsbegäran.docx", "A 24492-2026")</f>
        <v/>
      </c>
      <c r="AD38">
        <f>HYPERLINK("https://klasma.github.io/Logging_1904/tillsynsmail/A 24492-2026 tillsynsbegäran mail.docx", "A 24492-2026")</f>
        <v/>
      </c>
      <c r="AE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46299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8.4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HYPERLINK("https://klasma.github.io/Logging_1904/artfynd/A 24944-2026 artfynd.xlsx", "A 24944-2026")</f>
        <v/>
      </c>
      <c r="X39">
        <f>HYPERLINK("https://klasma.github.io/Logging_1904/kartor/A 24944-2026 karta.png", "A 24944-2026")</f>
        <v/>
      </c>
      <c r="Y39">
        <f>HYPERLINK("https://klasma.github.io/Logging_1904/kartor_geotiff/A 24944-2026 georefererad karta.tif", "A 24944-2026")</f>
        <v/>
      </c>
      <c r="AA39">
        <f>HYPERLINK("https://klasma.github.io/Logging_1904/klagomål/A 24944-2026 FSC-klagomål.docx", "A 24944-2026")</f>
        <v/>
      </c>
      <c r="AB39">
        <f>HYPERLINK("https://klasma.github.io/Logging_1904/klagomålsmail/A 24944-2026 FSC-klagomål mail.docx", "A 24944-2026")</f>
        <v/>
      </c>
      <c r="AC39">
        <f>HYPERLINK("https://klasma.github.io/Logging_1904/tillsyn/A 24944-2026 tillsynsbegäran.docx", "A 24944-2026")</f>
        <v/>
      </c>
      <c r="AD39">
        <f>HYPERLINK("https://klasma.github.io/Logging_1904/tillsynsmail/A 24944-2026 tillsynsbegäran mail.docx", "A 24944-2026")</f>
        <v/>
      </c>
    </row>
    <row r="40" ht="15" customHeight="1">
      <c r="A40" t="inlineStr">
        <is>
          <t>A 26860-2026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46299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10.3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HYPERLINK("https://klasma.github.io/Logging_1904/artfynd/A 26860-2026 artfynd.xlsx", "A 26860-2026")</f>
        <v/>
      </c>
      <c r="X40">
        <f>HYPERLINK("https://klasma.github.io/Logging_1904/kartor/A 26860-2026 karta.png", "A 26860-2026")</f>
        <v/>
      </c>
      <c r="Y40">
        <f>HYPERLINK("https://klasma.github.io/Logging_1904/kartor_geotiff/A 26860-2026 georefererad karta.tif", "A 26860-2026")</f>
        <v/>
      </c>
      <c r="AA40">
        <f>HYPERLINK("https://klasma.github.io/Logging_1904/klagomål/A 26860-2026 FSC-klagomål.docx", "A 26860-2026")</f>
        <v/>
      </c>
      <c r="AB40">
        <f>HYPERLINK("https://klasma.github.io/Logging_1904/klagomålsmail/A 26860-2026 FSC-klagomål mail.docx", "A 26860-2026")</f>
        <v/>
      </c>
      <c r="AC40">
        <f>HYPERLINK("https://klasma.github.io/Logging_1904/tillsyn/A 26860-2026 tillsynsbegäran.docx", "A 26860-2026")</f>
        <v/>
      </c>
      <c r="AD40">
        <f>HYPERLINK("https://klasma.github.io/Logging_1904/tillsynsmail/A 26860-2026 tillsynsbegäran mail.docx", "A 26860-2026")</f>
        <v/>
      </c>
      <c r="AE40">
        <f>HYPERLINK("https://klasma.github.io/Logging_1904/fåglar/A 26860-2026 prioriterade fågelarter.docx", "A 26860-2026")</f>
        <v/>
      </c>
    </row>
    <row r="41" ht="15" customHeight="1">
      <c r="A41" t="inlineStr">
        <is>
          <t>A 27565-2024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45474</v>
      </c>
      <c r="E41" s="1" t="n">
        <v>46299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husmossa</t>
        </is>
      </c>
      <c r="W41">
        <f>HYPERLINK("https://klasma.github.io/Logging_1904/artfynd/A 27565-2024 artfynd.xlsx", "A 27565-2024")</f>
        <v/>
      </c>
      <c r="X41">
        <f>HYPERLINK("https://klasma.github.io/Logging_1904/kartor/A 27565-2024 karta.png", "A 27565-2024")</f>
        <v/>
      </c>
      <c r="Y41">
        <f>HYPERLINK("https://klasma.github.io/Logging_1904/kartor_geotiff/A 27565-2024 georefererad karta.tif", "A 27565-2024")</f>
        <v/>
      </c>
      <c r="AA41">
        <f>HYPERLINK("https://klasma.github.io/Logging_1904/klagomål/A 27565-2024 FSC-klagomål.docx", "A 27565-2024")</f>
        <v/>
      </c>
      <c r="AB41">
        <f>HYPERLINK("https://klasma.github.io/Logging_1904/klagomålsmail/A 27565-2024 FSC-klagomål mail.docx", "A 27565-2024")</f>
        <v/>
      </c>
      <c r="AC41">
        <f>HYPERLINK("https://klasma.github.io/Logging_1904/tillsyn/A 27565-2024 tillsynsbegäran.docx", "A 27565-2024")</f>
        <v/>
      </c>
      <c r="AD41">
        <f>HYPERLINK("https://klasma.github.io/Logging_1904/tillsynsmail/A 27565-2024 tillsynsbegäran mail.docx", "A 27565-2024")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46299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HYPERLINK("https://klasma.github.io/Logging_1904/artfynd/A 30579-2026 artfynd.xlsx", "A 30579-2026")</f>
        <v/>
      </c>
      <c r="X42">
        <f>HYPERLINK("https://klasma.github.io/Logging_1904/kartor/A 30579-2026 karta.png", "A 30579-2026")</f>
        <v/>
      </c>
      <c r="Y42">
        <f>HYPERLINK("https://klasma.github.io/Logging_1904/kartor_geotiff/A 30579-2026 georefererad karta.tif", "A 30579-2026")</f>
        <v/>
      </c>
      <c r="AA42">
        <f>HYPERLINK("https://klasma.github.io/Logging_1904/klagomål/A 30579-2026 FSC-klagomål.docx", "A 30579-2026")</f>
        <v/>
      </c>
      <c r="AB42">
        <f>HYPERLINK("https://klasma.github.io/Logging_1904/klagomålsmail/A 30579-2026 FSC-klagomål mail.docx", "A 30579-2026")</f>
        <v/>
      </c>
      <c r="AC42">
        <f>HYPERLINK("https://klasma.github.io/Logging_1904/tillsyn/A 30579-2026 tillsynsbegäran.docx", "A 30579-2026")</f>
        <v/>
      </c>
      <c r="AD42">
        <f>HYPERLINK("https://klasma.github.io/Logging_1904/tillsynsmail/A 30579-2026 tillsynsbegäran mail.docx", "A 30579-2026")</f>
        <v/>
      </c>
    </row>
    <row r="43" ht="15" customHeight="1">
      <c r="A43" t="inlineStr">
        <is>
          <t>A 35371-2026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46299</v>
      </c>
      <c r="F43" t="inlineStr">
        <is>
          <t>VÄSTMANLANDS LÄN</t>
        </is>
      </c>
      <c r="G43" t="inlineStr">
        <is>
          <t>SKINNSKATTEBERG</t>
        </is>
      </c>
      <c r="I43" t="n">
        <v>1.3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HYPERLINK("https://klasma.github.io/Logging_1904/artfynd/A 35371-2026 artfynd.xlsx", "A 35371-2026")</f>
        <v/>
      </c>
      <c r="X43">
        <f>HYPERLINK("https://klasma.github.io/Logging_1904/kartor/A 35371-2026 karta.png", "A 35371-2026")</f>
        <v/>
      </c>
      <c r="Y43">
        <f>HYPERLINK("https://klasma.github.io/Logging_1904/kartor_geotiff/A 35371-2026 georefererad karta.tif", "A 35371-2026")</f>
        <v/>
      </c>
      <c r="AA43">
        <f>HYPERLINK("https://klasma.github.io/Logging_1904/klagomål/A 35371-2026 FSC-klagomål.docx", "A 35371-2026")</f>
        <v/>
      </c>
      <c r="AB43">
        <f>HYPERLINK("https://klasma.github.io/Logging_1904/klagomålsmail/A 35371-2026 FSC-klagomål mail.docx", "A 35371-2026")</f>
        <v/>
      </c>
      <c r="AC43">
        <f>HYPERLINK("https://klasma.github.io/Logging_1904/tillsyn/A 35371-2026 tillsynsbegäran.docx", "A 35371-2026")</f>
        <v/>
      </c>
      <c r="AD43">
        <f>HYPERLINK("https://klasma.github.io/Logging_1904/tillsynsmail/A 35371-2026 tillsynsbegäran mail.docx", "A 35371-2026")</f>
        <v/>
      </c>
      <c r="AE43">
        <f>HYPERLINK("https://klasma.github.io/Logging_1904/fåglar/A 35371-2026 prioriterade fågelarter.docx", "A 35371-2026")</f>
        <v/>
      </c>
    </row>
    <row r="44" ht="15" customHeight="1">
      <c r="A44" t="inlineStr">
        <is>
          <t>A 36263-2026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46299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Lopplummer (aggregat)</t>
        </is>
      </c>
      <c r="W44">
        <f>HYPERLINK("https://klasma.github.io/Logging_1904/artfynd/A 36263-2026 artfynd.xlsx", "A 36263-2026")</f>
        <v/>
      </c>
      <c r="X44">
        <f>HYPERLINK("https://klasma.github.io/Logging_1904/kartor/A 36263-2026 karta.png", "A 36263-2026")</f>
        <v/>
      </c>
      <c r="Y44">
        <f>HYPERLINK("https://klasma.github.io/Logging_1904/kartor_geotiff/A 36263-2026 georefererad karta.tif", "A 36263-2026")</f>
        <v/>
      </c>
      <c r="AA44">
        <f>HYPERLINK("https://klasma.github.io/Logging_1904/klagomål/A 36263-2026 FSC-klagomål.docx", "A 36263-2026")</f>
        <v/>
      </c>
      <c r="AB44">
        <f>HYPERLINK("https://klasma.github.io/Logging_1904/klagomålsmail/A 36263-2026 FSC-klagomål mail.docx", "A 36263-2026")</f>
        <v/>
      </c>
      <c r="AC44">
        <f>HYPERLINK("https://klasma.github.io/Logging_1904/tillsyn/A 36263-2026 tillsynsbegäran.docx", "A 36263-2026")</f>
        <v/>
      </c>
      <c r="AD44">
        <f>HYPERLINK("https://klasma.github.io/Logging_1904/tillsynsmail/A 36263-2026 tillsynsbegäran mail.docx", "A 36263-2026")</f>
        <v/>
      </c>
    </row>
    <row r="45" ht="15" customHeight="1">
      <c r="A45" t="inlineStr">
        <is>
          <t>A 37900-2026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9.199999999999999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37900-2026 artfynd.xlsx", "A 37900-2026")</f>
        <v/>
      </c>
      <c r="X45">
        <f>HYPERLINK("https://klasma.github.io/Logging_1904/kartor/A 37900-2026 karta.png", "A 37900-2026")</f>
        <v/>
      </c>
      <c r="Y45">
        <f>HYPERLINK("https://klasma.github.io/Logging_1904/kartor_geotiff/A 37900-2026 georefererad karta.tif", "A 37900-2026")</f>
        <v/>
      </c>
      <c r="AA45">
        <f>HYPERLINK("https://klasma.github.io/Logging_1904/klagomål/A 37900-2026 FSC-klagomål.docx", "A 37900-2026")</f>
        <v/>
      </c>
      <c r="AB45">
        <f>HYPERLINK("https://klasma.github.io/Logging_1904/klagomålsmail/A 37900-2026 FSC-klagomål mail.docx", "A 37900-2026")</f>
        <v/>
      </c>
      <c r="AC45">
        <f>HYPERLINK("https://klasma.github.io/Logging_1904/tillsyn/A 37900-2026 tillsynsbegäran.docx", "A 37900-2026")</f>
        <v/>
      </c>
      <c r="AD45">
        <f>HYPERLINK("https://klasma.github.io/Logging_1904/tillsynsmail/A 37900-2026 tillsynsbegäran mail.docx", "A 37900-2026")</f>
        <v/>
      </c>
      <c r="AE45">
        <f>HYPERLINK("https://klasma.github.io/Logging_1904/fåglar/A 37900-2026 prioriterade fågelarter.docx", "A 37900-2026")</f>
        <v/>
      </c>
    </row>
    <row r="46" ht="15" customHeight="1">
      <c r="A46" t="inlineStr">
        <is>
          <t>A 9491-2024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46299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Skogshare</t>
        </is>
      </c>
      <c r="W46">
        <f>HYPERLINK("https://klasma.github.io/Logging_1904/artfynd/A 9491-2024 artfynd.xlsx", "A 9491-2024")</f>
        <v/>
      </c>
      <c r="X46">
        <f>HYPERLINK("https://klasma.github.io/Logging_1904/kartor/A 9491-2024 karta.png", "A 9491-2024")</f>
        <v/>
      </c>
      <c r="Y46">
        <f>HYPERLINK("https://klasma.github.io/Logging_1904/kartor_geotiff/A 9491-2024 georefererad karta.tif", "A 9491-2024")</f>
        <v/>
      </c>
      <c r="AA46">
        <f>HYPERLINK("https://klasma.github.io/Logging_1904/klagomål/A 9491-2024 FSC-klagomål.docx", "A 9491-2024")</f>
        <v/>
      </c>
      <c r="AB46">
        <f>HYPERLINK("https://klasma.github.io/Logging_1904/klagomålsmail/A 9491-2024 FSC-klagomål mail.docx", "A 9491-2024")</f>
        <v/>
      </c>
      <c r="AC46">
        <f>HYPERLINK("https://klasma.github.io/Logging_1904/tillsyn/A 9491-2024 tillsynsbegäran.docx", "A 9491-2024")</f>
        <v/>
      </c>
      <c r="AD46">
        <f>HYPERLINK("https://klasma.github.io/Logging_1904/tillsynsmail/A 9491-2024 tillsynsbegäran mail.docx", "A 9491-2024")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46299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46299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43413-2024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46299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Orange taggsvamp</t>
        </is>
      </c>
      <c r="W49">
        <f>HYPERLINK("https://klasma.github.io/Logging_1904/artfynd/A 43413-2024 artfynd.xlsx", "A 43413-2024")</f>
        <v/>
      </c>
      <c r="X49">
        <f>HYPERLINK("https://klasma.github.io/Logging_1904/kartor/A 43413-2024 karta.png", "A 43413-2024")</f>
        <v/>
      </c>
      <c r="Y49">
        <f>HYPERLINK("https://klasma.github.io/Logging_1904/kartor_geotiff/A 43413-2024 georefererad karta.tif", "A 43413-2024")</f>
        <v/>
      </c>
      <c r="AA49">
        <f>HYPERLINK("https://klasma.github.io/Logging_1904/klagomål/A 43413-2024 FSC-klagomål.docx", "A 43413-2024")</f>
        <v/>
      </c>
      <c r="AB49">
        <f>HYPERLINK("https://klasma.github.io/Logging_1904/klagomålsmail/A 43413-2024 FSC-klagomål mail.docx", "A 43413-2024")</f>
        <v/>
      </c>
      <c r="AC49">
        <f>HYPERLINK("https://klasma.github.io/Logging_1904/tillsyn/A 43413-2024 tillsynsbegäran.docx", "A 43413-2024")</f>
        <v/>
      </c>
      <c r="AD49">
        <f>HYPERLINK("https://klasma.github.io/Logging_1904/tillsynsmail/A 43413-2024 tillsynsbegäran mail.docx", "A 43413-2024")</f>
        <v/>
      </c>
    </row>
    <row r="50" ht="15" customHeight="1">
      <c r="A50" t="inlineStr">
        <is>
          <t>A 23893-2023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45078</v>
      </c>
      <c r="E50" s="1" t="n">
        <v>46299</v>
      </c>
      <c r="F50" t="inlineStr">
        <is>
          <t>VÄSTMANLANDS LÄN</t>
        </is>
      </c>
      <c r="G50" t="inlineStr">
        <is>
          <t>SKINNSKATTEBERG</t>
        </is>
      </c>
      <c r="I50" t="n">
        <v>1.6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Knärot</t>
        </is>
      </c>
      <c r="W50">
        <f>HYPERLINK("https://klasma.github.io/Logging_1904/artfynd/A 23893-2023 artfynd.xlsx", "A 23893-2023")</f>
        <v/>
      </c>
      <c r="X50">
        <f>HYPERLINK("https://klasma.github.io/Logging_1904/kartor/A 23893-2023 karta.png", "A 23893-2023")</f>
        <v/>
      </c>
      <c r="Y50">
        <f>HYPERLINK("https://klasma.github.io/Logging_1904/kartor_geotiff/A 23893-2023 georefererad karta.tif", "A 23893-2023")</f>
        <v/>
      </c>
      <c r="Z50">
        <f>HYPERLINK("https://klasma.github.io/Logging_1904/knärot/A 23893-2023 karta knärot.png", "A 23893-2023")</f>
        <v/>
      </c>
      <c r="AA50">
        <f>HYPERLINK("https://klasma.github.io/Logging_1904/klagomål/A 23893-2023 FSC-klagomål.docx", "A 23893-2023")</f>
        <v/>
      </c>
      <c r="AB50">
        <f>HYPERLINK("https://klasma.github.io/Logging_1904/klagomålsmail/A 23893-2023 FSC-klagomål mail.docx", "A 23893-2023")</f>
        <v/>
      </c>
      <c r="AC50">
        <f>HYPERLINK("https://klasma.github.io/Logging_1904/tillsyn/A 23893-2023 tillsynsbegäran.docx", "A 23893-2023")</f>
        <v/>
      </c>
      <c r="AD50">
        <f>HYPERLINK("https://klasma.github.io/Logging_1904/tillsynsmail/A 23893-2023 tillsynsbegäran mail.docx", "A 23893-2023")</f>
        <v/>
      </c>
    </row>
    <row r="51" ht="15" customHeight="1">
      <c r="A51" t="inlineStr">
        <is>
          <t>A 33435-2024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45519</v>
      </c>
      <c r="E51" s="1" t="n">
        <v>46299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HYPERLINK("https://klasma.github.io/Logging_1904/artfynd/A 33435-2024 artfynd.xlsx", "A 33435-2024")</f>
        <v/>
      </c>
      <c r="X51">
        <f>HYPERLINK("https://klasma.github.io/Logging_1904/kartor/A 33435-2024 karta.png", "A 33435-2024")</f>
        <v/>
      </c>
      <c r="Y51">
        <f>HYPERLINK("https://klasma.github.io/Logging_1904/kartor_geotiff/A 33435-2024 georefererad karta.tif", "A 33435-2024")</f>
        <v/>
      </c>
      <c r="AA51">
        <f>HYPERLINK("https://klasma.github.io/Logging_1904/klagomål/A 33435-2024 FSC-klagomål.docx", "A 33435-2024")</f>
        <v/>
      </c>
      <c r="AB51">
        <f>HYPERLINK("https://klasma.github.io/Logging_1904/klagomålsmail/A 33435-2024 FSC-klagomål mail.docx", "A 33435-2024")</f>
        <v/>
      </c>
      <c r="AC51">
        <f>HYPERLINK("https://klasma.github.io/Logging_1904/tillsyn/A 33435-2024 tillsynsbegäran.docx", "A 33435-2024")</f>
        <v/>
      </c>
      <c r="AD51">
        <f>HYPERLINK("https://klasma.github.io/Logging_1904/tillsynsmail/A 33435-2024 tillsynsbegäran mail.docx", "A 33435-2024")</f>
        <v/>
      </c>
      <c r="AE51">
        <f>HYPERLINK("https://klasma.github.io/Logging_1904/fåglar/A 33435-2024 prioriterade fågelarter.docx", "A 33435-2024")</f>
        <v/>
      </c>
    </row>
    <row r="52" ht="15" customHeight="1">
      <c r="A52" t="inlineStr">
        <is>
          <t>A 12024-2023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44995</v>
      </c>
      <c r="E52" s="1" t="n">
        <v>46299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Skogsklocka</t>
        </is>
      </c>
      <c r="W52">
        <f>HYPERLINK("https://klasma.github.io/Logging_1904/artfynd/A 12024-2023 artfynd.xlsx", "A 12024-2023")</f>
        <v/>
      </c>
      <c r="X52">
        <f>HYPERLINK("https://klasma.github.io/Logging_1904/kartor/A 12024-2023 karta.png", "A 12024-2023")</f>
        <v/>
      </c>
      <c r="Y52">
        <f>HYPERLINK("https://klasma.github.io/Logging_1904/kartor_geotiff/A 12024-2023 georefererad karta.tif", "A 12024-2023")</f>
        <v/>
      </c>
      <c r="AA52">
        <f>HYPERLINK("https://klasma.github.io/Logging_1904/klagomål/A 12024-2023 FSC-klagomål.docx", "A 12024-2023")</f>
        <v/>
      </c>
      <c r="AB52">
        <f>HYPERLINK("https://klasma.github.io/Logging_1904/klagomålsmail/A 12024-2023 FSC-klagomål mail.docx", "A 12024-2023")</f>
        <v/>
      </c>
      <c r="AC52">
        <f>HYPERLINK("https://klasma.github.io/Logging_1904/tillsyn/A 12024-2023 tillsynsbegäran.docx", "A 12024-2023")</f>
        <v/>
      </c>
      <c r="AD52">
        <f>HYPERLINK("https://klasma.github.io/Logging_1904/tillsynsmail/A 12024-2023 tillsynsbegäran mail.docx", "A 12024-2023")</f>
        <v/>
      </c>
    </row>
    <row r="53" ht="15" customHeight="1">
      <c r="A53" t="inlineStr">
        <is>
          <t>A 9490-2024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46299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Nattskärra</t>
        </is>
      </c>
      <c r="W53">
        <f>HYPERLINK("https://klasma.github.io/Logging_1904/artfynd/A 9490-2024 artfynd.xlsx", "A 9490-2024")</f>
        <v/>
      </c>
      <c r="X53">
        <f>HYPERLINK("https://klasma.github.io/Logging_1904/kartor/A 9490-2024 karta.png", "A 9490-2024")</f>
        <v/>
      </c>
      <c r="Y53">
        <f>HYPERLINK("https://klasma.github.io/Logging_1904/kartor_geotiff/A 9490-2024 georefererad karta.tif", "A 9490-2024")</f>
        <v/>
      </c>
      <c r="AA53">
        <f>HYPERLINK("https://klasma.github.io/Logging_1904/klagomål/A 9490-2024 FSC-klagomål.docx", "A 9490-2024")</f>
        <v/>
      </c>
      <c r="AB53">
        <f>HYPERLINK("https://klasma.github.io/Logging_1904/klagomålsmail/A 9490-2024 FSC-klagomål mail.docx", "A 9490-2024")</f>
        <v/>
      </c>
      <c r="AC53">
        <f>HYPERLINK("https://klasma.github.io/Logging_1904/tillsyn/A 9490-2024 tillsynsbegäran.docx", "A 9490-2024")</f>
        <v/>
      </c>
      <c r="AD53">
        <f>HYPERLINK("https://klasma.github.io/Logging_1904/tillsynsmail/A 9490-2024 tillsynsbegäran mail.docx", "A 9490-2024")</f>
        <v/>
      </c>
      <c r="AE53">
        <f>HYPERLINK("https://klasma.github.io/Logging_1904/fåglar/A 9490-2024 prioriterade fågelarter.docx", "A 9490-2024")</f>
        <v/>
      </c>
    </row>
    <row r="54" ht="15" customHeight="1">
      <c r="A54" t="inlineStr">
        <is>
          <t>A 4000-2024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46299</v>
      </c>
      <c r="F54" t="inlineStr">
        <is>
          <t>VÄSTMANLANDS LÄN</t>
        </is>
      </c>
      <c r="G54" t="inlineStr">
        <is>
          <t>SKINNSKATTEBERG</t>
        </is>
      </c>
      <c r="I54" t="n">
        <v>14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Klasefibbla</t>
        </is>
      </c>
      <c r="W54">
        <f>HYPERLINK("https://klasma.github.io/Logging_1904/artfynd/A 4000-2024 artfynd.xlsx", "A 4000-2024")</f>
        <v/>
      </c>
      <c r="X54">
        <f>HYPERLINK("https://klasma.github.io/Logging_1904/kartor/A 4000-2024 karta.png", "A 4000-2024")</f>
        <v/>
      </c>
      <c r="Y54">
        <f>HYPERLINK("https://klasma.github.io/Logging_1904/kartor_geotiff/A 4000-2024 georefererad karta.tif", "A 4000-2024")</f>
        <v/>
      </c>
      <c r="AA54">
        <f>HYPERLINK("https://klasma.github.io/Logging_1904/klagomål/A 4000-2024 FSC-klagomål.docx", "A 4000-2024")</f>
        <v/>
      </c>
      <c r="AB54">
        <f>HYPERLINK("https://klasma.github.io/Logging_1904/klagomålsmail/A 4000-2024 FSC-klagomål mail.docx", "A 4000-2024")</f>
        <v/>
      </c>
      <c r="AC54">
        <f>HYPERLINK("https://klasma.github.io/Logging_1904/tillsyn/A 4000-2024 tillsynsbegäran.docx", "A 4000-2024")</f>
        <v/>
      </c>
      <c r="AD54">
        <f>HYPERLINK("https://klasma.github.io/Logging_1904/tillsynsmail/A 4000-2024 tillsynsbegäran mail.docx", "A 4000-2024")</f>
        <v/>
      </c>
    </row>
    <row r="55" ht="15" customHeight="1">
      <c r="A55" t="inlineStr">
        <is>
          <t>A 28312-2023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46299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HYPERLINK("https://klasma.github.io/Logging_1904/artfynd/A 28312-2023 artfynd.xlsx", "A 28312-2023")</f>
        <v/>
      </c>
      <c r="X55">
        <f>HYPERLINK("https://klasma.github.io/Logging_1904/kartor/A 28312-2023 karta.png", "A 28312-2023")</f>
        <v/>
      </c>
      <c r="Y55">
        <f>HYPERLINK("https://klasma.github.io/Logging_1904/kartor_geotiff/A 28312-2023 georefererad karta.tif", "A 28312-2023")</f>
        <v/>
      </c>
      <c r="AA55">
        <f>HYPERLINK("https://klasma.github.io/Logging_1904/klagomål/A 28312-2023 FSC-klagomål.docx", "A 28312-2023")</f>
        <v/>
      </c>
      <c r="AB55">
        <f>HYPERLINK("https://klasma.github.io/Logging_1904/klagomålsmail/A 28312-2023 FSC-klagomål mail.docx", "A 28312-2023")</f>
        <v/>
      </c>
      <c r="AC55">
        <f>HYPERLINK("https://klasma.github.io/Logging_1904/tillsyn/A 28312-2023 tillsynsbegäran.docx", "A 28312-2023")</f>
        <v/>
      </c>
      <c r="AD55">
        <f>HYPERLINK("https://klasma.github.io/Logging_1904/tillsynsmail/A 28312-2023 tillsynsbegäran mail.docx", "A 28312-2023")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46299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46299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46299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46299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46299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46299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46299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46299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46299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46299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46299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46299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46299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46299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46299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46299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46299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46299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46299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46299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46299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46299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46299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46299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46299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46299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46299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46299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46299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46299</v>
      </c>
      <c r="F85" t="inlineStr">
        <is>
          <t>VÄSTMANLANDS LÄN</t>
        </is>
      </c>
      <c r="G85" t="inlineStr">
        <is>
          <t>SKINNSKATTEBERG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46299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46299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46299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46299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46003</v>
      </c>
      <c r="E90" s="1" t="n">
        <v>46299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45480</v>
      </c>
      <c r="E91" s="1" t="n">
        <v>46299</v>
      </c>
      <c r="F91" t="inlineStr">
        <is>
          <t>VÄSTMANLANDS LÄN</t>
        </is>
      </c>
      <c r="G91" t="inlineStr">
        <is>
          <t>SKINNSKATTEBERG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46299</v>
      </c>
      <c r="F92" t="inlineStr">
        <is>
          <t>VÄSTMANLANDS LÄN</t>
        </is>
      </c>
      <c r="G92" t="inlineStr">
        <is>
          <t>SKINNSKATTEBERG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46299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46299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46299</v>
      </c>
      <c r="F95" t="inlineStr">
        <is>
          <t>VÄSTMANLANDS LÄN</t>
        </is>
      </c>
      <c r="G95" t="inlineStr">
        <is>
          <t>SKINNSKATTEBERG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46299</v>
      </c>
      <c r="F96" t="inlineStr">
        <is>
          <t>VÄSTMANLANDS LÄN</t>
        </is>
      </c>
      <c r="G96" t="inlineStr">
        <is>
          <t>SKINNSKATTEBERG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46299</v>
      </c>
      <c r="F97" t="inlineStr">
        <is>
          <t>VÄSTMANLANDS LÄN</t>
        </is>
      </c>
      <c r="G97" t="inlineStr">
        <is>
          <t>SKINNSKATTEBERG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46299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46299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44910</v>
      </c>
      <c r="E100" s="1" t="n">
        <v>46299</v>
      </c>
      <c r="F100" t="inlineStr">
        <is>
          <t>VÄSTMANLANDS LÄN</t>
        </is>
      </c>
      <c r="G100" t="inlineStr">
        <is>
          <t>SKINNSKATTEBERG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18161-2024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45420</v>
      </c>
      <c r="E101" s="1" t="n">
        <v>46299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46299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40776-2025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46299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46299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46299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40783-2025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46299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46299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45637</v>
      </c>
      <c r="E108" s="1" t="n">
        <v>46299</v>
      </c>
      <c r="F108" t="inlineStr">
        <is>
          <t>VÄSTMANLANDS LÄN</t>
        </is>
      </c>
      <c r="G108" t="inlineStr">
        <is>
          <t>SKINNSKATTEBERG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46299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46299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Kyrkan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46037</v>
      </c>
      <c r="E111" s="1" t="n">
        <v>46299</v>
      </c>
      <c r="F111" t="inlineStr">
        <is>
          <t>VÄSTMANLANDS LÄN</t>
        </is>
      </c>
      <c r="G111" t="inlineStr">
        <is>
          <t>SKINNSKATTEBERG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46299</v>
      </c>
      <c r="F112" t="inlineStr">
        <is>
          <t>VÄSTMANLANDS LÄN</t>
        </is>
      </c>
      <c r="G112" t="inlineStr">
        <is>
          <t>SKINNSKATTEBERG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45375</v>
      </c>
      <c r="E113" s="1" t="n">
        <v>46299</v>
      </c>
      <c r="F113" t="inlineStr">
        <is>
          <t>VÄSTMANLANDS LÄN</t>
        </is>
      </c>
      <c r="G113" t="inlineStr">
        <is>
          <t>SKINNSKATTEBERG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22285-2025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45786</v>
      </c>
      <c r="E114" s="1" t="n">
        <v>46299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46299</v>
      </c>
      <c r="F115" t="inlineStr">
        <is>
          <t>VÄSTMANLANDS LÄN</t>
        </is>
      </c>
      <c r="G115" t="inlineStr">
        <is>
          <t>SKINNSKATTEBERG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45434</v>
      </c>
      <c r="E116" s="1" t="n">
        <v>46299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46299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46299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46299</v>
      </c>
      <c r="F119" t="inlineStr">
        <is>
          <t>VÄSTMANLANDS LÄN</t>
        </is>
      </c>
      <c r="G119" t="inlineStr">
        <is>
          <t>SKINNSKATTEBERG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46299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45527</v>
      </c>
      <c r="E121" s="1" t="n">
        <v>46299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46299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44184-2025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45915</v>
      </c>
      <c r="E123" s="1" t="n">
        <v>46299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46299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41581-2025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46299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46299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5704-2026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46051</v>
      </c>
      <c r="E127" s="1" t="n">
        <v>46299</v>
      </c>
      <c r="F127" t="inlineStr">
        <is>
          <t>VÄSTMANLANDS LÄN</t>
        </is>
      </c>
      <c r="G127" t="inlineStr">
        <is>
          <t>SKINNSKATTEBERG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46299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46299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46299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5693-2026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46051</v>
      </c>
      <c r="E131" s="1" t="n">
        <v>46299</v>
      </c>
      <c r="F131" t="inlineStr">
        <is>
          <t>VÄSTMANLANDS LÄN</t>
        </is>
      </c>
      <c r="G131" t="inlineStr">
        <is>
          <t>SKINNSKATTEBERG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46299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5675-2026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46051</v>
      </c>
      <c r="E133" s="1" t="n">
        <v>46299</v>
      </c>
      <c r="F133" t="inlineStr">
        <is>
          <t>VÄSTMANLANDS LÄN</t>
        </is>
      </c>
      <c r="G133" t="inlineStr">
        <is>
          <t>SKINNSKATTEBERG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25846-2025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45804</v>
      </c>
      <c r="E134" s="1" t="n">
        <v>46299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46299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45610</v>
      </c>
      <c r="E136" s="1" t="n">
        <v>46299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46299</v>
      </c>
      <c r="F137" t="inlineStr">
        <is>
          <t>VÄSTMANLANDS LÄN</t>
        </is>
      </c>
      <c r="G137" t="inlineStr">
        <is>
          <t>SKINNSKATTEBERG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45686</v>
      </c>
      <c r="E138" s="1" t="n">
        <v>46299</v>
      </c>
      <c r="F138" t="inlineStr">
        <is>
          <t>VÄSTMANLANDS LÄN</t>
        </is>
      </c>
      <c r="G138" t="inlineStr">
        <is>
          <t>SKINNSKATTEBERG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46299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46299</v>
      </c>
      <c r="F141" t="inlineStr">
        <is>
          <t>VÄSTMANLANDS LÄN</t>
        </is>
      </c>
      <c r="G141" t="inlineStr">
        <is>
          <t>SKINNSKATTEBERG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45770</v>
      </c>
      <c r="E142" s="1" t="n">
        <v>46299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45571</v>
      </c>
      <c r="E143" s="1" t="n">
        <v>46299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46299</v>
      </c>
      <c r="F144" t="inlineStr">
        <is>
          <t>VÄSTMANLANDS LÄN</t>
        </is>
      </c>
      <c r="G144" t="inlineStr">
        <is>
          <t>SKINNSKATTEBERG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46299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45947</v>
      </c>
      <c r="E147" s="1" t="n">
        <v>46299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45947</v>
      </c>
      <c r="E148" s="1" t="n">
        <v>46299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46299</v>
      </c>
      <c r="F149" t="inlineStr">
        <is>
          <t>VÄSTMANLANDS LÄN</t>
        </is>
      </c>
      <c r="G149" t="inlineStr">
        <is>
          <t>SKINNSKATTEBERG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46299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46299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46299</v>
      </c>
      <c r="F152" t="inlineStr">
        <is>
          <t>VÄSTMANLANDS LÄN</t>
        </is>
      </c>
      <c r="G152" t="inlineStr">
        <is>
          <t>SKINNSKATTEBERG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45959</v>
      </c>
      <c r="E153" s="1" t="n">
        <v>46299</v>
      </c>
      <c r="F153" t="inlineStr">
        <is>
          <t>VÄSTMANLANDS LÄN</t>
        </is>
      </c>
      <c r="G153" t="inlineStr">
        <is>
          <t>SKINNSKATTEBERG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46299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46299</v>
      </c>
      <c r="F155" t="inlineStr">
        <is>
          <t>VÄSTMANLANDS LÄN</t>
        </is>
      </c>
      <c r="G155" t="inlineStr">
        <is>
          <t>SKINNSKATTEBERG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46299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46299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46299</v>
      </c>
      <c r="F158" t="inlineStr">
        <is>
          <t>VÄSTMANLANDS LÄN</t>
        </is>
      </c>
      <c r="G158" t="inlineStr">
        <is>
          <t>SKINNSKATTEBERG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44603</v>
      </c>
      <c r="E159" s="1" t="n">
        <v>46299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45480</v>
      </c>
      <c r="E160" s="1" t="n">
        <v>46299</v>
      </c>
      <c r="F160" t="inlineStr">
        <is>
          <t>VÄSTMANLANDS LÄN</t>
        </is>
      </c>
      <c r="G160" t="inlineStr">
        <is>
          <t>SKINNSKATTEBERG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46299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46299</v>
      </c>
      <c r="F162" t="inlineStr">
        <is>
          <t>VÄSTMANLANDS LÄN</t>
        </is>
      </c>
      <c r="G162" t="inlineStr">
        <is>
          <t>SKINNSKATTEBERG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46299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46299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46299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46299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46299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46299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46299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56465-2025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45975</v>
      </c>
      <c r="E171" s="1" t="n">
        <v>46299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46299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46299</v>
      </c>
      <c r="F173" t="inlineStr">
        <is>
          <t>VÄSTMANLANDS LÄN</t>
        </is>
      </c>
      <c r="G173" t="inlineStr">
        <is>
          <t>SKINNSKATTEBERG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46299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15955-2026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46108</v>
      </c>
      <c r="E175" s="1" t="n">
        <v>46299</v>
      </c>
      <c r="F175" t="inlineStr">
        <is>
          <t>VÄSTMANLANDS LÄN</t>
        </is>
      </c>
      <c r="G175" t="inlineStr">
        <is>
          <t>SKINNSKATTEBERG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46107</v>
      </c>
      <c r="E176" s="1" t="n">
        <v>46299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16136-2026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46108</v>
      </c>
      <c r="E177" s="1" t="n">
        <v>46299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46107</v>
      </c>
      <c r="E178" s="1" t="n">
        <v>46299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46299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28831-2025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45820</v>
      </c>
      <c r="E180" s="1" t="n">
        <v>46299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46299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28873-2025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45820</v>
      </c>
      <c r="E182" s="1" t="n">
        <v>46299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46299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46299</v>
      </c>
      <c r="F184" t="inlineStr">
        <is>
          <t>VÄSTMANLANDS LÄN</t>
        </is>
      </c>
      <c r="G184" t="inlineStr">
        <is>
          <t>SKINNSKATTEBERG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46299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45987</v>
      </c>
      <c r="E186" s="1" t="n">
        <v>46299</v>
      </c>
      <c r="F186" t="inlineStr">
        <is>
          <t>VÄSTMANLANDS LÄN</t>
        </is>
      </c>
      <c r="G186" t="inlineStr">
        <is>
          <t>SKINNSKATTEBERG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29808-2025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45825</v>
      </c>
      <c r="E187" s="1" t="n">
        <v>46299</v>
      </c>
      <c r="F187" t="inlineStr">
        <is>
          <t>VÄSTMANLANDS LÄN</t>
        </is>
      </c>
      <c r="G187" t="inlineStr">
        <is>
          <t>SKINNSKATTEBERG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46299</v>
      </c>
      <c r="F188" t="inlineStr">
        <is>
          <t>VÄSTMANLANDS LÄN</t>
        </is>
      </c>
      <c r="G188" t="inlineStr">
        <is>
          <t>SKINNSKATTEBERG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46299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46299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29810-2025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45825</v>
      </c>
      <c r="E191" s="1" t="n">
        <v>46299</v>
      </c>
      <c r="F191" t="inlineStr">
        <is>
          <t>VÄSTMANLANDS LÄN</t>
        </is>
      </c>
      <c r="G191" t="inlineStr">
        <is>
          <t>SKINNSKATTEBERG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46299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46299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46299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46299</v>
      </c>
      <c r="F195" t="inlineStr">
        <is>
          <t>VÄSTMANLANDS LÄN</t>
        </is>
      </c>
      <c r="G195" t="inlineStr">
        <is>
          <t>SKINNSKATTEBERG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46129</v>
      </c>
      <c r="E196" s="1" t="n">
        <v>46299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30439-2025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45827</v>
      </c>
      <c r="E197" s="1" t="n">
        <v>46299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46299</v>
      </c>
      <c r="F198" t="inlineStr">
        <is>
          <t>VÄSTMANLANDS LÄN</t>
        </is>
      </c>
      <c r="G198" t="inlineStr">
        <is>
          <t>SKINNSKATTEBERG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46299</v>
      </c>
      <c r="F199" t="inlineStr">
        <is>
          <t>VÄSTMANLANDS LÄN</t>
        </is>
      </c>
      <c r="G199" t="inlineStr">
        <is>
          <t>SKINNSKATTEBERG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46299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46299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46299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31234-2025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45832</v>
      </c>
      <c r="E203" s="1" t="n">
        <v>46299</v>
      </c>
      <c r="F203" t="inlineStr">
        <is>
          <t>VÄSTMANLANDS LÄN</t>
        </is>
      </c>
      <c r="G203" t="inlineStr">
        <is>
          <t>SKINNSKATTEBERG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19540-2026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46134</v>
      </c>
      <c r="E204" s="1" t="n">
        <v>46299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19541-2026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46134</v>
      </c>
      <c r="E205" s="1" t="n">
        <v>46299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19582-2026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46134</v>
      </c>
      <c r="E206" s="1" t="n">
        <v>46299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43805-2024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45571</v>
      </c>
      <c r="E207" s="1" t="n">
        <v>46299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45571</v>
      </c>
      <c r="E208" s="1" t="n">
        <v>46299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46299</v>
      </c>
      <c r="F209" t="inlineStr">
        <is>
          <t>VÄSTMANLANDS LÄN</t>
        </is>
      </c>
      <c r="G209" t="inlineStr">
        <is>
          <t>SKINNSKATTEBERG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20248-2024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45434</v>
      </c>
      <c r="E210" s="1" t="n">
        <v>46299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16729-2024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45410</v>
      </c>
      <c r="E211" s="1" t="n">
        <v>46299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45447</v>
      </c>
      <c r="E212" s="1" t="n">
        <v>46299</v>
      </c>
      <c r="F212" t="inlineStr">
        <is>
          <t>VÄSTMANLANDS LÄN</t>
        </is>
      </c>
      <c r="G212" t="inlineStr">
        <is>
          <t>SKINNSKATTEBERG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46299</v>
      </c>
      <c r="F213" t="inlineStr">
        <is>
          <t>VÄSTMANLANDS LÄN</t>
        </is>
      </c>
      <c r="G213" t="inlineStr">
        <is>
          <t>SKINNSKATTEBERG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46299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45848</v>
      </c>
      <c r="E215" s="1" t="n">
        <v>46299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46299</v>
      </c>
      <c r="F216" t="inlineStr">
        <is>
          <t>VÄSTMANLANDS LÄN</t>
        </is>
      </c>
      <c r="G216" t="inlineStr">
        <is>
          <t>SKINNSKATTEBERG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46299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45376</v>
      </c>
      <c r="E218" s="1" t="n">
        <v>46299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45534</v>
      </c>
      <c r="E219" s="1" t="n">
        <v>46299</v>
      </c>
      <c r="F219" t="inlineStr">
        <is>
          <t>VÄSTMANLANDS LÄN</t>
        </is>
      </c>
      <c r="G219" t="inlineStr">
        <is>
          <t>SKINNSKATTEBERG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45853</v>
      </c>
      <c r="E220" s="1" t="n">
        <v>46299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40174-2024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46299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35205-2025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45853</v>
      </c>
      <c r="E222" s="1" t="n">
        <v>46299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8218-2023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46299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Kyrkan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46299</v>
      </c>
      <c r="F224" t="inlineStr">
        <is>
          <t>VÄSTMANLANDS LÄN</t>
        </is>
      </c>
      <c r="G224" t="inlineStr">
        <is>
          <t>SKINNSKATTEBERG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45090</v>
      </c>
      <c r="E225" s="1" t="n">
        <v>46299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46299</v>
      </c>
      <c r="F226" t="inlineStr">
        <is>
          <t>VÄSTMANLANDS LÄN</t>
        </is>
      </c>
      <c r="G226" t="inlineStr">
        <is>
          <t>SKINNSKATTEBERG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46299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46299</v>
      </c>
      <c r="F228" t="inlineStr">
        <is>
          <t>VÄSTMANLANDS LÄN</t>
        </is>
      </c>
      <c r="G228" t="inlineStr">
        <is>
          <t>SKINNSKATTEBERG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44903</v>
      </c>
      <c r="E229" s="1" t="n">
        <v>46299</v>
      </c>
      <c r="F229" t="inlineStr">
        <is>
          <t>VÄSTMANLANDS LÄN</t>
        </is>
      </c>
      <c r="G229" t="inlineStr">
        <is>
          <t>SKINNSKATTEBERG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46299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44648</v>
      </c>
      <c r="E231" s="1" t="n">
        <v>46299</v>
      </c>
      <c r="F231" t="inlineStr">
        <is>
          <t>VÄSTMANLANDS LÄN</t>
        </is>
      </c>
      <c r="G231" t="inlineStr">
        <is>
          <t>SKINNSKATTEBERG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46299</v>
      </c>
      <c r="F232" t="inlineStr">
        <is>
          <t>VÄSTMANLANDS LÄN</t>
        </is>
      </c>
      <c r="G232" t="inlineStr">
        <is>
          <t>SKINNSKATTEBERG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46299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20563-2026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46140</v>
      </c>
      <c r="E234" s="1" t="n">
        <v>46299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46299</v>
      </c>
      <c r="F235" t="inlineStr">
        <is>
          <t>VÄSTMANLANDS LÄN</t>
        </is>
      </c>
      <c r="G235" t="inlineStr">
        <is>
          <t>SKINNSKATTEBERG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46299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46299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46299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46299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46299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46299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46299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46299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42093-2023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45177</v>
      </c>
      <c r="E244" s="1" t="n">
        <v>46299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46299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46299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55428-2021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44475</v>
      </c>
      <c r="E247" s="1" t="n">
        <v>46299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46299</v>
      </c>
      <c r="F248" t="inlineStr">
        <is>
          <t>VÄSTMANLANDS LÄN</t>
        </is>
      </c>
      <c r="G248" t="inlineStr">
        <is>
          <t>SKINNSKATTEBERG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46299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22779-2026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46157</v>
      </c>
      <c r="E250" s="1" t="n">
        <v>46299</v>
      </c>
      <c r="F250" t="inlineStr">
        <is>
          <t>VÄSTMANLANDS LÄN</t>
        </is>
      </c>
      <c r="G250" t="inlineStr">
        <is>
          <t>SKINNSKATTEBERG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45531</v>
      </c>
      <c r="E251" s="1" t="n">
        <v>46299</v>
      </c>
      <c r="F251" t="inlineStr">
        <is>
          <t>VÄSTMANLANDS LÄN</t>
        </is>
      </c>
      <c r="G251" t="inlineStr">
        <is>
          <t>SKINNSKATTEBERG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46299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46299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46299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46299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46299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46299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46299</v>
      </c>
      <c r="F258" t="inlineStr">
        <is>
          <t>VÄSTMANLANDS LÄN</t>
        </is>
      </c>
      <c r="G258" t="inlineStr">
        <is>
          <t>SKINNSKATTEBERG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46299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46299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46299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46299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46299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46299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46299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46299</v>
      </c>
      <c r="F266" t="inlineStr">
        <is>
          <t>VÄSTMANLANDS LÄN</t>
        </is>
      </c>
      <c r="G266" t="inlineStr">
        <is>
          <t>SKINNSKATTEBERG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36288-2022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44803</v>
      </c>
      <c r="E267" s="1" t="n">
        <v>46299</v>
      </c>
      <c r="F267" t="inlineStr">
        <is>
          <t>VÄSTMANLANDS LÄN</t>
        </is>
      </c>
      <c r="G267" t="inlineStr">
        <is>
          <t>SKINNSKATTEBERG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46299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46299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46299</v>
      </c>
      <c r="F270" t="inlineStr">
        <is>
          <t>VÄSTMANLANDS LÄN</t>
        </is>
      </c>
      <c r="G270" t="inlineStr">
        <is>
          <t>SKINNSKATTEBERG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46299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26356-2026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46182</v>
      </c>
      <c r="E272" s="1" t="n">
        <v>46299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46299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46299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46185</v>
      </c>
      <c r="E275" s="1" t="n">
        <v>46299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46299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45429</v>
      </c>
      <c r="E277" s="1" t="n">
        <v>46299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46299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46299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46299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46299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46299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46299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46299</v>
      </c>
      <c r="F284" t="inlineStr">
        <is>
          <t>VÄSTMANLANDS LÄN</t>
        </is>
      </c>
      <c r="G284" t="inlineStr">
        <is>
          <t>SKINNSKATTEBERG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46299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46299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46197</v>
      </c>
      <c r="E287" s="1" t="n">
        <v>46299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14189-2024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46299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45686</v>
      </c>
      <c r="E289" s="1" t="n">
        <v>46299</v>
      </c>
      <c r="F289" t="inlineStr">
        <is>
          <t>VÄSTMANLANDS LÄN</t>
        </is>
      </c>
      <c r="G289" t="inlineStr">
        <is>
          <t>SKINNSKATTEBERG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46299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13713-2024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45390</v>
      </c>
      <c r="E291" s="1" t="n">
        <v>46299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46199</v>
      </c>
      <c r="E292" s="1" t="n">
        <v>46299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46200</v>
      </c>
      <c r="E293" s="1" t="n">
        <v>46299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46200</v>
      </c>
      <c r="E294" s="1" t="n">
        <v>46299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46199</v>
      </c>
      <c r="E295" s="1" t="n">
        <v>46299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45447</v>
      </c>
      <c r="E296" s="1" t="n">
        <v>46299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45485</v>
      </c>
      <c r="E297" s="1" t="n">
        <v>46299</v>
      </c>
      <c r="F297" t="inlineStr">
        <is>
          <t>VÄSTMANLANDS LÄN</t>
        </is>
      </c>
      <c r="G297" t="inlineStr">
        <is>
          <t>SKINNSKATTEBERG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46299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45387</v>
      </c>
      <c r="E299" s="1" t="n">
        <v>46299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46299</v>
      </c>
      <c r="F300" t="inlineStr">
        <is>
          <t>VÄSTMANLANDS LÄN</t>
        </is>
      </c>
      <c r="G300" t="inlineStr">
        <is>
          <t>SKINNSKATTEBERG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46299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45156</v>
      </c>
      <c r="E302" s="1" t="n">
        <v>46299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46210</v>
      </c>
      <c r="E303" s="1" t="n">
        <v>46299</v>
      </c>
      <c r="F303" t="inlineStr">
        <is>
          <t>VÄSTMANLANDS LÄN</t>
        </is>
      </c>
      <c r="G303" t="inlineStr">
        <is>
          <t>SKINNSKATTEBERG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45096</v>
      </c>
      <c r="E304" s="1" t="n">
        <v>46299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46299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40545-2023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45170</v>
      </c>
      <c r="E306" s="1" t="n">
        <v>46299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35168-2026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46260</v>
      </c>
      <c r="E307" s="1" t="n">
        <v>46299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46262</v>
      </c>
      <c r="E308" s="1" t="n">
        <v>46299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35582-2026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46262</v>
      </c>
      <c r="E309" s="1" t="n">
        <v>46299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45558</v>
      </c>
      <c r="E310" s="1" t="n">
        <v>46299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46299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46262</v>
      </c>
      <c r="E312" s="1" t="n">
        <v>46299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46299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35746-2026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46265</v>
      </c>
      <c r="E314" s="1" t="n">
        <v>46299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46299</v>
      </c>
      <c r="F315" t="inlineStr">
        <is>
          <t>VÄSTMANLANDS LÄN</t>
        </is>
      </c>
      <c r="G315" t="inlineStr">
        <is>
          <t>SKINNSKATTEBERG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46299</v>
      </c>
      <c r="F316" t="inlineStr">
        <is>
          <t>VÄSTMANLANDS LÄN</t>
        </is>
      </c>
      <c r="G316" t="inlineStr">
        <is>
          <t>SKINNSKATTEBERG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46299</v>
      </c>
      <c r="F317" t="inlineStr">
        <is>
          <t>VÄSTMANLANDS LÄN</t>
        </is>
      </c>
      <c r="G317" t="inlineStr">
        <is>
          <t>SKINNSKATTEBERG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46299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29026-2026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46199</v>
      </c>
      <c r="E319" s="1" t="n">
        <v>46299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46299</v>
      </c>
      <c r="F320" t="inlineStr">
        <is>
          <t>VÄSTMANLANDS LÄN</t>
        </is>
      </c>
      <c r="G320" t="inlineStr">
        <is>
          <t>SKINNSKATTEBERG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46299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61181-2021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46299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45128</v>
      </c>
      <c r="E323" s="1" t="n">
        <v>46299</v>
      </c>
      <c r="F323" t="inlineStr">
        <is>
          <t>VÄSTMANLANDS LÄN</t>
        </is>
      </c>
      <c r="G323" t="inlineStr">
        <is>
          <t>SKINNSKATTEBERG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46279</v>
      </c>
      <c r="E324" s="1" t="n">
        <v>46299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46299</v>
      </c>
      <c r="F325" t="inlineStr">
        <is>
          <t>VÄSTMANLANDS LÄN</t>
        </is>
      </c>
      <c r="G325" t="inlineStr">
        <is>
          <t>SKINNSKATTEBERG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46299</v>
      </c>
      <c r="F326" t="inlineStr">
        <is>
          <t>VÄSTMANLANDS LÄN</t>
        </is>
      </c>
      <c r="G326" t="inlineStr">
        <is>
          <t>SKINNSKATTEBERG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46262</v>
      </c>
      <c r="E327" s="1" t="n">
        <v>46299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46299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46299</v>
      </c>
      <c r="F329" t="inlineStr">
        <is>
          <t>VÄSTMANLANDS LÄN</t>
        </is>
      </c>
      <c r="G329" t="inlineStr">
        <is>
          <t>SKINNSKATTEBERG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46299</v>
      </c>
      <c r="F330" t="inlineStr">
        <is>
          <t>VÄSTMANLANDS LÄN</t>
        </is>
      </c>
      <c r="G330" t="inlineStr">
        <is>
          <t>SKINNSKATTEBERG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46299</v>
      </c>
      <c r="F331" t="inlineStr">
        <is>
          <t>VÄSTMANLANDS LÄN</t>
        </is>
      </c>
      <c r="G331" t="inlineStr">
        <is>
          <t>SKINNSKATTEBERG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46299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7.9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46299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46299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46299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Allmännings- och besparingsskogar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46299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15561-2024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45401</v>
      </c>
      <c r="E337" s="1" t="n">
        <v>46299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46299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46244</v>
      </c>
      <c r="E339" s="1" t="n">
        <v>46299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46299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46244</v>
      </c>
      <c r="E341" s="1" t="n">
        <v>46299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44967</v>
      </c>
      <c r="E342" s="1" t="n">
        <v>46299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46285</v>
      </c>
      <c r="E343" s="1" t="n">
        <v>46299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45568</v>
      </c>
      <c r="E344" s="1" t="n">
        <v>46299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45643</v>
      </c>
      <c r="E345" s="1" t="n">
        <v>46299</v>
      </c>
      <c r="F345" t="inlineStr">
        <is>
          <t>VÄSTMANLANDS LÄN</t>
        </is>
      </c>
      <c r="G345" t="inlineStr">
        <is>
          <t>SKINNSKATTEBERG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46299</v>
      </c>
      <c r="F346" t="inlineStr">
        <is>
          <t>VÄSTMANLANDS LÄN</t>
        </is>
      </c>
      <c r="G346" t="inlineStr">
        <is>
          <t>SKINNSKATTEBERG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44995</v>
      </c>
      <c r="E347" s="1" t="n">
        <v>46299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44806</v>
      </c>
      <c r="E348" s="1" t="n">
        <v>46299</v>
      </c>
      <c r="F348" t="inlineStr">
        <is>
          <t>VÄSTMANLANDS LÄN</t>
        </is>
      </c>
      <c r="G348" t="inlineStr">
        <is>
          <t>SKINNSKATTEBERG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46289</v>
      </c>
      <c r="E349" s="1" t="n">
        <v>46299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54657-2022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44883</v>
      </c>
      <c r="E350" s="1" t="n">
        <v>46299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40167-2024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45554</v>
      </c>
      <c r="E351" s="1" t="n">
        <v>46299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66584-2021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44519</v>
      </c>
      <c r="E352" s="1" t="n">
        <v>46299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37342-2023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45156</v>
      </c>
      <c r="E353" s="1" t="n">
        <v>46299</v>
      </c>
      <c r="F353" t="inlineStr">
        <is>
          <t>VÄSTMANLANDS LÄN</t>
        </is>
      </c>
      <c r="G353" t="inlineStr">
        <is>
          <t>SKINNSKATTEBERG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39863-2026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46290</v>
      </c>
      <c r="E354" s="1" t="n">
        <v>46299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46290</v>
      </c>
      <c r="E355" s="1" t="n">
        <v>46299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46299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46247</v>
      </c>
      <c r="E357" s="1" t="n">
        <v>46299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46299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45504</v>
      </c>
      <c r="E359" s="1" t="n">
        <v>46299</v>
      </c>
      <c r="F359" t="inlineStr">
        <is>
          <t>VÄSTMANLANDS LÄN</t>
        </is>
      </c>
      <c r="G359" t="inlineStr">
        <is>
          <t>SKINNSKATTEBERG</t>
        </is>
      </c>
      <c r="I359" t="n">
        <v>17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46299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46248</v>
      </c>
      <c r="E361" s="1" t="n">
        <v>46299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45306</v>
      </c>
      <c r="E362" s="1" t="n">
        <v>46299</v>
      </c>
      <c r="F362" t="inlineStr">
        <is>
          <t>VÄSTMANLANDS LÄN</t>
        </is>
      </c>
      <c r="G362" t="inlineStr">
        <is>
          <t>SKINNSKATTEBERG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45306</v>
      </c>
      <c r="E363" s="1" t="n">
        <v>46299</v>
      </c>
      <c r="F363" t="inlineStr">
        <is>
          <t>VÄSTMANLANDS LÄN</t>
        </is>
      </c>
      <c r="G363" t="inlineStr">
        <is>
          <t>SKINNSKATTEBERG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46299</v>
      </c>
      <c r="F364" t="inlineStr">
        <is>
          <t>VÄSTMANLANDS LÄN</t>
        </is>
      </c>
      <c r="G364" t="inlineStr">
        <is>
          <t>SKINNSKATTEBERG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45170</v>
      </c>
      <c r="E365" s="1" t="n">
        <v>46299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46237</v>
      </c>
      <c r="E366" s="1" t="n">
        <v>46299</v>
      </c>
      <c r="F366" t="inlineStr">
        <is>
          <t>VÄSTMANLANDS LÄN</t>
        </is>
      </c>
      <c r="G366" t="inlineStr">
        <is>
          <t>SKINNSKATTEBERG</t>
        </is>
      </c>
      <c r="I366" t="n">
        <v>12.2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46299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15184-2025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45744</v>
      </c>
      <c r="E368" s="1" t="n">
        <v>46299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45174</v>
      </c>
      <c r="E369" s="1" t="n">
        <v>46299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45555</v>
      </c>
      <c r="E370" s="1" t="n">
        <v>46299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46299</v>
      </c>
      <c r="F371" t="inlineStr">
        <is>
          <t>VÄSTMANLANDS LÄN</t>
        </is>
      </c>
      <c r="G371" t="inlineStr">
        <is>
          <t>SKINNSKATTEBERG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45264</v>
      </c>
      <c r="E372" s="1" t="n">
        <v>46299</v>
      </c>
      <c r="F372" t="inlineStr">
        <is>
          <t>VÄSTMANLANDS LÄN</t>
        </is>
      </c>
      <c r="G372" t="inlineStr">
        <is>
          <t>SKINNSKATTEBERG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45520</v>
      </c>
      <c r="E373" s="1" t="n">
        <v>46299</v>
      </c>
      <c r="F373" t="inlineStr">
        <is>
          <t>VÄSTMANLANDS LÄN</t>
        </is>
      </c>
      <c r="G373" t="inlineStr">
        <is>
          <t>SKINNSKATTEBERG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22394-2022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44713</v>
      </c>
      <c r="E374" s="1" t="n">
        <v>46299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45532</v>
      </c>
      <c r="E375" s="1" t="n">
        <v>46299</v>
      </c>
      <c r="F375" t="inlineStr">
        <is>
          <t>VÄSTMANLANDS LÄN</t>
        </is>
      </c>
      <c r="G375" t="inlineStr">
        <is>
          <t>SKINNSKATTEBERG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45532</v>
      </c>
      <c r="E376" s="1" t="n">
        <v>46299</v>
      </c>
      <c r="F376" t="inlineStr">
        <is>
          <t>VÄSTMANLANDS LÄN</t>
        </is>
      </c>
      <c r="G376" t="inlineStr">
        <is>
          <t>SKINNSKATTEBERG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46299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45048</v>
      </c>
      <c r="E378" s="1" t="n">
        <v>46299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35683-2024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46299</v>
      </c>
      <c r="F379" t="inlineStr">
        <is>
          <t>VÄSTMANLANDS LÄN</t>
        </is>
      </c>
      <c r="G379" t="inlineStr">
        <is>
          <t>SKINNSKATTEBERG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46299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45506</v>
      </c>
      <c r="E381" s="1" t="n">
        <v>46299</v>
      </c>
      <c r="F381" t="inlineStr">
        <is>
          <t>VÄSTMANLANDS LÄN</t>
        </is>
      </c>
      <c r="G381" t="inlineStr">
        <is>
          <t>SKINNSKATTEBERG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40546-2023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46299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45252</v>
      </c>
      <c r="E383" s="1" t="n">
        <v>46299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45014</v>
      </c>
      <c r="E384" s="1" t="n">
        <v>46299</v>
      </c>
      <c r="F384" t="inlineStr">
        <is>
          <t>VÄSTMANLANDS LÄN</t>
        </is>
      </c>
      <c r="G384" t="inlineStr">
        <is>
          <t>SKINNSKATTEBERG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14736-2023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45014</v>
      </c>
      <c r="E385" s="1" t="n">
        <v>46299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46299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45040</v>
      </c>
      <c r="E387" s="1" t="n">
        <v>46299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45592</v>
      </c>
      <c r="E388" s="1" t="n">
        <v>46299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46299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46299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46299</v>
      </c>
      <c r="F391" t="inlineStr">
        <is>
          <t>VÄSTMANLANDS LÄN</t>
        </is>
      </c>
      <c r="G391" t="inlineStr">
        <is>
          <t>SKINNSKATTEBERG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46299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50980-2022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44867</v>
      </c>
      <c r="E393" s="1" t="n">
        <v>46299</v>
      </c>
      <c r="F393" t="inlineStr">
        <is>
          <t>VÄSTMANLANDS LÄN</t>
        </is>
      </c>
      <c r="G393" t="inlineStr">
        <is>
          <t>SKINNSKATTEBERG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1765-2024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45435</v>
      </c>
      <c r="E394" s="1" t="n">
        <v>46299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1462-2025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45786</v>
      </c>
      <c r="E395" s="1" t="n">
        <v>46299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1931-2025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45827</v>
      </c>
      <c r="E396" s="1" t="n">
        <v>46299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2177-2025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45853</v>
      </c>
      <c r="E397" s="1" t="n">
        <v>46299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46299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2421-2025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46299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2420-2025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46299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2456-2025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45901</v>
      </c>
      <c r="E401" s="1" t="n">
        <v>46299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2578-2025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45915</v>
      </c>
      <c r="E402" s="1" t="n">
        <v>46299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1325-2026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46147</v>
      </c>
      <c r="E403" s="1" t="n">
        <v>46299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65.3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46182</v>
      </c>
      <c r="E404" s="1" t="n">
        <v>46299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46299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2239-2026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46260</v>
      </c>
      <c r="E406" s="1" t="n">
        <v>46299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46299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46299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2026-10-04T01:55:06Z</dcterms:created>
  <dcterms:modified xmlns:dcterms="http://purl.org/dc/terms/" xmlns:xsi="http://www.w3.org/2001/XMLSchema-instance" xsi:type="dcterms:W3CDTF">2026-10-04T01:55:07Z</dcterms:modified>
</cp:coreProperties>
</file>