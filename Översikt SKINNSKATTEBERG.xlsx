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46259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46259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46259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46259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46259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46259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46259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46259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44698-2024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45574</v>
      </c>
      <c r="E12" s="1" t="n">
        <v>46259</v>
      </c>
      <c r="F12" t="inlineStr">
        <is>
          <t>VÄSTMANLANDS LÄN</t>
        </is>
      </c>
      <c r="G12" t="inlineStr">
        <is>
          <t>SKINNSKATTEBERG</t>
        </is>
      </c>
      <c r="I12" t="n">
        <v>1.3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Hässleklocka
Tibast
Gullviva</t>
        </is>
      </c>
      <c r="W12">
        <f>HYPERLINK("https://klasma.github.io/Logging_1904/artfynd/A 44698-2024 artfynd.xlsx", "A 44698-2024")</f>
        <v/>
      </c>
      <c r="X12">
        <f>HYPERLINK("https://klasma.github.io/Logging_1904/kartor/A 44698-2024 karta.png", "A 44698-2024")</f>
        <v/>
      </c>
      <c r="Y12">
        <f>HYPERLINK("https://klasma.github.io/Logging_1904/kartor_geotiff/A 44698-2024 georefererad karta.tif", "A 44698-2024")</f>
        <v/>
      </c>
      <c r="AA12">
        <f>HYPERLINK("https://klasma.github.io/Logging_1904/klagomål/A 44698-2024 FSC-klagomål.docx", "A 44698-2024")</f>
        <v/>
      </c>
      <c r="AB12">
        <f>HYPERLINK("https://klasma.github.io/Logging_1904/klagomålsmail/A 44698-2024 FSC-klagomål mail.docx", "A 44698-2024")</f>
        <v/>
      </c>
      <c r="AC12">
        <f>HYPERLINK("https://klasma.github.io/Logging_1904/tillsyn/A 44698-2024 tillsynsbegäran.docx", "A 44698-2024")</f>
        <v/>
      </c>
      <c r="AD12">
        <f>HYPERLINK("https://klasma.github.io/Logging_1904/tillsynsmail/A 44698-2024 tillsynsbegäran mail.docx", "A 44698-2024")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46259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46259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Krusfrö
Järpe
Tjäder</t>
        </is>
      </c>
      <c r="W14">
        <f>HYPERLINK("https://klasma.github.io/Logging_1904/artfynd/A 13715-2024 artfynd.xlsx", "A 13715-2024")</f>
        <v/>
      </c>
      <c r="X14">
        <f>HYPERLINK("https://klasma.github.io/Logging_1904/kartor/A 13715-2024 karta.png", "A 13715-2024")</f>
        <v/>
      </c>
      <c r="Y14">
        <f>HYPERLINK("https://klasma.github.io/Logging_1904/kartor_geotiff/A 13715-2024 georefererad karta.tif", "A 13715-2024")</f>
        <v/>
      </c>
      <c r="AA14">
        <f>HYPERLINK("https://klasma.github.io/Logging_1904/klagomål/A 13715-2024 FSC-klagomål.docx", "A 13715-2024")</f>
        <v/>
      </c>
      <c r="AB14">
        <f>HYPERLINK("https://klasma.github.io/Logging_1904/klagomålsmail/A 13715-2024 FSC-klagomål mail.docx", "A 13715-2024")</f>
        <v/>
      </c>
      <c r="AC14">
        <f>HYPERLINK("https://klasma.github.io/Logging_1904/tillsyn/A 13715-2024 tillsynsbegäran.docx", "A 13715-2024")</f>
        <v/>
      </c>
      <c r="AD14">
        <f>HYPERLINK("https://klasma.github.io/Logging_1904/tillsynsmail/A 13715-2024 tillsynsbegäran mail.docx", "A 13715-2024")</f>
        <v/>
      </c>
      <c r="AE14">
        <f>HYPERLINK("https://klasma.github.io/Logging_1904/fåglar/A 13715-2024 prioriterade fågelarter.docx", "A 13715-2024")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46259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46259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46259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46259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46259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46259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46259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46259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46259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46259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31006-2025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45832</v>
      </c>
      <c r="E25" s="1" t="n">
        <v>46259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HYPERLINK("https://klasma.github.io/Logging_1904/artfynd/A 31006-2025 artfynd.xlsx", "A 31006-2025")</f>
        <v/>
      </c>
      <c r="X25">
        <f>HYPERLINK("https://klasma.github.io/Logging_1904/kartor/A 31006-2025 karta.png", "A 31006-2025")</f>
        <v/>
      </c>
      <c r="Y25">
        <f>HYPERLINK("https://klasma.github.io/Logging_1904/kartor_geotiff/A 31006-2025 georefererad karta.tif", "A 31006-2025")</f>
        <v/>
      </c>
      <c r="AA25">
        <f>HYPERLINK("https://klasma.github.io/Logging_1904/klagomål/A 31006-2025 FSC-klagomål.docx", "A 31006-2025")</f>
        <v/>
      </c>
      <c r="AB25">
        <f>HYPERLINK("https://klasma.github.io/Logging_1904/klagomålsmail/A 31006-2025 FSC-klagomål mail.docx", "A 31006-2025")</f>
        <v/>
      </c>
      <c r="AC25">
        <f>HYPERLINK("https://klasma.github.io/Logging_1904/tillsyn/A 31006-2025 tillsynsbegäran.docx", "A 31006-2025")</f>
        <v/>
      </c>
      <c r="AD25">
        <f>HYPERLINK("https://klasma.github.io/Logging_1904/tillsynsmail/A 31006-2025 tillsynsbegäran mail.docx", "A 31006-2025")</f>
        <v/>
      </c>
      <c r="AE25">
        <f>HYPERLINK("https://klasma.github.io/Logging_1904/fåglar/A 31006-2025 prioriterade fågelarter.docx", "A 31006-2025")</f>
        <v/>
      </c>
    </row>
    <row r="26" ht="15" customHeight="1">
      <c r="A26" t="inlineStr">
        <is>
          <t>A 49630-2024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46259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HYPERLINK("https://klasma.github.io/Logging_1904/artfynd/A 49630-2024 artfynd.xlsx", "A 49630-2024")</f>
        <v/>
      </c>
      <c r="X26">
        <f>HYPERLINK("https://klasma.github.io/Logging_1904/kartor/A 49630-2024 karta.png", "A 49630-2024")</f>
        <v/>
      </c>
      <c r="Y26">
        <f>HYPERLINK("https://klasma.github.io/Logging_1904/kartor_geotiff/A 49630-2024 georefererad karta.tif", "A 49630-2024")</f>
        <v/>
      </c>
      <c r="AA26">
        <f>HYPERLINK("https://klasma.github.io/Logging_1904/klagomål/A 49630-2024 FSC-klagomål.docx", "A 49630-2024")</f>
        <v/>
      </c>
      <c r="AB26">
        <f>HYPERLINK("https://klasma.github.io/Logging_1904/klagomålsmail/A 49630-2024 FSC-klagomål mail.docx", "A 49630-2024")</f>
        <v/>
      </c>
      <c r="AC26">
        <f>HYPERLINK("https://klasma.github.io/Logging_1904/tillsyn/A 49630-2024 tillsynsbegäran.docx", "A 49630-2024")</f>
        <v/>
      </c>
      <c r="AD26">
        <f>HYPERLINK("https://klasma.github.io/Logging_1904/tillsynsmail/A 49630-2024 tillsynsbegäran mail.docx", "A 49630-2024")</f>
        <v/>
      </c>
    </row>
    <row r="27" ht="15" customHeight="1">
      <c r="A27" t="inlineStr">
        <is>
          <t>A 9491-2024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46259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Skogshare</t>
        </is>
      </c>
      <c r="W27">
        <f>HYPERLINK("https://klasma.github.io/Logging_1904/artfynd/A 9491-2024 artfynd.xlsx", "A 9491-2024")</f>
        <v/>
      </c>
      <c r="X27">
        <f>HYPERLINK("https://klasma.github.io/Logging_1904/kartor/A 9491-2024 karta.png", "A 9491-2024")</f>
        <v/>
      </c>
      <c r="Y27">
        <f>HYPERLINK("https://klasma.github.io/Logging_1904/kartor_geotiff/A 9491-2024 georefererad karta.tif", "A 9491-2024")</f>
        <v/>
      </c>
      <c r="AA27">
        <f>HYPERLINK("https://klasma.github.io/Logging_1904/klagomål/A 9491-2024 FSC-klagomål.docx", "A 9491-2024")</f>
        <v/>
      </c>
      <c r="AB27">
        <f>HYPERLINK("https://klasma.github.io/Logging_1904/klagomålsmail/A 9491-2024 FSC-klagomål mail.docx", "A 9491-2024")</f>
        <v/>
      </c>
      <c r="AC27">
        <f>HYPERLINK("https://klasma.github.io/Logging_1904/tillsyn/A 9491-2024 tillsynsbegäran.docx", "A 9491-2024")</f>
        <v/>
      </c>
      <c r="AD27">
        <f>HYPERLINK("https://klasma.github.io/Logging_1904/tillsynsmail/A 9491-2024 tillsynsbegäran mail.docx", "A 9491-2024")</f>
        <v/>
      </c>
    </row>
    <row r="28" ht="15" customHeight="1">
      <c r="A28" t="inlineStr">
        <is>
          <t>A 43413-2024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45568</v>
      </c>
      <c r="E28" s="1" t="n">
        <v>46259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Orange taggsvamp</t>
        </is>
      </c>
      <c r="W28">
        <f>HYPERLINK("https://klasma.github.io/Logging_1904/artfynd/A 43413-2024 artfynd.xlsx", "A 43413-2024")</f>
        <v/>
      </c>
      <c r="X28">
        <f>HYPERLINK("https://klasma.github.io/Logging_1904/kartor/A 43413-2024 karta.png", "A 43413-2024")</f>
        <v/>
      </c>
      <c r="Y28">
        <f>HYPERLINK("https://klasma.github.io/Logging_1904/kartor_geotiff/A 43413-2024 georefererad karta.tif", "A 43413-2024")</f>
        <v/>
      </c>
      <c r="AA28">
        <f>HYPERLINK("https://klasma.github.io/Logging_1904/klagomål/A 43413-2024 FSC-klagomål.docx", "A 43413-2024")</f>
        <v/>
      </c>
      <c r="AB28">
        <f>HYPERLINK("https://klasma.github.io/Logging_1904/klagomålsmail/A 43413-2024 FSC-klagomål mail.docx", "A 43413-2024")</f>
        <v/>
      </c>
      <c r="AC28">
        <f>HYPERLINK("https://klasma.github.io/Logging_1904/tillsyn/A 43413-2024 tillsynsbegäran.docx", "A 43413-2024")</f>
        <v/>
      </c>
      <c r="AD28">
        <f>HYPERLINK("https://klasma.github.io/Logging_1904/tillsynsmail/A 43413-2024 tillsynsbegäran mail.docx", "A 43413-2024")</f>
        <v/>
      </c>
    </row>
    <row r="29" ht="15" customHeight="1">
      <c r="A29" t="inlineStr">
        <is>
          <t>A 27565-2024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45474</v>
      </c>
      <c r="E29" s="1" t="n">
        <v>46259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Mörk husmossa</t>
        </is>
      </c>
      <c r="W29">
        <f>HYPERLINK("https://klasma.github.io/Logging_1904/artfynd/A 27565-2024 artfynd.xlsx", "A 27565-2024")</f>
        <v/>
      </c>
      <c r="X29">
        <f>HYPERLINK("https://klasma.github.io/Logging_1904/kartor/A 27565-2024 karta.png", "A 27565-2024")</f>
        <v/>
      </c>
      <c r="Y29">
        <f>HYPERLINK("https://klasma.github.io/Logging_1904/kartor_geotiff/A 27565-2024 georefererad karta.tif", "A 27565-2024")</f>
        <v/>
      </c>
      <c r="AA29">
        <f>HYPERLINK("https://klasma.github.io/Logging_1904/klagomål/A 27565-2024 FSC-klagomål.docx", "A 27565-2024")</f>
        <v/>
      </c>
      <c r="AB29">
        <f>HYPERLINK("https://klasma.github.io/Logging_1904/klagomålsmail/A 27565-2024 FSC-klagomål mail.docx", "A 27565-2024")</f>
        <v/>
      </c>
      <c r="AC29">
        <f>HYPERLINK("https://klasma.github.io/Logging_1904/tillsyn/A 27565-2024 tillsynsbegäran.docx", "A 27565-2024")</f>
        <v/>
      </c>
      <c r="AD29">
        <f>HYPERLINK("https://klasma.github.io/Logging_1904/tillsynsmail/A 27565-2024 tillsynsbegäran mail.docx", "A 27565-2024")</f>
        <v/>
      </c>
    </row>
    <row r="30" ht="15" customHeight="1">
      <c r="A30" t="inlineStr">
        <is>
          <t>A 33435-2024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45519</v>
      </c>
      <c r="E30" s="1" t="n">
        <v>46259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HYPERLINK("https://klasma.github.io/Logging_1904/artfynd/A 33435-2024 artfynd.xlsx", "A 33435-2024")</f>
        <v/>
      </c>
      <c r="X30">
        <f>HYPERLINK("https://klasma.github.io/Logging_1904/kartor/A 33435-2024 karta.png", "A 33435-2024")</f>
        <v/>
      </c>
      <c r="Y30">
        <f>HYPERLINK("https://klasma.github.io/Logging_1904/kartor_geotiff/A 33435-2024 georefererad karta.tif", "A 33435-2024")</f>
        <v/>
      </c>
      <c r="AA30">
        <f>HYPERLINK("https://klasma.github.io/Logging_1904/klagomål/A 33435-2024 FSC-klagomål.docx", "A 33435-2024")</f>
        <v/>
      </c>
      <c r="AB30">
        <f>HYPERLINK("https://klasma.github.io/Logging_1904/klagomålsmail/A 33435-2024 FSC-klagomål mail.docx", "A 33435-2024")</f>
        <v/>
      </c>
      <c r="AC30">
        <f>HYPERLINK("https://klasma.github.io/Logging_1904/tillsyn/A 33435-2024 tillsynsbegäran.docx", "A 33435-2024")</f>
        <v/>
      </c>
      <c r="AD30">
        <f>HYPERLINK("https://klasma.github.io/Logging_1904/tillsynsmail/A 33435-2024 tillsynsbegäran mail.docx", "A 33435-2024")</f>
        <v/>
      </c>
      <c r="AE30">
        <f>HYPERLINK("https://klasma.github.io/Logging_1904/fåglar/A 33435-2024 prioriterade fågelarter.docx", "A 33435-2024")</f>
        <v/>
      </c>
    </row>
    <row r="31" ht="15" customHeight="1">
      <c r="A31" t="inlineStr">
        <is>
          <t>A 12024-2023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44995</v>
      </c>
      <c r="E31" s="1" t="n">
        <v>46259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HYPERLINK("https://klasma.github.io/Logging_1904/artfynd/A 12024-2023 artfynd.xlsx", "A 12024-2023")</f>
        <v/>
      </c>
      <c r="X31">
        <f>HYPERLINK("https://klasma.github.io/Logging_1904/kartor/A 12024-2023 karta.png", "A 12024-2023")</f>
        <v/>
      </c>
      <c r="Y31">
        <f>HYPERLINK("https://klasma.github.io/Logging_1904/kartor_geotiff/A 12024-2023 georefererad karta.tif", "A 12024-2023")</f>
        <v/>
      </c>
      <c r="AA31">
        <f>HYPERLINK("https://klasma.github.io/Logging_1904/klagomål/A 12024-2023 FSC-klagomål.docx", "A 12024-2023")</f>
        <v/>
      </c>
      <c r="AB31">
        <f>HYPERLINK("https://klasma.github.io/Logging_1904/klagomålsmail/A 12024-2023 FSC-klagomål mail.docx", "A 12024-2023")</f>
        <v/>
      </c>
      <c r="AC31">
        <f>HYPERLINK("https://klasma.github.io/Logging_1904/tillsyn/A 12024-2023 tillsynsbegäran.docx", "A 12024-2023")</f>
        <v/>
      </c>
      <c r="AD31">
        <f>HYPERLINK("https://klasma.github.io/Logging_1904/tillsynsmail/A 12024-2023 tillsynsbegäran mail.docx", "A 12024-2023")</f>
        <v/>
      </c>
    </row>
    <row r="32" ht="15" customHeight="1">
      <c r="A32" t="inlineStr">
        <is>
          <t>A 19205-2024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46259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Järpe</t>
        </is>
      </c>
      <c r="W32">
        <f>HYPERLINK("https://klasma.github.io/Logging_1904/artfynd/A 19205-2024 artfynd.xlsx", "A 19205-2024")</f>
        <v/>
      </c>
      <c r="X32">
        <f>HYPERLINK("https://klasma.github.io/Logging_1904/kartor/A 19205-2024 karta.png", "A 19205-2024")</f>
        <v/>
      </c>
      <c r="Y32">
        <f>HYPERLINK("https://klasma.github.io/Logging_1904/kartor_geotiff/A 19205-2024 georefererad karta.tif", "A 19205-2024")</f>
        <v/>
      </c>
      <c r="AA32">
        <f>HYPERLINK("https://klasma.github.io/Logging_1904/klagomål/A 19205-2024 FSC-klagomål.docx", "A 19205-2024")</f>
        <v/>
      </c>
      <c r="AB32">
        <f>HYPERLINK("https://klasma.github.io/Logging_1904/klagomålsmail/A 19205-2024 FSC-klagomål mail.docx", "A 19205-2024")</f>
        <v/>
      </c>
      <c r="AC32">
        <f>HYPERLINK("https://klasma.github.io/Logging_1904/tillsyn/A 19205-2024 tillsynsbegäran.docx", "A 19205-2024")</f>
        <v/>
      </c>
      <c r="AD32">
        <f>HYPERLINK("https://klasma.github.io/Logging_1904/tillsynsmail/A 19205-2024 tillsynsbegäran mail.docx", "A 19205-2024")</f>
        <v/>
      </c>
      <c r="AE32">
        <f>HYPERLINK("https://klasma.github.io/Logging_1904/fåglar/A 19205-2024 prioriterade fågelarter.docx", "A 19205-2024")</f>
        <v/>
      </c>
    </row>
    <row r="33" ht="15" customHeight="1">
      <c r="A33" t="inlineStr">
        <is>
          <t>A 15734-2026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46107</v>
      </c>
      <c r="E33" s="1" t="n">
        <v>46259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Koppartaggsvamp</t>
        </is>
      </c>
      <c r="W33">
        <f>HYPERLINK("https://klasma.github.io/Logging_1904/artfynd/A 15734-2026 artfynd.xlsx", "A 15734-2026")</f>
        <v/>
      </c>
      <c r="X33">
        <f>HYPERLINK("https://klasma.github.io/Logging_1904/kartor/A 15734-2026 karta.png", "A 15734-2026")</f>
        <v/>
      </c>
      <c r="Y33">
        <f>HYPERLINK("https://klasma.github.io/Logging_1904/kartor_geotiff/A 15734-2026 georefererad karta.tif", "A 15734-2026")</f>
        <v/>
      </c>
      <c r="AA33">
        <f>HYPERLINK("https://klasma.github.io/Logging_1904/klagomål/A 15734-2026 FSC-klagomål.docx", "A 15734-2026")</f>
        <v/>
      </c>
      <c r="AB33">
        <f>HYPERLINK("https://klasma.github.io/Logging_1904/klagomålsmail/A 15734-2026 FSC-klagomål mail.docx", "A 15734-2026")</f>
        <v/>
      </c>
      <c r="AC33">
        <f>HYPERLINK("https://klasma.github.io/Logging_1904/tillsyn/A 15734-2026 tillsynsbegäran.docx", "A 15734-2026")</f>
        <v/>
      </c>
      <c r="AD33">
        <f>HYPERLINK("https://klasma.github.io/Logging_1904/tillsynsmail/A 15734-2026 tillsynsbegäran mail.docx", "A 15734-2026")</f>
        <v/>
      </c>
    </row>
    <row r="34" ht="15" customHeight="1">
      <c r="A34" t="inlineStr">
        <is>
          <t>A 9490-2024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46259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9490-2024 artfynd.xlsx", "A 9490-2024")</f>
        <v/>
      </c>
      <c r="X34">
        <f>HYPERLINK("https://klasma.github.io/Logging_1904/kartor/A 9490-2024 karta.png", "A 9490-2024")</f>
        <v/>
      </c>
      <c r="Y34">
        <f>HYPERLINK("https://klasma.github.io/Logging_1904/kartor_geotiff/A 9490-2024 georefererad karta.tif", "A 9490-2024")</f>
        <v/>
      </c>
      <c r="AA34">
        <f>HYPERLINK("https://klasma.github.io/Logging_1904/klagomål/A 9490-2024 FSC-klagomål.docx", "A 9490-2024")</f>
        <v/>
      </c>
      <c r="AB34">
        <f>HYPERLINK("https://klasma.github.io/Logging_1904/klagomålsmail/A 9490-2024 FSC-klagomål mail.docx", "A 9490-2024")</f>
        <v/>
      </c>
      <c r="AC34">
        <f>HYPERLINK("https://klasma.github.io/Logging_1904/tillsyn/A 9490-2024 tillsynsbegäran.docx", "A 9490-2024")</f>
        <v/>
      </c>
      <c r="AD34">
        <f>HYPERLINK("https://klasma.github.io/Logging_1904/tillsynsmail/A 9490-2024 tillsynsbegäran mail.docx", "A 9490-2024")</f>
        <v/>
      </c>
      <c r="AE34">
        <f>HYPERLINK("https://klasma.github.io/Logging_1904/fåglar/A 9490-2024 prioriterade fågelarter.docx", "A 9490-2024")</f>
        <v/>
      </c>
    </row>
    <row r="35" ht="15" customHeight="1">
      <c r="A35" t="inlineStr">
        <is>
          <t>A 54296-2023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46259</v>
      </c>
      <c r="F35" t="inlineStr">
        <is>
          <t>VÄSTMANLANDS LÄN</t>
        </is>
      </c>
      <c r="G35" t="inlineStr">
        <is>
          <t>SKINNSKATTEBERG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HYPERLINK("https://klasma.github.io/Logging_1904/artfynd/A 54296-2023 artfynd.xlsx", "A 54296-2023")</f>
        <v/>
      </c>
      <c r="X35">
        <f>HYPERLINK("https://klasma.github.io/Logging_1904/kartor/A 54296-2023 karta.png", "A 54296-2023")</f>
        <v/>
      </c>
      <c r="Y35">
        <f>HYPERLINK("https://klasma.github.io/Logging_1904/kartor_geotiff/A 54296-2023 georefererad karta.tif", "A 54296-2023")</f>
        <v/>
      </c>
      <c r="AA35">
        <f>HYPERLINK("https://klasma.github.io/Logging_1904/klagomål/A 54296-2023 FSC-klagomål.docx", "A 54296-2023")</f>
        <v/>
      </c>
      <c r="AB35">
        <f>HYPERLINK("https://klasma.github.io/Logging_1904/klagomålsmail/A 54296-2023 FSC-klagomål mail.docx", "A 54296-2023")</f>
        <v/>
      </c>
      <c r="AC35">
        <f>HYPERLINK("https://klasma.github.io/Logging_1904/tillsyn/A 54296-2023 tillsynsbegäran.docx", "A 54296-2023")</f>
        <v/>
      </c>
      <c r="AD35">
        <f>HYPERLINK("https://klasma.github.io/Logging_1904/tillsynsmail/A 54296-2023 tillsynsbegäran mail.docx", "A 54296-2023")</f>
        <v/>
      </c>
    </row>
    <row r="36" ht="15" customHeight="1">
      <c r="A36" t="inlineStr">
        <is>
          <t>A 47538-2025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46259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Svinrot</t>
        </is>
      </c>
      <c r="W36">
        <f>HYPERLINK("https://klasma.github.io/Logging_1904/artfynd/A 47538-2025 artfynd.xlsx", "A 47538-2025")</f>
        <v/>
      </c>
      <c r="X36">
        <f>HYPERLINK("https://klasma.github.io/Logging_1904/kartor/A 47538-2025 karta.png", "A 47538-2025")</f>
        <v/>
      </c>
      <c r="Y36">
        <f>HYPERLINK("https://klasma.github.io/Logging_1904/kartor_geotiff/A 47538-2025 georefererad karta.tif", "A 47538-2025")</f>
        <v/>
      </c>
      <c r="AA36">
        <f>HYPERLINK("https://klasma.github.io/Logging_1904/klagomål/A 47538-2025 FSC-klagomål.docx", "A 47538-2025")</f>
        <v/>
      </c>
      <c r="AB36">
        <f>HYPERLINK("https://klasma.github.io/Logging_1904/klagomålsmail/A 47538-2025 FSC-klagomål mail.docx", "A 47538-2025")</f>
        <v/>
      </c>
      <c r="AC36">
        <f>HYPERLINK("https://klasma.github.io/Logging_1904/tillsyn/A 47538-2025 tillsynsbegäran.docx", "A 47538-2025")</f>
        <v/>
      </c>
      <c r="AD36">
        <f>HYPERLINK("https://klasma.github.io/Logging_1904/tillsynsmail/A 47538-2025 tillsynsbegäran mail.docx", "A 47538-2025")</f>
        <v/>
      </c>
    </row>
    <row r="37" ht="15" customHeight="1">
      <c r="A37" t="inlineStr">
        <is>
          <t>A 20559-2026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46140</v>
      </c>
      <c r="E37" s="1" t="n">
        <v>46259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20559-2026 artfynd.xlsx", "A 20559-2026")</f>
        <v/>
      </c>
      <c r="X37">
        <f>HYPERLINK("https://klasma.github.io/Logging_1904/kartor/A 20559-2026 karta.png", "A 20559-2026")</f>
        <v/>
      </c>
      <c r="Y37">
        <f>HYPERLINK("https://klasma.github.io/Logging_1904/kartor_geotiff/A 20559-2026 georefererad karta.tif", "A 20559-2026")</f>
        <v/>
      </c>
      <c r="AA37">
        <f>HYPERLINK("https://klasma.github.io/Logging_1904/klagomål/A 20559-2026 FSC-klagomål.docx", "A 20559-2026")</f>
        <v/>
      </c>
      <c r="AB37">
        <f>HYPERLINK("https://klasma.github.io/Logging_1904/klagomålsmail/A 20559-2026 FSC-klagomål mail.docx", "A 20559-2026")</f>
        <v/>
      </c>
      <c r="AC37">
        <f>HYPERLINK("https://klasma.github.io/Logging_1904/tillsyn/A 20559-2026 tillsynsbegäran.docx", "A 20559-2026")</f>
        <v/>
      </c>
      <c r="AD37">
        <f>HYPERLINK("https://klasma.github.io/Logging_1904/tillsynsmail/A 20559-2026 tillsynsbegäran mail.docx", "A 20559-2026")</f>
        <v/>
      </c>
      <c r="AE37">
        <f>HYPERLINK("https://klasma.github.io/Logging_1904/fåglar/A 20559-2026 prioriterade fågelarter.docx", "A 20559-2026")</f>
        <v/>
      </c>
    </row>
    <row r="38" ht="15" customHeight="1">
      <c r="A38" t="inlineStr">
        <is>
          <t>A 21849-2026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46259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12.5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HYPERLINK("https://klasma.github.io/Logging_1904/artfynd/A 21849-2026 artfynd.xlsx", "A 21849-2026")</f>
        <v/>
      </c>
      <c r="X38">
        <f>HYPERLINK("https://klasma.github.io/Logging_1904/kartor/A 21849-2026 karta.png", "A 21849-2026")</f>
        <v/>
      </c>
      <c r="Y38">
        <f>HYPERLINK("https://klasma.github.io/Logging_1904/kartor_geotiff/A 21849-2026 georefererad karta.tif", "A 21849-2026")</f>
        <v/>
      </c>
      <c r="Z38">
        <f>HYPERLINK("https://klasma.github.io/Logging_1904/knärot/A 21849-2026 karta knärot.png", "A 21849-2026")</f>
        <v/>
      </c>
      <c r="AA38">
        <f>HYPERLINK("https://klasma.github.io/Logging_1904/klagomål/A 21849-2026 FSC-klagomål.docx", "A 21849-2026")</f>
        <v/>
      </c>
      <c r="AB38">
        <f>HYPERLINK("https://klasma.github.io/Logging_1904/klagomålsmail/A 21849-2026 FSC-klagomål mail.docx", "A 21849-2026")</f>
        <v/>
      </c>
      <c r="AC38">
        <f>HYPERLINK("https://klasma.github.io/Logging_1904/tillsyn/A 21849-2026 tillsynsbegäran.docx", "A 21849-2026")</f>
        <v/>
      </c>
      <c r="AD38">
        <f>HYPERLINK("https://klasma.github.io/Logging_1904/tillsynsmail/A 21849-2026 tillsynsbegäran mail.docx", "A 21849-2026")</f>
        <v/>
      </c>
    </row>
    <row r="39" ht="15" customHeight="1">
      <c r="A39" t="inlineStr">
        <is>
          <t>A 28312-2023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45099</v>
      </c>
      <c r="E39" s="1" t="n">
        <v>46259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Skrovlig taggsvamp</t>
        </is>
      </c>
      <c r="W39">
        <f>HYPERLINK("https://klasma.github.io/Logging_1904/artfynd/A 28312-2023 artfynd.xlsx", "A 28312-2023")</f>
        <v/>
      </c>
      <c r="X39">
        <f>HYPERLINK("https://klasma.github.io/Logging_1904/kartor/A 28312-2023 karta.png", "A 28312-2023")</f>
        <v/>
      </c>
      <c r="Y39">
        <f>HYPERLINK("https://klasma.github.io/Logging_1904/kartor_geotiff/A 28312-2023 georefererad karta.tif", "A 28312-2023")</f>
        <v/>
      </c>
      <c r="AA39">
        <f>HYPERLINK("https://klasma.github.io/Logging_1904/klagomål/A 28312-2023 FSC-klagomål.docx", "A 28312-2023")</f>
        <v/>
      </c>
      <c r="AB39">
        <f>HYPERLINK("https://klasma.github.io/Logging_1904/klagomålsmail/A 28312-2023 FSC-klagomål mail.docx", "A 28312-2023")</f>
        <v/>
      </c>
      <c r="AC39">
        <f>HYPERLINK("https://klasma.github.io/Logging_1904/tillsyn/A 28312-2023 tillsynsbegäran.docx", "A 28312-2023")</f>
        <v/>
      </c>
      <c r="AD39">
        <f>HYPERLINK("https://klasma.github.io/Logging_1904/tillsynsmail/A 28312-2023 tillsynsbegäran mail.docx", "A 28312-2023")</f>
        <v/>
      </c>
    </row>
    <row r="40" ht="15" customHeight="1">
      <c r="A40" t="inlineStr">
        <is>
          <t>A 57747-2023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45246</v>
      </c>
      <c r="E40" s="1" t="n">
        <v>46259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Myopa fasciata</t>
        </is>
      </c>
      <c r="W40">
        <f>HYPERLINK("https://klasma.github.io/Logging_1904/artfynd/A 57747-2023 artfynd.xlsx", "A 57747-2023")</f>
        <v/>
      </c>
      <c r="X40">
        <f>HYPERLINK("https://klasma.github.io/Logging_1904/kartor/A 57747-2023 karta.png", "A 57747-2023")</f>
        <v/>
      </c>
      <c r="Y40">
        <f>HYPERLINK("https://klasma.github.io/Logging_1904/kartor_geotiff/A 57747-2023 georefererad karta.tif", "A 57747-2023")</f>
        <v/>
      </c>
      <c r="AA40">
        <f>HYPERLINK("https://klasma.github.io/Logging_1904/klagomål/A 57747-2023 FSC-klagomål.docx", "A 57747-2023")</f>
        <v/>
      </c>
      <c r="AB40">
        <f>HYPERLINK("https://klasma.github.io/Logging_1904/klagomålsmail/A 57747-2023 FSC-klagomål mail.docx", "A 57747-2023")</f>
        <v/>
      </c>
      <c r="AC40">
        <f>HYPERLINK("https://klasma.github.io/Logging_1904/tillsyn/A 57747-2023 tillsynsbegäran.docx", "A 57747-2023")</f>
        <v/>
      </c>
      <c r="AD40">
        <f>HYPERLINK("https://klasma.github.io/Logging_1904/tillsynsmail/A 57747-2023 tillsynsbegäran mail.docx", "A 57747-2023")</f>
        <v/>
      </c>
    </row>
    <row r="41" ht="15" customHeight="1">
      <c r="A41" t="inlineStr">
        <is>
          <t>A 24492-2026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46259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HYPERLINK("https://klasma.github.io/Logging_1904/artfynd/A 24492-2026 artfynd.xlsx", "A 24492-2026")</f>
        <v/>
      </c>
      <c r="X41">
        <f>HYPERLINK("https://klasma.github.io/Logging_1904/kartor/A 24492-2026 karta.png", "A 24492-2026")</f>
        <v/>
      </c>
      <c r="Y41">
        <f>HYPERLINK("https://klasma.github.io/Logging_1904/kartor_geotiff/A 24492-2026 georefererad karta.tif", "A 24492-2026")</f>
        <v/>
      </c>
      <c r="AA41">
        <f>HYPERLINK("https://klasma.github.io/Logging_1904/klagomål/A 24492-2026 FSC-klagomål.docx", "A 24492-2026")</f>
        <v/>
      </c>
      <c r="AB41">
        <f>HYPERLINK("https://klasma.github.io/Logging_1904/klagomålsmail/A 24492-2026 FSC-klagomål mail.docx", "A 24492-2026")</f>
        <v/>
      </c>
      <c r="AC41">
        <f>HYPERLINK("https://klasma.github.io/Logging_1904/tillsyn/A 24492-2026 tillsynsbegäran.docx", "A 24492-2026")</f>
        <v/>
      </c>
      <c r="AD41">
        <f>HYPERLINK("https://klasma.github.io/Logging_1904/tillsynsmail/A 24492-2026 tillsynsbegäran mail.docx", "A 24492-2026")</f>
        <v/>
      </c>
      <c r="AE41">
        <f>HYPERLINK("https://klasma.github.io/Logging_1904/fåglar/A 24492-2026 prioriterade fågelarter.docx", "A 24492-2026")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46259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HYPERLINK("https://klasma.github.io/Logging_1904/artfynd/A 24944-2026 artfynd.xlsx", "A 24944-2026")</f>
        <v/>
      </c>
      <c r="X42">
        <f>HYPERLINK("https://klasma.github.io/Logging_1904/kartor/A 24944-2026 karta.png", "A 24944-2026")</f>
        <v/>
      </c>
      <c r="Y42">
        <f>HYPERLINK("https://klasma.github.io/Logging_1904/kartor_geotiff/A 24944-2026 georefererad karta.tif", "A 24944-2026")</f>
        <v/>
      </c>
      <c r="AA42">
        <f>HYPERLINK("https://klasma.github.io/Logging_1904/klagomål/A 24944-2026 FSC-klagomål.docx", "A 24944-2026")</f>
        <v/>
      </c>
      <c r="AB42">
        <f>HYPERLINK("https://klasma.github.io/Logging_1904/klagomålsmail/A 24944-2026 FSC-klagomål mail.docx", "A 24944-2026")</f>
        <v/>
      </c>
      <c r="AC42">
        <f>HYPERLINK("https://klasma.github.io/Logging_1904/tillsyn/A 24944-2026 tillsynsbegäran.docx", "A 24944-2026")</f>
        <v/>
      </c>
      <c r="AD42">
        <f>HYPERLINK("https://klasma.github.io/Logging_1904/tillsynsmail/A 24944-2026 tillsynsbegäran mail.docx", "A 24944-2026")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46259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57395-2025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46259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6.9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HYPERLINK("https://klasma.github.io/Logging_1904/artfynd/A 57395-2025 artfynd.xlsx", "A 57395-2025")</f>
        <v/>
      </c>
      <c r="X44">
        <f>HYPERLINK("https://klasma.github.io/Logging_1904/kartor/A 57395-2025 karta.png", "A 57395-2025")</f>
        <v/>
      </c>
      <c r="Y44">
        <f>HYPERLINK("https://klasma.github.io/Logging_1904/kartor_geotiff/A 57395-2025 georefererad karta.tif", "A 57395-2025")</f>
        <v/>
      </c>
      <c r="AA44">
        <f>HYPERLINK("https://klasma.github.io/Logging_1904/klagomål/A 57395-2025 FSC-klagomål.docx", "A 57395-2025")</f>
        <v/>
      </c>
      <c r="AB44">
        <f>HYPERLINK("https://klasma.github.io/Logging_1904/klagomålsmail/A 57395-2025 FSC-klagomål mail.docx", "A 57395-2025")</f>
        <v/>
      </c>
      <c r="AC44">
        <f>HYPERLINK("https://klasma.github.io/Logging_1904/tillsyn/A 57395-2025 tillsynsbegäran.docx", "A 57395-2025")</f>
        <v/>
      </c>
      <c r="AD44">
        <f>HYPERLINK("https://klasma.github.io/Logging_1904/tillsynsmail/A 57395-2025 tillsynsbegäran mail.docx", "A 57395-2025")</f>
        <v/>
      </c>
    </row>
    <row r="45" ht="15" customHeight="1">
      <c r="A45" t="inlineStr">
        <is>
          <t>A 34303-2026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46259</v>
      </c>
      <c r="F45" t="inlineStr">
        <is>
          <t>VÄSTMANLANDS LÄN</t>
        </is>
      </c>
      <c r="G45" t="inlineStr">
        <is>
          <t>SKINNSKATTEBERG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HYPERLINK("https://klasma.github.io/Logging_1904/artfynd/A 34303-2026 artfynd.xlsx", "A 34303-2026")</f>
        <v/>
      </c>
      <c r="X45">
        <f>HYPERLINK("https://klasma.github.io/Logging_1904/kartor/A 34303-2026 karta.png", "A 34303-2026")</f>
        <v/>
      </c>
      <c r="Y45">
        <f>HYPERLINK("https://klasma.github.io/Logging_1904/kartor_geotiff/A 34303-2026 georefererad karta.tif", "A 34303-2026")</f>
        <v/>
      </c>
      <c r="AA45">
        <f>HYPERLINK("https://klasma.github.io/Logging_1904/klagomål/A 34303-2026 FSC-klagomål.docx", "A 34303-2026")</f>
        <v/>
      </c>
      <c r="AB45">
        <f>HYPERLINK("https://klasma.github.io/Logging_1904/klagomålsmail/A 34303-2026 FSC-klagomål mail.docx", "A 34303-2026")</f>
        <v/>
      </c>
      <c r="AC45">
        <f>HYPERLINK("https://klasma.github.io/Logging_1904/tillsyn/A 34303-2026 tillsynsbegäran.docx", "A 34303-2026")</f>
        <v/>
      </c>
      <c r="AD45">
        <f>HYPERLINK("https://klasma.github.io/Logging_1904/tillsynsmail/A 34303-2026 tillsynsbegäran mail.docx", "A 34303-2026")</f>
        <v/>
      </c>
    </row>
    <row r="46" ht="15" customHeight="1">
      <c r="A46" t="inlineStr">
        <is>
          <t>A 30579-2026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46259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Motaggsvamp</t>
        </is>
      </c>
      <c r="W46">
        <f>HYPERLINK("https://klasma.github.io/Logging_1904/artfynd/A 30579-2026 artfynd.xlsx", "A 30579-2026")</f>
        <v/>
      </c>
      <c r="X46">
        <f>HYPERLINK("https://klasma.github.io/Logging_1904/kartor/A 30579-2026 karta.png", "A 30579-2026")</f>
        <v/>
      </c>
      <c r="Y46">
        <f>HYPERLINK("https://klasma.github.io/Logging_1904/kartor_geotiff/A 30579-2026 georefererad karta.tif", "A 30579-2026")</f>
        <v/>
      </c>
      <c r="AA46">
        <f>HYPERLINK("https://klasma.github.io/Logging_1904/klagomål/A 30579-2026 FSC-klagomål.docx", "A 30579-2026")</f>
        <v/>
      </c>
      <c r="AB46">
        <f>HYPERLINK("https://klasma.github.io/Logging_1904/klagomålsmail/A 30579-2026 FSC-klagomål mail.docx", "A 30579-2026")</f>
        <v/>
      </c>
      <c r="AC46">
        <f>HYPERLINK("https://klasma.github.io/Logging_1904/tillsyn/A 30579-2026 tillsynsbegäran.docx", "A 30579-2026")</f>
        <v/>
      </c>
      <c r="AD46">
        <f>HYPERLINK("https://klasma.github.io/Logging_1904/tillsynsmail/A 30579-2026 tillsynsbegäran mail.docx", "A 30579-2026")</f>
        <v/>
      </c>
    </row>
    <row r="47" ht="15" customHeight="1">
      <c r="A47" t="inlineStr">
        <is>
          <t>S 3632-2024</t>
        </is>
      </c>
      <c r="B47" t="inlineStr">
        <is>
          <t>samrådsanmälan</t>
        </is>
      </c>
      <c r="C47" t="inlineStr">
        <is>
          <t>Skogsgödsling</t>
        </is>
      </c>
      <c r="D47" s="1" t="n">
        <v>45548</v>
      </c>
      <c r="E47" s="1" t="n">
        <v>46259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196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Tjäder</t>
        </is>
      </c>
      <c r="W47">
        <f>HYPERLINK("https://klasma.github.io/Logging_1904/artfynd/S 3632-2024 artfynd.xlsx", "S 3632-2024")</f>
        <v/>
      </c>
      <c r="X47">
        <f>HYPERLINK("https://klasma.github.io/Logging_1904/kartor/S 3632-2024 karta.png", "S 3632-2024")</f>
        <v/>
      </c>
      <c r="Y47">
        <f>HYPERLINK("https://klasma.github.io/Logging_1904/kartor_geotiff/S 3632-2024 georefererad karta.tif", "S 3632-2024")</f>
        <v/>
      </c>
      <c r="AA47">
        <f>HYPERLINK("https://klasma.github.io/Logging_1904/klagomål/S 3632-2024 FSC-klagomål.docx", "S 3632-2024")</f>
        <v/>
      </c>
      <c r="AB47">
        <f>HYPERLINK("https://klasma.github.io/Logging_1904/klagomålsmail/S 3632-2024 FSC-klagomål mail.docx", "S 3632-2024")</f>
        <v/>
      </c>
      <c r="AC47">
        <f>HYPERLINK("https://klasma.github.io/Logging_1904/tillsyn/S 3632-2024 tillsynsbegäran.docx", "S 3632-2024")</f>
        <v/>
      </c>
      <c r="AD47">
        <f>HYPERLINK("https://klasma.github.io/Logging_1904/tillsynsmail/S 3632-2024 tillsynsbegäran mail.docx", "S 3632-2024")</f>
        <v/>
      </c>
      <c r="AE47">
        <f>HYPERLINK("https://klasma.github.io/Logging_1904/fåglar/S 3632-2024 prioriterade fågelarter.docx", "S 3632-2024")</f>
        <v/>
      </c>
    </row>
    <row r="48" ht="15" customHeight="1">
      <c r="A48" t="inlineStr">
        <is>
          <t>S 1982-2025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45832</v>
      </c>
      <c r="E48" s="1" t="n">
        <v>46259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HYPERLINK("https://klasma.github.io/Logging_1904/artfynd/S 1982-2025 artfynd.xlsx", "S 1982-2025")</f>
        <v/>
      </c>
      <c r="X48">
        <f>HYPERLINK("https://klasma.github.io/Logging_1904/kartor/S 1982-2025 karta.png", "S 1982-2025")</f>
        <v/>
      </c>
      <c r="Y48">
        <f>HYPERLINK("https://klasma.github.io/Logging_1904/kartor_geotiff/S 1982-2025 georefererad karta.tif", "S 1982-2025")</f>
        <v/>
      </c>
      <c r="AA48">
        <f>HYPERLINK("https://klasma.github.io/Logging_1904/klagomål/S 1982-2025 FSC-klagomål.docx", "S 1982-2025")</f>
        <v/>
      </c>
      <c r="AB48">
        <f>HYPERLINK("https://klasma.github.io/Logging_1904/klagomålsmail/S 1982-2025 FSC-klagomål mail.docx", "S 1982-2025")</f>
        <v/>
      </c>
      <c r="AC48">
        <f>HYPERLINK("https://klasma.github.io/Logging_1904/tillsyn/S 1982-2025 tillsynsbegäran.docx", "S 1982-2025")</f>
        <v/>
      </c>
      <c r="AD48">
        <f>HYPERLINK("https://klasma.github.io/Logging_1904/tillsynsmail/S 1982-2025 tillsynsbegäran mail.docx", "S 1982-2025")</f>
        <v/>
      </c>
      <c r="AE48">
        <f>HYPERLINK("https://klasma.github.io/Logging_1904/fåglar/S 1982-2025 prioriterade fågelarter.docx", "S 1982-2025")</f>
        <v/>
      </c>
    </row>
    <row r="49" ht="15" customHeight="1">
      <c r="A49" t="inlineStr">
        <is>
          <t>S 870-2026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46107</v>
      </c>
      <c r="E49" s="1" t="n">
        <v>46259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Koppartaggsvamp</t>
        </is>
      </c>
      <c r="W49">
        <f>HYPERLINK("https://klasma.github.io/Logging_1904/artfynd/S 870-2026 artfynd.xlsx", "S 870-2026")</f>
        <v/>
      </c>
      <c r="X49">
        <f>HYPERLINK("https://klasma.github.io/Logging_1904/kartor/S 870-2026 karta.png", "S 870-2026")</f>
        <v/>
      </c>
      <c r="Y49">
        <f>HYPERLINK("https://klasma.github.io/Logging_1904/kartor_geotiff/S 870-2026 georefererad karta.tif", "S 870-2026")</f>
        <v/>
      </c>
      <c r="AA49">
        <f>HYPERLINK("https://klasma.github.io/Logging_1904/klagomål/S 870-2026 FSC-klagomål.docx", "S 870-2026")</f>
        <v/>
      </c>
      <c r="AB49">
        <f>HYPERLINK("https://klasma.github.io/Logging_1904/klagomålsmail/S 870-2026 FSC-klagomål mail.docx", "S 870-2026")</f>
        <v/>
      </c>
      <c r="AC49">
        <f>HYPERLINK("https://klasma.github.io/Logging_1904/tillsyn/S 870-2026 tillsynsbegäran.docx", "S 870-2026")</f>
        <v/>
      </c>
      <c r="AD49">
        <f>HYPERLINK("https://klasma.github.io/Logging_1904/tillsynsmail/S 870-2026 tillsynsbegäran mail.docx", "S 870-2026")</f>
        <v/>
      </c>
    </row>
    <row r="50" ht="15" customHeight="1">
      <c r="A50" t="inlineStr">
        <is>
          <t>A 33600-2022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44789</v>
      </c>
      <c r="E50" s="1" t="n">
        <v>46259</v>
      </c>
      <c r="F50" t="inlineStr">
        <is>
          <t>VÄSTMANLANDS LÄN</t>
        </is>
      </c>
      <c r="G50" t="inlineStr">
        <is>
          <t>SKINNSKATTEBERG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44545</v>
      </c>
      <c r="E51" s="1" t="n">
        <v>46259</v>
      </c>
      <c r="F51" t="inlineStr">
        <is>
          <t>VÄSTMANLANDS LÄN</t>
        </is>
      </c>
      <c r="G51" t="inlineStr">
        <is>
          <t>SKINNSKATTEBERG</t>
        </is>
      </c>
      <c r="I51" t="n">
        <v>7.9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53454-2022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44879</v>
      </c>
      <c r="E52" s="1" t="n">
        <v>46259</v>
      </c>
      <c r="F52" t="inlineStr">
        <is>
          <t>VÄSTMANLANDS LÄN</t>
        </is>
      </c>
      <c r="G52" t="inlineStr">
        <is>
          <t>SKINNSKATTEBERG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46259</v>
      </c>
      <c r="F53" t="inlineStr">
        <is>
          <t>VÄSTMANLANDS LÄN</t>
        </is>
      </c>
      <c r="G53" t="inlineStr">
        <is>
          <t>SKINNSKATTEBERG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16860-2022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44674</v>
      </c>
      <c r="E54" s="1" t="n">
        <v>46259</v>
      </c>
      <c r="F54" t="inlineStr">
        <is>
          <t>VÄSTMANLANDS LÄN</t>
        </is>
      </c>
      <c r="G54" t="inlineStr">
        <is>
          <t>SKINNSKATTEBERG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44829</v>
      </c>
      <c r="E55" s="1" t="n">
        <v>46259</v>
      </c>
      <c r="F55" t="inlineStr">
        <is>
          <t>VÄSTMANLANDS LÄN</t>
        </is>
      </c>
      <c r="G55" t="inlineStr">
        <is>
          <t>SKINNSKATTEBERG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69259-2021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46259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44545</v>
      </c>
      <c r="E57" s="1" t="n">
        <v>46259</v>
      </c>
      <c r="F57" t="inlineStr">
        <is>
          <t>VÄSTMANLANDS LÄN</t>
        </is>
      </c>
      <c r="G57" t="inlineStr">
        <is>
          <t>SKINNSKATTEBERG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44741</v>
      </c>
      <c r="E58" s="1" t="n">
        <v>46259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40499-2022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46259</v>
      </c>
      <c r="F59" t="inlineStr">
        <is>
          <t>VÄSTMANLANDS LÄN</t>
        </is>
      </c>
      <c r="G59" t="inlineStr">
        <is>
          <t>SKINNSKATTEBERG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46259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46259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46259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66587-2021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46259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46259</v>
      </c>
      <c r="F64" t="inlineStr">
        <is>
          <t>VÄSTMANLANDS LÄN</t>
        </is>
      </c>
      <c r="G64" t="inlineStr">
        <is>
          <t>SKINNSKATTEBERG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46259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46259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46259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46259</v>
      </c>
      <c r="F68" t="inlineStr">
        <is>
          <t>VÄSTMANLANDS LÄN</t>
        </is>
      </c>
      <c r="G68" t="inlineStr">
        <is>
          <t>SKINNSKATTEBERG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25846-2025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45804</v>
      </c>
      <c r="E69" s="1" t="n">
        <v>46259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10232-2025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45720</v>
      </c>
      <c r="E70" s="1" t="n">
        <v>46259</v>
      </c>
      <c r="F70" t="inlineStr">
        <is>
          <t>VÄSTMANLANDS LÄN</t>
        </is>
      </c>
      <c r="G70" t="inlineStr">
        <is>
          <t>SKINNSKATTEBERG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46259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56921-2023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46259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Kyrkan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46259</v>
      </c>
      <c r="F73" t="inlineStr">
        <is>
          <t>VÄSTMANLANDS LÄN</t>
        </is>
      </c>
      <c r="G73" t="inlineStr">
        <is>
          <t>SKINNSKATTEBERG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46259</v>
      </c>
      <c r="F74" t="inlineStr">
        <is>
          <t>VÄSTMANLANDS LÄN</t>
        </is>
      </c>
      <c r="G74" t="inlineStr">
        <is>
          <t>SKINNSKATTEBERG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45480</v>
      </c>
      <c r="E75" s="1" t="n">
        <v>46259</v>
      </c>
      <c r="F75" t="inlineStr">
        <is>
          <t>VÄSTMANLANDS LÄN</t>
        </is>
      </c>
      <c r="G75" t="inlineStr">
        <is>
          <t>SKINNSKATTEBERG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53183-2021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44468</v>
      </c>
      <c r="E76" s="1" t="n">
        <v>46259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46259</v>
      </c>
      <c r="F77" t="inlineStr">
        <is>
          <t>VÄSTMANLANDS LÄN</t>
        </is>
      </c>
      <c r="G77" t="inlineStr">
        <is>
          <t>SKINNSKATTEBERG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32316-2024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46259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46259</v>
      </c>
      <c r="F79" t="inlineStr">
        <is>
          <t>VÄSTMANLANDS LÄN</t>
        </is>
      </c>
      <c r="G79" t="inlineStr">
        <is>
          <t>SKINNSKATTEBERG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28873-2025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45820</v>
      </c>
      <c r="E80" s="1" t="n">
        <v>46259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46259</v>
      </c>
      <c r="F81" t="inlineStr">
        <is>
          <t>VÄSTMANLANDS LÄN</t>
        </is>
      </c>
      <c r="G81" t="inlineStr">
        <is>
          <t>SKINNSKATTEBERG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28831-2025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45820</v>
      </c>
      <c r="E82" s="1" t="n">
        <v>46259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52600-2021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46259</v>
      </c>
      <c r="F83" t="inlineStr">
        <is>
          <t>VÄSTMANLANDS LÄN</t>
        </is>
      </c>
      <c r="G83" t="inlineStr">
        <is>
          <t>SKINNSKATTEBERG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45406</v>
      </c>
      <c r="E84" s="1" t="n">
        <v>46259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46259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46259</v>
      </c>
      <c r="F86" t="inlineStr">
        <is>
          <t>VÄSTMANLANDS LÄN</t>
        </is>
      </c>
      <c r="G86" t="inlineStr">
        <is>
          <t>SKINNSKATTEBERG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29808-2025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45825</v>
      </c>
      <c r="E87" s="1" t="n">
        <v>46259</v>
      </c>
      <c r="F87" t="inlineStr">
        <is>
          <t>VÄSTMANLANDS LÄN</t>
        </is>
      </c>
      <c r="G87" t="inlineStr">
        <is>
          <t>SKINNSKATTEBERG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29810-2025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45825</v>
      </c>
      <c r="E88" s="1" t="n">
        <v>46259</v>
      </c>
      <c r="F88" t="inlineStr">
        <is>
          <t>VÄSTMANLANDS LÄN</t>
        </is>
      </c>
      <c r="G88" t="inlineStr">
        <is>
          <t>SKINNSKATTEBERG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46259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30439-2025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45827</v>
      </c>
      <c r="E90" s="1" t="n">
        <v>46259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20248-2024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45434</v>
      </c>
      <c r="E91" s="1" t="n">
        <v>46259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46259</v>
      </c>
      <c r="F92" t="inlineStr">
        <is>
          <t>VÄSTMANLANDS LÄN</t>
        </is>
      </c>
      <c r="G92" t="inlineStr">
        <is>
          <t>SKINNSKATTEBERG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46259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45407</v>
      </c>
      <c r="E94" s="1" t="n">
        <v>46259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16394-2024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45407</v>
      </c>
      <c r="E95" s="1" t="n">
        <v>46259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45832</v>
      </c>
      <c r="E96" s="1" t="n">
        <v>46259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31234-2025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45832</v>
      </c>
      <c r="E97" s="1" t="n">
        <v>46259</v>
      </c>
      <c r="F97" t="inlineStr">
        <is>
          <t>VÄSTMANLANDS LÄN</t>
        </is>
      </c>
      <c r="G97" t="inlineStr">
        <is>
          <t>SKINNSKATTEBERG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46259</v>
      </c>
      <c r="F98" t="inlineStr">
        <is>
          <t>VÄSTMANLANDS LÄN</t>
        </is>
      </c>
      <c r="G98" t="inlineStr">
        <is>
          <t>SKINNSKATTEBERG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46259</v>
      </c>
      <c r="F99" t="inlineStr">
        <is>
          <t>VÄSTMANLANDS LÄN</t>
        </is>
      </c>
      <c r="G99" t="inlineStr">
        <is>
          <t>SKINNSKATTEBERG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46259</v>
      </c>
      <c r="F100" t="inlineStr">
        <is>
          <t>VÄSTMANLANDS LÄN</t>
        </is>
      </c>
      <c r="G100" t="inlineStr">
        <is>
          <t>SKINNSKATTEBERG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40554-2024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45555</v>
      </c>
      <c r="E101" s="1" t="n">
        <v>46259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16729-2024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45410</v>
      </c>
      <c r="E102" s="1" t="n">
        <v>46259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45128</v>
      </c>
      <c r="E103" s="1" t="n">
        <v>46259</v>
      </c>
      <c r="F103" t="inlineStr">
        <is>
          <t>VÄSTMANLANDS LÄN</t>
        </is>
      </c>
      <c r="G103" t="inlineStr">
        <is>
          <t>SKINNSKATTEBERG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46259</v>
      </c>
      <c r="F104" t="inlineStr">
        <is>
          <t>VÄSTMANLANDS LÄN</t>
        </is>
      </c>
      <c r="G104" t="inlineStr">
        <is>
          <t>SKINNSKATTEBERG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46259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45848</v>
      </c>
      <c r="E106" s="1" t="n">
        <v>46259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46259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45375</v>
      </c>
      <c r="E108" s="1" t="n">
        <v>46259</v>
      </c>
      <c r="F108" t="inlineStr">
        <is>
          <t>VÄSTMANLANDS LÄN</t>
        </is>
      </c>
      <c r="G108" t="inlineStr">
        <is>
          <t>SKINNSKATTEBERG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44965</v>
      </c>
      <c r="E109" s="1" t="n">
        <v>46259</v>
      </c>
      <c r="F109" t="inlineStr">
        <is>
          <t>VÄSTMANLANDS LÄN</t>
        </is>
      </c>
      <c r="G109" t="inlineStr">
        <is>
          <t>SKINNSKATTEBERG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45853</v>
      </c>
      <c r="E110" s="1" t="n">
        <v>46259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35205-2025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45853</v>
      </c>
      <c r="E111" s="1" t="n">
        <v>46259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45568</v>
      </c>
      <c r="E112" s="1" t="n">
        <v>46259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46259</v>
      </c>
      <c r="F113" t="inlineStr">
        <is>
          <t>VÄSTMANLANDS LÄN</t>
        </is>
      </c>
      <c r="G113" t="inlineStr">
        <is>
          <t>SKINNSKATTEBERG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44936</v>
      </c>
      <c r="E114" s="1" t="n">
        <v>46259</v>
      </c>
      <c r="F114" t="inlineStr">
        <is>
          <t>VÄSTMANLANDS LÄN</t>
        </is>
      </c>
      <c r="G114" t="inlineStr">
        <is>
          <t>SKINNSKATTEBERG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46259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53243-2021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46259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45247</v>
      </c>
      <c r="E117" s="1" t="n">
        <v>46259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46259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45434</v>
      </c>
      <c r="E119" s="1" t="n">
        <v>46259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45880</v>
      </c>
      <c r="E120" s="1" t="n">
        <v>46259</v>
      </c>
      <c r="F120" t="inlineStr">
        <is>
          <t>VÄSTMANLANDS LÄN</t>
        </is>
      </c>
      <c r="G120" t="inlineStr">
        <is>
          <t>SKINNSKATTEBERG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44693-2024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45574</v>
      </c>
      <c r="E121" s="1" t="n">
        <v>46259</v>
      </c>
      <c r="F121" t="inlineStr">
        <is>
          <t>VÄSTMANLANDS LÄN</t>
        </is>
      </c>
      <c r="G121" t="inlineStr">
        <is>
          <t>SKINNSKATTEBERG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45574</v>
      </c>
      <c r="E122" s="1" t="n">
        <v>46259</v>
      </c>
      <c r="F122" t="inlineStr">
        <is>
          <t>VÄSTMANLANDS LÄN</t>
        </is>
      </c>
      <c r="G122" t="inlineStr">
        <is>
          <t>SKINNSKATTEBERG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40782-2025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45897</v>
      </c>
      <c r="E123" s="1" t="n">
        <v>46259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55428-2021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44475</v>
      </c>
      <c r="E124" s="1" t="n">
        <v>46259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45897</v>
      </c>
      <c r="E125" s="1" t="n">
        <v>46259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46259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46259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46259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46259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40776-2025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45897</v>
      </c>
      <c r="E130" s="1" t="n">
        <v>46259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66584-2021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46259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44995</v>
      </c>
      <c r="E132" s="1" t="n">
        <v>46259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46259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46259</v>
      </c>
      <c r="F134" t="inlineStr">
        <is>
          <t>VÄSTMANLANDS LÄN</t>
        </is>
      </c>
      <c r="G134" t="inlineStr">
        <is>
          <t>SKINNSKATTEBERG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45401</v>
      </c>
      <c r="E135" s="1" t="n">
        <v>46259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18161-2024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45420</v>
      </c>
      <c r="E136" s="1" t="n">
        <v>46259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45014</v>
      </c>
      <c r="E137" s="1" t="n">
        <v>46259</v>
      </c>
      <c r="F137" t="inlineStr">
        <is>
          <t>VÄSTMANLANDS LÄN</t>
        </is>
      </c>
      <c r="G137" t="inlineStr">
        <is>
          <t>SKINNSKATTEBERG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14736-2023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45014</v>
      </c>
      <c r="E138" s="1" t="n">
        <v>46259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16088-2024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45406</v>
      </c>
      <c r="E139" s="1" t="n">
        <v>46259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46259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46259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46259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46259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45216</v>
      </c>
      <c r="E144" s="1" t="n">
        <v>46259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45643</v>
      </c>
      <c r="E145" s="1" t="n">
        <v>46259</v>
      </c>
      <c r="F145" t="inlineStr">
        <is>
          <t>VÄSTMANLANDS LÄN</t>
        </is>
      </c>
      <c r="G145" t="inlineStr">
        <is>
          <t>SKINNSKATTEBERG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46259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46107</v>
      </c>
      <c r="E147" s="1" t="n">
        <v>46259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46259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45506</v>
      </c>
      <c r="E149" s="1" t="n">
        <v>46259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46259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46259</v>
      </c>
      <c r="F151" t="inlineStr">
        <is>
          <t>VÄSTMANLANDS LÄN</t>
        </is>
      </c>
      <c r="G151" t="inlineStr">
        <is>
          <t>SKINNSKATTEBERG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46259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16136-2026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46108</v>
      </c>
      <c r="E153" s="1" t="n">
        <v>46259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45504</v>
      </c>
      <c r="E154" s="1" t="n">
        <v>46259</v>
      </c>
      <c r="F154" t="inlineStr">
        <is>
          <t>VÄSTMANLANDS LÄN</t>
        </is>
      </c>
      <c r="G154" t="inlineStr">
        <is>
          <t>SKINNSKATTEBERG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46259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15955-2026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46108</v>
      </c>
      <c r="E156" s="1" t="n">
        <v>46259</v>
      </c>
      <c r="F156" t="inlineStr">
        <is>
          <t>VÄSTMANLANDS LÄN</t>
        </is>
      </c>
      <c r="G156" t="inlineStr">
        <is>
          <t>SKINNSKATTEBERG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46259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46259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46259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45915</v>
      </c>
      <c r="E160" s="1" t="n">
        <v>46259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44184-2025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45915</v>
      </c>
      <c r="E161" s="1" t="n">
        <v>46259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46114</v>
      </c>
      <c r="E162" s="1" t="n">
        <v>46259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17344-2026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46259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41581-2025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45901</v>
      </c>
      <c r="E164" s="1" t="n">
        <v>46259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46259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44967</v>
      </c>
      <c r="E166" s="1" t="n">
        <v>46259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45407</v>
      </c>
      <c r="E167" s="1" t="n">
        <v>46259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46259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46259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46259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46259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18948-2026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46259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46259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46259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45919</v>
      </c>
      <c r="E175" s="1" t="n">
        <v>46259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46259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46259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19582-2026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46134</v>
      </c>
      <c r="E178" s="1" t="n">
        <v>46259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19541-2026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46134</v>
      </c>
      <c r="E179" s="1" t="n">
        <v>46259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19540-2026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46134</v>
      </c>
      <c r="E180" s="1" t="n">
        <v>46259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45770</v>
      </c>
      <c r="E181" s="1" t="n">
        <v>46259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46259</v>
      </c>
      <c r="F182" t="inlineStr">
        <is>
          <t>VÄSTMANLANDS LÄN</t>
        </is>
      </c>
      <c r="G182" t="inlineStr">
        <is>
          <t>SKINNSKATTEBERG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46259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45558</v>
      </c>
      <c r="E184" s="1" t="n">
        <v>46259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46259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45085</v>
      </c>
      <c r="E186" s="1" t="n">
        <v>46259</v>
      </c>
      <c r="F186" t="inlineStr">
        <is>
          <t>VÄSTMANLANDS LÄN</t>
        </is>
      </c>
      <c r="G186" t="inlineStr">
        <is>
          <t>SKINNSKATTEBERG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46259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44728</v>
      </c>
      <c r="E188" s="1" t="n">
        <v>46259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15184-2025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45744</v>
      </c>
      <c r="E189" s="1" t="n">
        <v>46259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46259</v>
      </c>
      <c r="F190" t="inlineStr">
        <is>
          <t>VÄSTMANLANDS LÄN</t>
        </is>
      </c>
      <c r="G190" t="inlineStr">
        <is>
          <t>SKINNSKATTEBERG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46259</v>
      </c>
      <c r="F191" t="inlineStr">
        <is>
          <t>VÄSTMANLANDS LÄN</t>
        </is>
      </c>
      <c r="G191" t="inlineStr">
        <is>
          <t>SKINNSKATTEBERG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46259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20563-2026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46140</v>
      </c>
      <c r="E193" s="1" t="n">
        <v>46259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46259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45407</v>
      </c>
      <c r="E195" s="1" t="n">
        <v>46259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45096</v>
      </c>
      <c r="E196" s="1" t="n">
        <v>46259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46259</v>
      </c>
      <c r="F197" t="inlineStr">
        <is>
          <t>VÄSTMANLANDS LÄN</t>
        </is>
      </c>
      <c r="G197" t="inlineStr">
        <is>
          <t>SKINNSKATTEBERG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46259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46259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45174</v>
      </c>
      <c r="E200" s="1" t="n">
        <v>46259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46259</v>
      </c>
      <c r="F201" t="inlineStr">
        <is>
          <t>VÄSTMANLANDS LÄN</t>
        </is>
      </c>
      <c r="G201" t="inlineStr">
        <is>
          <t>SKINNSKATTEBERG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45420</v>
      </c>
      <c r="E202" s="1" t="n">
        <v>46259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46259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46259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45610</v>
      </c>
      <c r="E205" s="1" t="n">
        <v>46259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46259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46259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45306</v>
      </c>
      <c r="E208" s="1" t="n">
        <v>46259</v>
      </c>
      <c r="F208" t="inlineStr">
        <is>
          <t>VÄSTMANLANDS LÄN</t>
        </is>
      </c>
      <c r="G208" t="inlineStr">
        <is>
          <t>SKINNSKATTEBERG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45306</v>
      </c>
      <c r="E209" s="1" t="n">
        <v>46259</v>
      </c>
      <c r="F209" t="inlineStr">
        <is>
          <t>VÄSTMANLANDS LÄN</t>
        </is>
      </c>
      <c r="G209" t="inlineStr">
        <is>
          <t>SKINNSKATTEBERG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45306</v>
      </c>
      <c r="E210" s="1" t="n">
        <v>46259</v>
      </c>
      <c r="F210" t="inlineStr">
        <is>
          <t>VÄSTMANLANDS LÄN</t>
        </is>
      </c>
      <c r="G210" t="inlineStr">
        <is>
          <t>SKINNSKATTEBERG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46259</v>
      </c>
      <c r="F211" t="inlineStr">
        <is>
          <t>VÄSTMANLANDS LÄN</t>
        </is>
      </c>
      <c r="G211" t="inlineStr">
        <is>
          <t>SKINNSKATTEBERG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45237</v>
      </c>
      <c r="E212" s="1" t="n">
        <v>46259</v>
      </c>
      <c r="F212" t="inlineStr">
        <is>
          <t>VÄSTMANLANDS LÄN</t>
        </is>
      </c>
      <c r="G212" t="inlineStr">
        <is>
          <t>SKINNSKATTEBERG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45177</v>
      </c>
      <c r="E213" s="1" t="n">
        <v>46259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24777-2022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44728</v>
      </c>
      <c r="E214" s="1" t="n">
        <v>46259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46259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Kyrkan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44768</v>
      </c>
      <c r="E216" s="1" t="n">
        <v>46259</v>
      </c>
      <c r="F216" t="inlineStr">
        <is>
          <t>VÄSTMANLANDS LÄN</t>
        </is>
      </c>
      <c r="G216" t="inlineStr">
        <is>
          <t>SKINNSKATTEBERG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46142</v>
      </c>
      <c r="E217" s="1" t="n">
        <v>46259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46259</v>
      </c>
      <c r="F218" t="inlineStr">
        <is>
          <t>VÄSTMANLANDS LÄN</t>
        </is>
      </c>
      <c r="G218" t="inlineStr">
        <is>
          <t>SKINNSKATTEBERG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46259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46259</v>
      </c>
      <c r="F220" t="inlineStr">
        <is>
          <t>VÄSTMANLANDS LÄN</t>
        </is>
      </c>
      <c r="G220" t="inlineStr">
        <is>
          <t>SKINNSKATTEBERG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20850-2026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46259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46259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46259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46142</v>
      </c>
      <c r="E224" s="1" t="n">
        <v>46259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46259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46259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61181-2021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44498</v>
      </c>
      <c r="E227" s="1" t="n">
        <v>46259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45532</v>
      </c>
      <c r="E228" s="1" t="n">
        <v>46259</v>
      </c>
      <c r="F228" t="inlineStr">
        <is>
          <t>VÄSTMANLANDS LÄN</t>
        </is>
      </c>
      <c r="G228" t="inlineStr">
        <is>
          <t>SKINNSKATTEBERG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35834-2024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45532</v>
      </c>
      <c r="E229" s="1" t="n">
        <v>46259</v>
      </c>
      <c r="F229" t="inlineStr">
        <is>
          <t>VÄSTMANLANDS LÄN</t>
        </is>
      </c>
      <c r="G229" t="inlineStr">
        <is>
          <t>SKINNSKATTEBERG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46259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51508-2021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44462</v>
      </c>
      <c r="E231" s="1" t="n">
        <v>46259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46259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46259</v>
      </c>
      <c r="F233" t="inlineStr">
        <is>
          <t>VÄSTMANLANDS LÄN</t>
        </is>
      </c>
      <c r="G233" t="inlineStr">
        <is>
          <t>SKINNSKATTEBERG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46259</v>
      </c>
      <c r="F234" t="inlineStr">
        <is>
          <t>VÄSTMANLANDS LÄN</t>
        </is>
      </c>
      <c r="G234" t="inlineStr">
        <is>
          <t>SKINNSKATTEBERG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46150</v>
      </c>
      <c r="E235" s="1" t="n">
        <v>46259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13676-2022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44648</v>
      </c>
      <c r="E236" s="1" t="n">
        <v>46259</v>
      </c>
      <c r="F236" t="inlineStr">
        <is>
          <t>VÄSTMANLANDS LÄN</t>
        </is>
      </c>
      <c r="G236" t="inlineStr">
        <is>
          <t>SKINNSKATTEBERG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46150</v>
      </c>
      <c r="E237" s="1" t="n">
        <v>46259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45532</v>
      </c>
      <c r="E238" s="1" t="n">
        <v>46259</v>
      </c>
      <c r="F238" t="inlineStr">
        <is>
          <t>VÄSTMANLANDS LÄN</t>
        </is>
      </c>
      <c r="G238" t="inlineStr">
        <is>
          <t>SKINNSKATTEBERG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29708-2024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45485</v>
      </c>
      <c r="E239" s="1" t="n">
        <v>46259</v>
      </c>
      <c r="F239" t="inlineStr">
        <is>
          <t>VÄSTMANLANDS LÄN</t>
        </is>
      </c>
      <c r="G239" t="inlineStr">
        <is>
          <t>SKINNSKATTEBERG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46259</v>
      </c>
      <c r="F240" t="inlineStr">
        <is>
          <t>VÄSTMANLANDS LÄN</t>
        </is>
      </c>
      <c r="G240" t="inlineStr">
        <is>
          <t>SKINNSKATTEBERG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46259</v>
      </c>
      <c r="F241" t="inlineStr">
        <is>
          <t>VÄSTMANLANDS LÄN</t>
        </is>
      </c>
      <c r="G241" t="inlineStr">
        <is>
          <t>SKINNSKATTEBERG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51028-2025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45947</v>
      </c>
      <c r="E242" s="1" t="n">
        <v>46259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46259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51025-2025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46259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45947</v>
      </c>
      <c r="E245" s="1" t="n">
        <v>46259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53142-2021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44468</v>
      </c>
      <c r="E246" s="1" t="n">
        <v>46259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53145-2021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44468</v>
      </c>
      <c r="E247" s="1" t="n">
        <v>46259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22779-2026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46157</v>
      </c>
      <c r="E248" s="1" t="n">
        <v>46259</v>
      </c>
      <c r="F248" t="inlineStr">
        <is>
          <t>VÄSTMANLANDS LÄN</t>
        </is>
      </c>
      <c r="G248" t="inlineStr">
        <is>
          <t>SKINNSKATTEBERG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45040</v>
      </c>
      <c r="E249" s="1" t="n">
        <v>46259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45376</v>
      </c>
      <c r="E250" s="1" t="n">
        <v>46259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46259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46259</v>
      </c>
      <c r="F252" t="inlineStr">
        <is>
          <t>VÄSTMANLANDS LÄN</t>
        </is>
      </c>
      <c r="G252" t="inlineStr">
        <is>
          <t>SKINNSKATTEBERG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45048</v>
      </c>
      <c r="E253" s="1" t="n">
        <v>46259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46259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46259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46259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46259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46259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46259</v>
      </c>
      <c r="F259" t="inlineStr">
        <is>
          <t>VÄSTMANLANDS LÄN</t>
        </is>
      </c>
      <c r="G259" t="inlineStr">
        <is>
          <t>SKINNSKATTEBERG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52728-2025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46259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46259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46259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7103-2022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44603</v>
      </c>
      <c r="E263" s="1" t="n">
        <v>46259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Kyrkan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46259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45425</v>
      </c>
      <c r="E265" s="1" t="n">
        <v>46259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46259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46259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46259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46259</v>
      </c>
      <c r="F269" t="inlineStr">
        <is>
          <t>VÄSTMANLANDS LÄN</t>
        </is>
      </c>
      <c r="G269" t="inlineStr">
        <is>
          <t>SKINNSKATTEBERG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46259</v>
      </c>
      <c r="F270" t="inlineStr">
        <is>
          <t>VÄSTMANLANDS LÄN</t>
        </is>
      </c>
      <c r="G270" t="inlineStr">
        <is>
          <t>SKINNSKATTEBERG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46259</v>
      </c>
      <c r="F271" t="inlineStr">
        <is>
          <t>VÄSTMANLANDS LÄN</t>
        </is>
      </c>
      <c r="G271" t="inlineStr">
        <is>
          <t>SKINNSKATTEBERG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46259</v>
      </c>
      <c r="F272" t="inlineStr">
        <is>
          <t>VÄSTMANLANDS LÄN</t>
        </is>
      </c>
      <c r="G272" t="inlineStr">
        <is>
          <t>SKINNSKATTEBERG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30353-2023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45111</v>
      </c>
      <c r="E273" s="1" t="n">
        <v>46259</v>
      </c>
      <c r="F273" t="inlineStr">
        <is>
          <t>VÄSTMANLANDS LÄN</t>
        </is>
      </c>
      <c r="G273" t="inlineStr">
        <is>
          <t>SKINNSKATTEBERG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46259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46259</v>
      </c>
      <c r="F275" t="inlineStr">
        <is>
          <t>VÄSTMANLANDS LÄN</t>
        </is>
      </c>
      <c r="G275" t="inlineStr">
        <is>
          <t>SKINNSKATTEBERG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45387</v>
      </c>
      <c r="E276" s="1" t="n">
        <v>46259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46259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45967</v>
      </c>
      <c r="E278" s="1" t="n">
        <v>46259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46259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46259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8.699999999999999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46259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44964</v>
      </c>
      <c r="E282" s="1" t="n">
        <v>46259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46259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46259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13713-2024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45390</v>
      </c>
      <c r="E285" s="1" t="n">
        <v>46259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53880-2021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46259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25843-2023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45090</v>
      </c>
      <c r="E287" s="1" t="n">
        <v>46259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46259</v>
      </c>
      <c r="F288" t="inlineStr">
        <is>
          <t>VÄSTMANLANDS LÄN</t>
        </is>
      </c>
      <c r="G288" t="inlineStr">
        <is>
          <t>SKINNSKATTEBERG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26356-2026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46182</v>
      </c>
      <c r="E289" s="1" t="n">
        <v>46259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26354-2026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46182</v>
      </c>
      <c r="E290" s="1" t="n">
        <v>46259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46259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46259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46259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46259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46259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26865-2026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46259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45762</v>
      </c>
      <c r="E297" s="1" t="n">
        <v>46259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56465-2025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45975</v>
      </c>
      <c r="E298" s="1" t="n">
        <v>46259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46259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46259</v>
      </c>
      <c r="F300" t="inlineStr">
        <is>
          <t>VÄSTMANLANDS LÄN</t>
        </is>
      </c>
      <c r="G300" t="inlineStr">
        <is>
          <t>SKINNSKATTEBERG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46259</v>
      </c>
      <c r="F301" t="inlineStr">
        <is>
          <t>VÄSTMANLANDS LÄN</t>
        </is>
      </c>
      <c r="G301" t="inlineStr">
        <is>
          <t>SKINNSKATTEBERG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45006</v>
      </c>
      <c r="E302" s="1" t="n">
        <v>46259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Allmännings- och besparingsskogar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45987</v>
      </c>
      <c r="E303" s="1" t="n">
        <v>46259</v>
      </c>
      <c r="F303" t="inlineStr">
        <is>
          <t>VÄSTMANLANDS LÄN</t>
        </is>
      </c>
      <c r="G303" t="inlineStr">
        <is>
          <t>SKINNSKATTEBERG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46259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27637-2026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46190</v>
      </c>
      <c r="E305" s="1" t="n">
        <v>46259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46259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19919-2025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46259</v>
      </c>
      <c r="F307" t="inlineStr">
        <is>
          <t>VÄSTMANLANDS LÄN</t>
        </is>
      </c>
      <c r="G307" t="inlineStr">
        <is>
          <t>SKINNSKATTEBERG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45056</v>
      </c>
      <c r="E308" s="1" t="n">
        <v>46259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46259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46259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46259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46259</v>
      </c>
      <c r="F312" t="inlineStr">
        <is>
          <t>VÄSTMANLANDS LÄN</t>
        </is>
      </c>
      <c r="G312" t="inlineStr">
        <is>
          <t>SKINNSKATTEBERG</t>
        </is>
      </c>
      <c r="I312" t="n">
        <v>9.1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54657-2022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44883</v>
      </c>
      <c r="E313" s="1" t="n">
        <v>46259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44803</v>
      </c>
      <c r="E314" s="1" t="n">
        <v>46259</v>
      </c>
      <c r="F314" t="inlineStr">
        <is>
          <t>VÄSTMANLANDS LÄN</t>
        </is>
      </c>
      <c r="G314" t="inlineStr">
        <is>
          <t>SKINNSKATTEBERG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46259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60185-2022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44910</v>
      </c>
      <c r="E316" s="1" t="n">
        <v>46259</v>
      </c>
      <c r="F316" t="inlineStr">
        <is>
          <t>VÄSTMANLANDS LÄN</t>
        </is>
      </c>
      <c r="G316" t="inlineStr">
        <is>
          <t>SKINNSKATTEBERG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33900-2023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45134</v>
      </c>
      <c r="E317" s="1" t="n">
        <v>46259</v>
      </c>
      <c r="F317" t="inlineStr">
        <is>
          <t>VÄSTMANLANDS LÄN</t>
        </is>
      </c>
      <c r="G317" t="inlineStr">
        <is>
          <t>SKINNSKATTEBERG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15561-2024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45401</v>
      </c>
      <c r="E318" s="1" t="n">
        <v>46259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46259</v>
      </c>
      <c r="F319" t="inlineStr">
        <is>
          <t>VÄSTMANLANDS LÄN</t>
        </is>
      </c>
      <c r="G319" t="inlineStr">
        <is>
          <t>SKINNSKATTEBERG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45114</v>
      </c>
      <c r="E320" s="1" t="n">
        <v>46259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45068</v>
      </c>
      <c r="E321" s="1" t="n">
        <v>46259</v>
      </c>
      <c r="F321" t="inlineStr">
        <is>
          <t>VÄSTMANLANDS LÄN</t>
        </is>
      </c>
      <c r="G321" t="inlineStr">
        <is>
          <t>SKINNSKATTEBERG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46259</v>
      </c>
      <c r="F322" t="inlineStr">
        <is>
          <t>VÄSTMANLANDS LÄN</t>
        </is>
      </c>
      <c r="G322" t="inlineStr">
        <is>
          <t>SKINNSKATTEBERG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22394-2022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44713</v>
      </c>
      <c r="E323" s="1" t="n">
        <v>46259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48492-2024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45592</v>
      </c>
      <c r="E324" s="1" t="n">
        <v>46259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46197</v>
      </c>
      <c r="E325" s="1" t="n">
        <v>46259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45571</v>
      </c>
      <c r="E326" s="1" t="n">
        <v>46259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45571</v>
      </c>
      <c r="E327" s="1" t="n">
        <v>46259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46259</v>
      </c>
      <c r="F328" t="inlineStr">
        <is>
          <t>VÄSTMANLANDS LÄN</t>
        </is>
      </c>
      <c r="G328" t="inlineStr">
        <is>
          <t>SKINNSKATTEBERG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45506</v>
      </c>
      <c r="E329" s="1" t="n">
        <v>46259</v>
      </c>
      <c r="F329" t="inlineStr">
        <is>
          <t>VÄSTMANLANDS LÄN</t>
        </is>
      </c>
      <c r="G329" t="inlineStr">
        <is>
          <t>SKINNSKATTEBERG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46259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46259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40545-2023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45170</v>
      </c>
      <c r="E332" s="1" t="n">
        <v>46259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45901</v>
      </c>
      <c r="E333" s="1" t="n">
        <v>46259</v>
      </c>
      <c r="F333" t="inlineStr">
        <is>
          <t>VÄSTMANLANDS LÄN</t>
        </is>
      </c>
      <c r="G333" t="inlineStr">
        <is>
          <t>SKINNSKATTEBERG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51472-2024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46259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45686</v>
      </c>
      <c r="E335" s="1" t="n">
        <v>46259</v>
      </c>
      <c r="F335" t="inlineStr">
        <is>
          <t>VÄSTMANLANDS LÄN</t>
        </is>
      </c>
      <c r="G335" t="inlineStr">
        <is>
          <t>SKINNSKATTEBERG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46259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45393</v>
      </c>
      <c r="E337" s="1" t="n">
        <v>46259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46259</v>
      </c>
      <c r="F338" t="inlineStr">
        <is>
          <t>VÄSTMANLANDS LÄN</t>
        </is>
      </c>
      <c r="G338" t="inlineStr">
        <is>
          <t>SKINNSKATTEBERG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62933-2025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46009</v>
      </c>
      <c r="E339" s="1" t="n">
        <v>46259</v>
      </c>
      <c r="F339" t="inlineStr">
        <is>
          <t>VÄSTMANLANDS LÄN</t>
        </is>
      </c>
      <c r="G339" t="inlineStr">
        <is>
          <t>SKINNSKATTEBERG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46200</v>
      </c>
      <c r="E340" s="1" t="n">
        <v>46259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46259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46259</v>
      </c>
      <c r="F342" t="inlineStr">
        <is>
          <t>VÄSTMANLANDS LÄN</t>
        </is>
      </c>
      <c r="G342" t="inlineStr">
        <is>
          <t>SKINNSKATTEBERG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46200</v>
      </c>
      <c r="E343" s="1" t="n">
        <v>46259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46259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46259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45237</v>
      </c>
      <c r="E346" s="1" t="n">
        <v>46259</v>
      </c>
      <c r="F346" t="inlineStr">
        <is>
          <t>VÄSTMANLANDS LÄN</t>
        </is>
      </c>
      <c r="G346" t="inlineStr">
        <is>
          <t>SKINNSKATTEBERG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46259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46259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46259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45156</v>
      </c>
      <c r="E350" s="1" t="n">
        <v>46259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45385</v>
      </c>
      <c r="E351" s="1" t="n">
        <v>46259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43807-2024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45571</v>
      </c>
      <c r="E352" s="1" t="n">
        <v>46259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45740</v>
      </c>
      <c r="E353" s="1" t="n">
        <v>46259</v>
      </c>
      <c r="F353" t="inlineStr">
        <is>
          <t>VÄSTMANLANDS LÄN</t>
        </is>
      </c>
      <c r="G353" t="inlineStr">
        <is>
          <t>SKINNSKATTEBERG</t>
        </is>
      </c>
      <c r="I353" t="n">
        <v>10.4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46247</v>
      </c>
      <c r="E354" s="1" t="n">
        <v>46259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46259</v>
      </c>
      <c r="F355" t="inlineStr">
        <is>
          <t>VÄSTMANLANDS LÄN</t>
        </is>
      </c>
      <c r="G355" t="inlineStr">
        <is>
          <t>SKINNSKATTEBERG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46259</v>
      </c>
      <c r="F356" t="inlineStr">
        <is>
          <t>VÄSTMANLANDS LÄN</t>
        </is>
      </c>
      <c r="G356" t="inlineStr">
        <is>
          <t>SKINNSKATTEBERG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27329-2023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46259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46248</v>
      </c>
      <c r="E358" s="1" t="n">
        <v>46259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29026-2026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46199</v>
      </c>
      <c r="E359" s="1" t="n">
        <v>46259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40167-2024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45554</v>
      </c>
      <c r="E360" s="1" t="n">
        <v>46259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45617</v>
      </c>
      <c r="E361" s="1" t="n">
        <v>46259</v>
      </c>
      <c r="F361" t="inlineStr">
        <is>
          <t>VÄSTMANLANDS LÄN</t>
        </is>
      </c>
      <c r="G361" t="inlineStr">
        <is>
          <t>SKINNSKATTEBERG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45777</v>
      </c>
      <c r="E362" s="1" t="n">
        <v>46259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5704-2026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46051</v>
      </c>
      <c r="E363" s="1" t="n">
        <v>46259</v>
      </c>
      <c r="F363" t="inlineStr">
        <is>
          <t>VÄSTMANLANDS LÄN</t>
        </is>
      </c>
      <c r="G363" t="inlineStr">
        <is>
          <t>SKINNSKATTEBERG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46259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50980-2022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46259</v>
      </c>
      <c r="F365" t="inlineStr">
        <is>
          <t>VÄSTMANLANDS LÄN</t>
        </is>
      </c>
      <c r="G365" t="inlineStr">
        <is>
          <t>SKINNSKATTEBERG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5693-2026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46051</v>
      </c>
      <c r="E366" s="1" t="n">
        <v>46259</v>
      </c>
      <c r="F366" t="inlineStr">
        <is>
          <t>VÄSTMANLANDS LÄN</t>
        </is>
      </c>
      <c r="G366" t="inlineStr">
        <is>
          <t>SKINNSKATTEBERG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46051</v>
      </c>
      <c r="E367" s="1" t="n">
        <v>46259</v>
      </c>
      <c r="F367" t="inlineStr">
        <is>
          <t>VÄSTMANLANDS LÄN</t>
        </is>
      </c>
      <c r="G367" t="inlineStr">
        <is>
          <t>SKINNSKATTEBERG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46259</v>
      </c>
      <c r="F368" t="inlineStr">
        <is>
          <t>VÄSTMANLANDS LÄN</t>
        </is>
      </c>
      <c r="G368" t="inlineStr">
        <is>
          <t>SKINNSKATTEBERG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45377</v>
      </c>
      <c r="E369" s="1" t="n">
        <v>46259</v>
      </c>
      <c r="F369" t="inlineStr">
        <is>
          <t>VÄSTMANLANDS LÄN</t>
        </is>
      </c>
      <c r="G369" t="inlineStr">
        <is>
          <t>SKINNSKATTEBERG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37730-2024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46259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46259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46259</v>
      </c>
      <c r="F372" t="inlineStr">
        <is>
          <t>VÄSTMANLANDS LÄN</t>
        </is>
      </c>
      <c r="G372" t="inlineStr">
        <is>
          <t>SKINNSKATTEBERG</t>
        </is>
      </c>
      <c r="I372" t="n">
        <v>12.2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46259</v>
      </c>
      <c r="F373" t="inlineStr">
        <is>
          <t>VÄSTMANLANDS LÄN</t>
        </is>
      </c>
      <c r="G373" t="inlineStr">
        <is>
          <t>SKINNSKATTEBERG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45547</v>
      </c>
      <c r="E374" s="1" t="n">
        <v>46259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45480</v>
      </c>
      <c r="E375" s="1" t="n">
        <v>46259</v>
      </c>
      <c r="F375" t="inlineStr">
        <is>
          <t>VÄSTMANLANDS LÄN</t>
        </is>
      </c>
      <c r="G375" t="inlineStr">
        <is>
          <t>SKINNSKATTEBERG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22285-2025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45786</v>
      </c>
      <c r="E376" s="1" t="n">
        <v>46259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45443</v>
      </c>
      <c r="E377" s="1" t="n">
        <v>46259</v>
      </c>
      <c r="F377" t="inlineStr">
        <is>
          <t>VÄSTMANLANDS LÄN</t>
        </is>
      </c>
      <c r="G377" t="inlineStr">
        <is>
          <t>SKINNSKATTEBERG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45476</v>
      </c>
      <c r="E378" s="1" t="n">
        <v>46259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35051-2024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45527</v>
      </c>
      <c r="E379" s="1" t="n">
        <v>46259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46259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46259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46259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46259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46259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46259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46259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46259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46259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46259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46259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46259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2026-08-25T01:52:34Z</dcterms:created>
  <dcterms:modified xmlns:dcterms="http://purl.org/dc/terms/" xmlns:xsi="http://www.w3.org/2001/XMLSchema-instance" xsi:type="dcterms:W3CDTF">2026-08-25T01:52:34Z</dcterms:modified>
</cp:coreProperties>
</file>