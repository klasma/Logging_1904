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46294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46294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46294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46294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46294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46294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46294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46294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46294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46294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46294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46294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46294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46294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46294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18515-2024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46294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Plattlummer
Fläcknycklar
Revlummer</t>
        </is>
      </c>
      <c r="W17">
        <f>HYPERLINK("https://klasma.github.io/Logging_1904/artfynd/A 18515-2024 artfynd.xlsx", "A 18515-2024")</f>
        <v/>
      </c>
      <c r="X17">
        <f>HYPERLINK("https://klasma.github.io/Logging_1904/kartor/A 18515-2024 karta.png", "A 18515-2024")</f>
        <v/>
      </c>
      <c r="Y17">
        <f>HYPERLINK("https://klasma.github.io/Logging_1904/kartor_geotiff/A 18515-2024 georefererad karta.tif", "A 18515-2024")</f>
        <v/>
      </c>
      <c r="AA17">
        <f>HYPERLINK("https://klasma.github.io/Logging_1904/klagomål/A 18515-2024 FSC-klagomål.docx", "A 18515-2024")</f>
        <v/>
      </c>
      <c r="AB17">
        <f>HYPERLINK("https://klasma.github.io/Logging_1904/klagomålsmail/A 18515-2024 FSC-klagomål mail.docx", "A 18515-2024")</f>
        <v/>
      </c>
      <c r="AC17">
        <f>HYPERLINK("https://klasma.github.io/Logging_1904/tillsyn/A 18515-2024 tillsynsbegäran.docx", "A 18515-2024")</f>
        <v/>
      </c>
      <c r="AD17">
        <f>HYPERLINK("https://klasma.github.io/Logging_1904/tillsynsmail/A 18515-2024 tillsynsbegäran mail.docx", "A 18515-2024")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46294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44698-2024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45574</v>
      </c>
      <c r="E19" s="1" t="n">
        <v>46294</v>
      </c>
      <c r="F19" t="inlineStr">
        <is>
          <t>VÄSTMANLANDS LÄN</t>
        </is>
      </c>
      <c r="G19" t="inlineStr">
        <is>
          <t>SKINNSKATTEBERG</t>
        </is>
      </c>
      <c r="I19" t="n">
        <v>1.3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Hässleklocka
Tibast
Gullviva</t>
        </is>
      </c>
      <c r="W19">
        <f>HYPERLINK("https://klasma.github.io/Logging_1904/artfynd/A 44698-2024 artfynd.xlsx", "A 44698-2024")</f>
        <v/>
      </c>
      <c r="X19">
        <f>HYPERLINK("https://klasma.github.io/Logging_1904/kartor/A 44698-2024 karta.png", "A 44698-2024")</f>
        <v/>
      </c>
      <c r="Y19">
        <f>HYPERLINK("https://klasma.github.io/Logging_1904/kartor_geotiff/A 44698-2024 georefererad karta.tif", "A 44698-2024")</f>
        <v/>
      </c>
      <c r="AA19">
        <f>HYPERLINK("https://klasma.github.io/Logging_1904/klagomål/A 44698-2024 FSC-klagomål.docx", "A 44698-2024")</f>
        <v/>
      </c>
      <c r="AB19">
        <f>HYPERLINK("https://klasma.github.io/Logging_1904/klagomålsmail/A 44698-2024 FSC-klagomål mail.docx", "A 44698-2024")</f>
        <v/>
      </c>
      <c r="AC19">
        <f>HYPERLINK("https://klasma.github.io/Logging_1904/tillsyn/A 44698-2024 tillsynsbegäran.docx", "A 44698-2024")</f>
        <v/>
      </c>
      <c r="AD19">
        <f>HYPERLINK("https://klasma.github.io/Logging_1904/tillsynsmail/A 44698-2024 tillsynsbegäran mail.docx", "A 44698-2024")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46294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46294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46294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46294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46294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46294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46294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47538-2025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46294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HYPERLINK("https://klasma.github.io/Logging_1904/artfynd/A 47538-2025 artfynd.xlsx", "A 47538-2025")</f>
        <v/>
      </c>
      <c r="X27">
        <f>HYPERLINK("https://klasma.github.io/Logging_1904/kartor/A 47538-2025 karta.png", "A 47538-2025")</f>
        <v/>
      </c>
      <c r="Y27">
        <f>HYPERLINK("https://klasma.github.io/Logging_1904/kartor_geotiff/A 47538-2025 georefererad karta.tif", "A 47538-2025")</f>
        <v/>
      </c>
      <c r="AA27">
        <f>HYPERLINK("https://klasma.github.io/Logging_1904/klagomål/A 47538-2025 FSC-klagomål.docx", "A 47538-2025")</f>
        <v/>
      </c>
      <c r="AB27">
        <f>HYPERLINK("https://klasma.github.io/Logging_1904/klagomålsmail/A 47538-2025 FSC-klagomål mail.docx", "A 47538-2025")</f>
        <v/>
      </c>
      <c r="AC27">
        <f>HYPERLINK("https://klasma.github.io/Logging_1904/tillsyn/A 47538-2025 tillsynsbegäran.docx", "A 47538-2025")</f>
        <v/>
      </c>
      <c r="AD27">
        <f>HYPERLINK("https://klasma.github.io/Logging_1904/tillsynsmail/A 47538-2025 tillsynsbegäran mail.docx", "A 47538-2025")</f>
        <v/>
      </c>
    </row>
    <row r="28" ht="15" customHeight="1">
      <c r="A28" t="inlineStr">
        <is>
          <t>A 31006-2025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45832</v>
      </c>
      <c r="E28" s="1" t="n">
        <v>46294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HYPERLINK("https://klasma.github.io/Logging_1904/artfynd/A 31006-2025 artfynd.xlsx", "A 31006-2025")</f>
        <v/>
      </c>
      <c r="X28">
        <f>HYPERLINK("https://klasma.github.io/Logging_1904/kartor/A 31006-2025 karta.png", "A 31006-2025")</f>
        <v/>
      </c>
      <c r="Y28">
        <f>HYPERLINK("https://klasma.github.io/Logging_1904/kartor_geotiff/A 31006-2025 georefererad karta.tif", "A 31006-2025")</f>
        <v/>
      </c>
      <c r="AA28">
        <f>HYPERLINK("https://klasma.github.io/Logging_1904/klagomål/A 31006-2025 FSC-klagomål.docx", "A 31006-2025")</f>
        <v/>
      </c>
      <c r="AB28">
        <f>HYPERLINK("https://klasma.github.io/Logging_1904/klagomålsmail/A 31006-2025 FSC-klagomål mail.docx", "A 31006-2025")</f>
        <v/>
      </c>
      <c r="AC28">
        <f>HYPERLINK("https://klasma.github.io/Logging_1904/tillsyn/A 31006-2025 tillsynsbegäran.docx", "A 31006-2025")</f>
        <v/>
      </c>
      <c r="AD28">
        <f>HYPERLINK("https://klasma.github.io/Logging_1904/tillsynsmail/A 31006-2025 tillsynsbegäran mail.docx", "A 31006-2025")</f>
        <v/>
      </c>
      <c r="AE28">
        <f>HYPERLINK("https://klasma.github.io/Logging_1904/fåglar/A 31006-2025 prioriterade fågelarter.docx", "A 31006-2025")</f>
        <v/>
      </c>
    </row>
    <row r="29" ht="15" customHeight="1">
      <c r="A29" t="inlineStr">
        <is>
          <t>A 12887-2024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45385</v>
      </c>
      <c r="E29" s="1" t="n">
        <v>46294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Sparvuggla</t>
        </is>
      </c>
      <c r="W29">
        <f>HYPERLINK("https://klasma.github.io/Logging_1904/artfynd/A 12887-2024 artfynd.xlsx", "A 12887-2024")</f>
        <v/>
      </c>
      <c r="X29">
        <f>HYPERLINK("https://klasma.github.io/Logging_1904/kartor/A 12887-2024 karta.png", "A 12887-2024")</f>
        <v/>
      </c>
      <c r="Y29">
        <f>HYPERLINK("https://klasma.github.io/Logging_1904/kartor_geotiff/A 12887-2024 georefererad karta.tif", "A 12887-2024")</f>
        <v/>
      </c>
      <c r="AA29">
        <f>HYPERLINK("https://klasma.github.io/Logging_1904/klagomål/A 12887-2024 FSC-klagomål.docx", "A 12887-2024")</f>
        <v/>
      </c>
      <c r="AB29">
        <f>HYPERLINK("https://klasma.github.io/Logging_1904/klagomålsmail/A 12887-2024 FSC-klagomål mail.docx", "A 12887-2024")</f>
        <v/>
      </c>
      <c r="AC29">
        <f>HYPERLINK("https://klasma.github.io/Logging_1904/tillsyn/A 12887-2024 tillsynsbegäran.docx", "A 12887-2024")</f>
        <v/>
      </c>
      <c r="AD29">
        <f>HYPERLINK("https://klasma.github.io/Logging_1904/tillsynsmail/A 12887-2024 tillsynsbegäran mail.docx", "A 12887-2024")</f>
        <v/>
      </c>
      <c r="AE29">
        <f>HYPERLINK("https://klasma.github.io/Logging_1904/fåglar/A 12887-2024 prioriterade fågelarter.docx", "A 12887-2024")</f>
        <v/>
      </c>
    </row>
    <row r="30" ht="15" customHeight="1">
      <c r="A30" t="inlineStr">
        <is>
          <t>A 54296-2023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46294</v>
      </c>
      <c r="F30" t="inlineStr">
        <is>
          <t>VÄSTMANLANDS LÄN</t>
        </is>
      </c>
      <c r="G30" t="inlineStr">
        <is>
          <t>SKINNSKATTEBERG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Kopparödla</t>
        </is>
      </c>
      <c r="W30">
        <f>HYPERLINK("https://klasma.github.io/Logging_1904/artfynd/A 54296-2023 artfynd.xlsx", "A 54296-2023")</f>
        <v/>
      </c>
      <c r="X30">
        <f>HYPERLINK("https://klasma.github.io/Logging_1904/kartor/A 54296-2023 karta.png", "A 54296-2023")</f>
        <v/>
      </c>
      <c r="Y30">
        <f>HYPERLINK("https://klasma.github.io/Logging_1904/kartor_geotiff/A 54296-2023 georefererad karta.tif", "A 54296-2023")</f>
        <v/>
      </c>
      <c r="AA30">
        <f>HYPERLINK("https://klasma.github.io/Logging_1904/klagomål/A 54296-2023 FSC-klagomål.docx", "A 54296-2023")</f>
        <v/>
      </c>
      <c r="AB30">
        <f>HYPERLINK("https://klasma.github.io/Logging_1904/klagomålsmail/A 54296-2023 FSC-klagomål mail.docx", "A 54296-2023")</f>
        <v/>
      </c>
      <c r="AC30">
        <f>HYPERLINK("https://klasma.github.io/Logging_1904/tillsyn/A 54296-2023 tillsynsbegäran.docx", "A 54296-2023")</f>
        <v/>
      </c>
      <c r="AD30">
        <f>HYPERLINK("https://klasma.github.io/Logging_1904/tillsynsmail/A 54296-2023 tillsynsbegäran mail.docx", "A 54296-2023")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46294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Vedticka</t>
        </is>
      </c>
      <c r="W31">
        <f>HYPERLINK("https://klasma.github.io/Logging_1904/artfynd/A 57395-2025 artfynd.xlsx", "A 57395-2025")</f>
        <v/>
      </c>
      <c r="X31">
        <f>HYPERLINK("https://klasma.github.io/Logging_1904/kartor/A 57395-2025 karta.png", "A 57395-2025")</f>
        <v/>
      </c>
      <c r="Y31">
        <f>HYPERLINK("https://klasma.github.io/Logging_1904/kartor_geotiff/A 57395-2025 georefererad karta.tif", "A 57395-2025")</f>
        <v/>
      </c>
      <c r="AA31">
        <f>HYPERLINK("https://klasma.github.io/Logging_1904/klagomål/A 57395-2025 FSC-klagomål.docx", "A 57395-2025")</f>
        <v/>
      </c>
      <c r="AB31">
        <f>HYPERLINK("https://klasma.github.io/Logging_1904/klagomålsmail/A 57395-2025 FSC-klagomål mail.docx", "A 57395-2025")</f>
        <v/>
      </c>
      <c r="AC31">
        <f>HYPERLINK("https://klasma.github.io/Logging_1904/tillsyn/A 57395-2025 tillsynsbegäran.docx", "A 57395-2025")</f>
        <v/>
      </c>
      <c r="AD31">
        <f>HYPERLINK("https://klasma.github.io/Logging_1904/tillsynsmail/A 57395-2025 tillsynsbegäran mail.docx", "A 57395-2025")</f>
        <v/>
      </c>
    </row>
    <row r="32" ht="15" customHeight="1">
      <c r="A32" t="inlineStr">
        <is>
          <t>A 57747-2023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45246</v>
      </c>
      <c r="E32" s="1" t="n">
        <v>46294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Myopa fasciata</t>
        </is>
      </c>
      <c r="W32">
        <f>HYPERLINK("https://klasma.github.io/Logging_1904/artfynd/A 57747-2023 artfynd.xlsx", "A 57747-2023")</f>
        <v/>
      </c>
      <c r="X32">
        <f>HYPERLINK("https://klasma.github.io/Logging_1904/kartor/A 57747-2023 karta.png", "A 57747-2023")</f>
        <v/>
      </c>
      <c r="Y32">
        <f>HYPERLINK("https://klasma.github.io/Logging_1904/kartor_geotiff/A 57747-2023 georefererad karta.tif", "A 57747-2023")</f>
        <v/>
      </c>
      <c r="AA32">
        <f>HYPERLINK("https://klasma.github.io/Logging_1904/klagomål/A 57747-2023 FSC-klagomål.docx", "A 57747-2023")</f>
        <v/>
      </c>
      <c r="AB32">
        <f>HYPERLINK("https://klasma.github.io/Logging_1904/klagomålsmail/A 57747-2023 FSC-klagomål mail.docx", "A 57747-2023")</f>
        <v/>
      </c>
      <c r="AC32">
        <f>HYPERLINK("https://klasma.github.io/Logging_1904/tillsyn/A 57747-2023 tillsynsbegäran.docx", "A 57747-2023")</f>
        <v/>
      </c>
      <c r="AD32">
        <f>HYPERLINK("https://klasma.github.io/Logging_1904/tillsynsmail/A 57747-2023 tillsynsbegäran mail.docx", "A 57747-2023")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46294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19205-2024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46294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Järpe</t>
        </is>
      </c>
      <c r="W34">
        <f>HYPERLINK("https://klasma.github.io/Logging_1904/artfynd/A 19205-2024 artfynd.xlsx", "A 19205-2024")</f>
        <v/>
      </c>
      <c r="X34">
        <f>HYPERLINK("https://klasma.github.io/Logging_1904/kartor/A 19205-2024 karta.png", "A 19205-2024")</f>
        <v/>
      </c>
      <c r="Y34">
        <f>HYPERLINK("https://klasma.github.io/Logging_1904/kartor_geotiff/A 19205-2024 georefererad karta.tif", "A 19205-2024")</f>
        <v/>
      </c>
      <c r="AA34">
        <f>HYPERLINK("https://klasma.github.io/Logging_1904/klagomål/A 19205-2024 FSC-klagomål.docx", "A 19205-2024")</f>
        <v/>
      </c>
      <c r="AB34">
        <f>HYPERLINK("https://klasma.github.io/Logging_1904/klagomålsmail/A 19205-2024 FSC-klagomål mail.docx", "A 19205-2024")</f>
        <v/>
      </c>
      <c r="AC34">
        <f>HYPERLINK("https://klasma.github.io/Logging_1904/tillsyn/A 19205-2024 tillsynsbegäran.docx", "A 19205-2024")</f>
        <v/>
      </c>
      <c r="AD34">
        <f>HYPERLINK("https://klasma.github.io/Logging_1904/tillsynsmail/A 19205-2024 tillsynsbegäran mail.docx", "A 19205-2024")</f>
        <v/>
      </c>
      <c r="AE34">
        <f>HYPERLINK("https://klasma.github.io/Logging_1904/fåglar/A 19205-2024 prioriterade fågelarter.docx", "A 19205-2024")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46294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20559-2026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46294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0.3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HYPERLINK("https://klasma.github.io/Logging_1904/artfynd/A 20559-2026 artfynd.xlsx", "A 20559-2026")</f>
        <v/>
      </c>
      <c r="X36">
        <f>HYPERLINK("https://klasma.github.io/Logging_1904/kartor/A 20559-2026 karta.png", "A 20559-2026")</f>
        <v/>
      </c>
      <c r="Y36">
        <f>HYPERLINK("https://klasma.github.io/Logging_1904/kartor_geotiff/A 20559-2026 georefererad karta.tif", "A 20559-2026")</f>
        <v/>
      </c>
      <c r="AA36">
        <f>HYPERLINK("https://klasma.github.io/Logging_1904/klagomål/A 20559-2026 FSC-klagomål.docx", "A 20559-2026")</f>
        <v/>
      </c>
      <c r="AB36">
        <f>HYPERLINK("https://klasma.github.io/Logging_1904/klagomålsmail/A 20559-2026 FSC-klagomål mail.docx", "A 20559-2026")</f>
        <v/>
      </c>
      <c r="AC36">
        <f>HYPERLINK("https://klasma.github.io/Logging_1904/tillsyn/A 20559-2026 tillsynsbegäran.docx", "A 20559-2026")</f>
        <v/>
      </c>
      <c r="AD36">
        <f>HYPERLINK("https://klasma.github.io/Logging_1904/tillsynsmail/A 20559-2026 tillsynsbegäran mail.docx", "A 20559-2026")</f>
        <v/>
      </c>
      <c r="AE36">
        <f>HYPERLINK("https://klasma.github.io/Logging_1904/fåglar/A 20559-2026 prioriterade fågelarter.docx", "A 20559-2026")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46294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27565-2024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45474</v>
      </c>
      <c r="E38" s="1" t="n">
        <v>46294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husmossa</t>
        </is>
      </c>
      <c r="W38">
        <f>HYPERLINK("https://klasma.github.io/Logging_1904/artfynd/A 27565-2024 artfynd.xlsx", "A 27565-2024")</f>
        <v/>
      </c>
      <c r="X38">
        <f>HYPERLINK("https://klasma.github.io/Logging_1904/kartor/A 27565-2024 karta.png", "A 27565-2024")</f>
        <v/>
      </c>
      <c r="Y38">
        <f>HYPERLINK("https://klasma.github.io/Logging_1904/kartor_geotiff/A 27565-2024 georefererad karta.tif", "A 27565-2024")</f>
        <v/>
      </c>
      <c r="AA38">
        <f>HYPERLINK("https://klasma.github.io/Logging_1904/klagomål/A 27565-2024 FSC-klagomål.docx", "A 27565-2024")</f>
        <v/>
      </c>
      <c r="AB38">
        <f>HYPERLINK("https://klasma.github.io/Logging_1904/klagomålsmail/A 27565-2024 FSC-klagomål mail.docx", "A 27565-2024")</f>
        <v/>
      </c>
      <c r="AC38">
        <f>HYPERLINK("https://klasma.github.io/Logging_1904/tillsyn/A 27565-2024 tillsynsbegäran.docx", "A 27565-2024")</f>
        <v/>
      </c>
      <c r="AD38">
        <f>HYPERLINK("https://klasma.github.io/Logging_1904/tillsynsmail/A 27565-2024 tillsynsbegäran mail.docx", "A 27565-2024")</f>
        <v/>
      </c>
    </row>
    <row r="39" ht="15" customHeight="1">
      <c r="A39" t="inlineStr">
        <is>
          <t>A 24492-2026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46294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HYPERLINK("https://klasma.github.io/Logging_1904/artfynd/A 24492-2026 artfynd.xlsx", "A 24492-2026")</f>
        <v/>
      </c>
      <c r="X39">
        <f>HYPERLINK("https://klasma.github.io/Logging_1904/kartor/A 24492-2026 karta.png", "A 24492-2026")</f>
        <v/>
      </c>
      <c r="Y39">
        <f>HYPERLINK("https://klasma.github.io/Logging_1904/kartor_geotiff/A 24492-2026 georefererad karta.tif", "A 24492-2026")</f>
        <v/>
      </c>
      <c r="AA39">
        <f>HYPERLINK("https://klasma.github.io/Logging_1904/klagomål/A 24492-2026 FSC-klagomål.docx", "A 24492-2026")</f>
        <v/>
      </c>
      <c r="AB39">
        <f>HYPERLINK("https://klasma.github.io/Logging_1904/klagomålsmail/A 24492-2026 FSC-klagomål mail.docx", "A 24492-2026")</f>
        <v/>
      </c>
      <c r="AC39">
        <f>HYPERLINK("https://klasma.github.io/Logging_1904/tillsyn/A 24492-2026 tillsynsbegäran.docx", "A 24492-2026")</f>
        <v/>
      </c>
      <c r="AD39">
        <f>HYPERLINK("https://klasma.github.io/Logging_1904/tillsynsmail/A 24492-2026 tillsynsbegäran mail.docx", "A 24492-2026")</f>
        <v/>
      </c>
      <c r="AE39">
        <f>HYPERLINK("https://klasma.github.io/Logging_1904/fåglar/A 24492-2026 prioriterade fågelarter.docx", "A 24492-2026")</f>
        <v/>
      </c>
    </row>
    <row r="40" ht="15" customHeight="1">
      <c r="A40" t="inlineStr">
        <is>
          <t>A 24944-2026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46294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8.4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Garnlav</t>
        </is>
      </c>
      <c r="W40">
        <f>HYPERLINK("https://klasma.github.io/Logging_1904/artfynd/A 24944-2026 artfynd.xlsx", "A 24944-2026")</f>
        <v/>
      </c>
      <c r="X40">
        <f>HYPERLINK("https://klasma.github.io/Logging_1904/kartor/A 24944-2026 karta.png", "A 24944-2026")</f>
        <v/>
      </c>
      <c r="Y40">
        <f>HYPERLINK("https://klasma.github.io/Logging_1904/kartor_geotiff/A 24944-2026 georefererad karta.tif", "A 24944-2026")</f>
        <v/>
      </c>
      <c r="AA40">
        <f>HYPERLINK("https://klasma.github.io/Logging_1904/klagomål/A 24944-2026 FSC-klagomål.docx", "A 24944-2026")</f>
        <v/>
      </c>
      <c r="AB40">
        <f>HYPERLINK("https://klasma.github.io/Logging_1904/klagomålsmail/A 24944-2026 FSC-klagomål mail.docx", "A 24944-2026")</f>
        <v/>
      </c>
      <c r="AC40">
        <f>HYPERLINK("https://klasma.github.io/Logging_1904/tillsyn/A 24944-2026 tillsynsbegäran.docx", "A 24944-2026")</f>
        <v/>
      </c>
      <c r="AD40">
        <f>HYPERLINK("https://klasma.github.io/Logging_1904/tillsynsmail/A 24944-2026 tillsynsbegäran mail.docx", "A 24944-2026")</f>
        <v/>
      </c>
    </row>
    <row r="41" ht="15" customHeight="1">
      <c r="A41" t="inlineStr">
        <is>
          <t>A 26860-2026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46294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10.3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Kungsörn</t>
        </is>
      </c>
      <c r="W41">
        <f>HYPERLINK("https://klasma.github.io/Logging_1904/artfynd/A 26860-2026 artfynd.xlsx", "A 26860-2026")</f>
        <v/>
      </c>
      <c r="X41">
        <f>HYPERLINK("https://klasma.github.io/Logging_1904/kartor/A 26860-2026 karta.png", "A 26860-2026")</f>
        <v/>
      </c>
      <c r="Y41">
        <f>HYPERLINK("https://klasma.github.io/Logging_1904/kartor_geotiff/A 26860-2026 georefererad karta.tif", "A 26860-2026")</f>
        <v/>
      </c>
      <c r="AA41">
        <f>HYPERLINK("https://klasma.github.io/Logging_1904/klagomål/A 26860-2026 FSC-klagomål.docx", "A 26860-2026")</f>
        <v/>
      </c>
      <c r="AB41">
        <f>HYPERLINK("https://klasma.github.io/Logging_1904/klagomålsmail/A 26860-2026 FSC-klagomål mail.docx", "A 26860-2026")</f>
        <v/>
      </c>
      <c r="AC41">
        <f>HYPERLINK("https://klasma.github.io/Logging_1904/tillsyn/A 26860-2026 tillsynsbegäran.docx", "A 26860-2026")</f>
        <v/>
      </c>
      <c r="AD41">
        <f>HYPERLINK("https://klasma.github.io/Logging_1904/tillsynsmail/A 26860-2026 tillsynsbegäran mail.docx", "A 26860-2026")</f>
        <v/>
      </c>
      <c r="AE41">
        <f>HYPERLINK("https://klasma.github.io/Logging_1904/fåglar/A 26860-2026 prioriterade fågelarter.docx", "A 26860-2026")</f>
        <v/>
      </c>
    </row>
    <row r="42" ht="15" customHeight="1">
      <c r="A42" t="inlineStr">
        <is>
          <t>A 9491-2024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46294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Skogshare</t>
        </is>
      </c>
      <c r="W42">
        <f>HYPERLINK("https://klasma.github.io/Logging_1904/artfynd/A 9491-2024 artfynd.xlsx", "A 9491-2024")</f>
        <v/>
      </c>
      <c r="X42">
        <f>HYPERLINK("https://klasma.github.io/Logging_1904/kartor/A 9491-2024 karta.png", "A 9491-2024")</f>
        <v/>
      </c>
      <c r="Y42">
        <f>HYPERLINK("https://klasma.github.io/Logging_1904/kartor_geotiff/A 9491-2024 georefererad karta.tif", "A 9491-2024")</f>
        <v/>
      </c>
      <c r="AA42">
        <f>HYPERLINK("https://klasma.github.io/Logging_1904/klagomål/A 9491-2024 FSC-klagomål.docx", "A 9491-2024")</f>
        <v/>
      </c>
      <c r="AB42">
        <f>HYPERLINK("https://klasma.github.io/Logging_1904/klagomålsmail/A 9491-2024 FSC-klagomål mail.docx", "A 9491-2024")</f>
        <v/>
      </c>
      <c r="AC42">
        <f>HYPERLINK("https://klasma.github.io/Logging_1904/tillsyn/A 9491-2024 tillsynsbegäran.docx", "A 9491-2024")</f>
        <v/>
      </c>
      <c r="AD42">
        <f>HYPERLINK("https://klasma.github.io/Logging_1904/tillsynsmail/A 9491-2024 tillsynsbegäran mail.docx", "A 9491-2024")</f>
        <v/>
      </c>
    </row>
    <row r="43" ht="15" customHeight="1">
      <c r="A43" t="inlineStr">
        <is>
          <t>A 43413-2024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46294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Orange taggsvamp</t>
        </is>
      </c>
      <c r="W43">
        <f>HYPERLINK("https://klasma.github.io/Logging_1904/artfynd/A 43413-2024 artfynd.xlsx", "A 43413-2024")</f>
        <v/>
      </c>
      <c r="X43">
        <f>HYPERLINK("https://klasma.github.io/Logging_1904/kartor/A 43413-2024 karta.png", "A 43413-2024")</f>
        <v/>
      </c>
      <c r="Y43">
        <f>HYPERLINK("https://klasma.github.io/Logging_1904/kartor_geotiff/A 43413-2024 georefererad karta.tif", "A 43413-2024")</f>
        <v/>
      </c>
      <c r="AA43">
        <f>HYPERLINK("https://klasma.github.io/Logging_1904/klagomål/A 43413-2024 FSC-klagomål.docx", "A 43413-2024")</f>
        <v/>
      </c>
      <c r="AB43">
        <f>HYPERLINK("https://klasma.github.io/Logging_1904/klagomålsmail/A 43413-2024 FSC-klagomål mail.docx", "A 43413-2024")</f>
        <v/>
      </c>
      <c r="AC43">
        <f>HYPERLINK("https://klasma.github.io/Logging_1904/tillsyn/A 43413-2024 tillsynsbegäran.docx", "A 43413-2024")</f>
        <v/>
      </c>
      <c r="AD43">
        <f>HYPERLINK("https://klasma.github.io/Logging_1904/tillsynsmail/A 43413-2024 tillsynsbegäran mail.docx", "A 43413-2024")</f>
        <v/>
      </c>
    </row>
    <row r="44" ht="15" customHeight="1">
      <c r="A44" t="inlineStr">
        <is>
          <t>A 30579-2026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46210</v>
      </c>
      <c r="E44" s="1" t="n">
        <v>46294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HYPERLINK("https://klasma.github.io/Logging_1904/artfynd/A 30579-2026 artfynd.xlsx", "A 30579-2026")</f>
        <v/>
      </c>
      <c r="X44">
        <f>HYPERLINK("https://klasma.github.io/Logging_1904/kartor/A 30579-2026 karta.png", "A 30579-2026")</f>
        <v/>
      </c>
      <c r="Y44">
        <f>HYPERLINK("https://klasma.github.io/Logging_1904/kartor_geotiff/A 30579-2026 georefererad karta.tif", "A 30579-2026")</f>
        <v/>
      </c>
      <c r="AA44">
        <f>HYPERLINK("https://klasma.github.io/Logging_1904/klagomål/A 30579-2026 FSC-klagomål.docx", "A 30579-2026")</f>
        <v/>
      </c>
      <c r="AB44">
        <f>HYPERLINK("https://klasma.github.io/Logging_1904/klagomålsmail/A 30579-2026 FSC-klagomål mail.docx", "A 30579-2026")</f>
        <v/>
      </c>
      <c r="AC44">
        <f>HYPERLINK("https://klasma.github.io/Logging_1904/tillsyn/A 30579-2026 tillsynsbegäran.docx", "A 30579-2026")</f>
        <v/>
      </c>
      <c r="AD44">
        <f>HYPERLINK("https://klasma.github.io/Logging_1904/tillsynsmail/A 30579-2026 tillsynsbegäran mail.docx", "A 30579-2026")</f>
        <v/>
      </c>
    </row>
    <row r="45" ht="15" customHeight="1">
      <c r="A45" t="inlineStr">
        <is>
          <t>A 23893-2023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45078</v>
      </c>
      <c r="E45" s="1" t="n">
        <v>46294</v>
      </c>
      <c r="F45" t="inlineStr">
        <is>
          <t>VÄSTMANLANDS LÄN</t>
        </is>
      </c>
      <c r="G45" t="inlineStr">
        <is>
          <t>SKINNSKATTEBERG</t>
        </is>
      </c>
      <c r="I45" t="n">
        <v>1.6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Knärot</t>
        </is>
      </c>
      <c r="W45">
        <f>HYPERLINK("https://klasma.github.io/Logging_1904/artfynd/A 23893-2023 artfynd.xlsx", "A 23893-2023")</f>
        <v/>
      </c>
      <c r="X45">
        <f>HYPERLINK("https://klasma.github.io/Logging_1904/kartor/A 23893-2023 karta.png", "A 23893-2023")</f>
        <v/>
      </c>
      <c r="Y45">
        <f>HYPERLINK("https://klasma.github.io/Logging_1904/kartor_geotiff/A 23893-2023 georefererad karta.tif", "A 23893-2023")</f>
        <v/>
      </c>
      <c r="Z45">
        <f>HYPERLINK("https://klasma.github.io/Logging_1904/knärot/A 23893-2023 karta knärot.png", "A 23893-2023")</f>
        <v/>
      </c>
      <c r="AA45">
        <f>HYPERLINK("https://klasma.github.io/Logging_1904/klagomål/A 23893-2023 FSC-klagomål.docx", "A 23893-2023")</f>
        <v/>
      </c>
      <c r="AB45">
        <f>HYPERLINK("https://klasma.github.io/Logging_1904/klagomålsmail/A 23893-2023 FSC-klagomål mail.docx", "A 23893-2023")</f>
        <v/>
      </c>
      <c r="AC45">
        <f>HYPERLINK("https://klasma.github.io/Logging_1904/tillsyn/A 23893-2023 tillsynsbegäran.docx", "A 23893-2023")</f>
        <v/>
      </c>
      <c r="AD45">
        <f>HYPERLINK("https://klasma.github.io/Logging_1904/tillsynsmail/A 23893-2023 tillsynsbegäran mail.docx", "A 23893-2023")</f>
        <v/>
      </c>
    </row>
    <row r="46" ht="15" customHeight="1">
      <c r="A46" t="inlineStr">
        <is>
          <t>A 33435-2024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45519</v>
      </c>
      <c r="E46" s="1" t="n">
        <v>46294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Nattskärra</t>
        </is>
      </c>
      <c r="W46">
        <f>HYPERLINK("https://klasma.github.io/Logging_1904/artfynd/A 33435-2024 artfynd.xlsx", "A 33435-2024")</f>
        <v/>
      </c>
      <c r="X46">
        <f>HYPERLINK("https://klasma.github.io/Logging_1904/kartor/A 33435-2024 karta.png", "A 33435-2024")</f>
        <v/>
      </c>
      <c r="Y46">
        <f>HYPERLINK("https://klasma.github.io/Logging_1904/kartor_geotiff/A 33435-2024 georefererad karta.tif", "A 33435-2024")</f>
        <v/>
      </c>
      <c r="AA46">
        <f>HYPERLINK("https://klasma.github.io/Logging_1904/klagomål/A 33435-2024 FSC-klagomål.docx", "A 33435-2024")</f>
        <v/>
      </c>
      <c r="AB46">
        <f>HYPERLINK("https://klasma.github.io/Logging_1904/klagomålsmail/A 33435-2024 FSC-klagomål mail.docx", "A 33435-2024")</f>
        <v/>
      </c>
      <c r="AC46">
        <f>HYPERLINK("https://klasma.github.io/Logging_1904/tillsyn/A 33435-2024 tillsynsbegäran.docx", "A 33435-2024")</f>
        <v/>
      </c>
      <c r="AD46">
        <f>HYPERLINK("https://klasma.github.io/Logging_1904/tillsynsmail/A 33435-2024 tillsynsbegäran mail.docx", "A 33435-2024")</f>
        <v/>
      </c>
      <c r="AE46">
        <f>HYPERLINK("https://klasma.github.io/Logging_1904/fåglar/A 33435-2024 prioriterade fågelarter.docx", "A 33435-2024")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46294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A 12024-2023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44995</v>
      </c>
      <c r="E48" s="1" t="n">
        <v>46294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Skogsklocka</t>
        </is>
      </c>
      <c r="W48">
        <f>HYPERLINK("https://klasma.github.io/Logging_1904/artfynd/A 12024-2023 artfynd.xlsx", "A 12024-2023")</f>
        <v/>
      </c>
      <c r="X48">
        <f>HYPERLINK("https://klasma.github.io/Logging_1904/kartor/A 12024-2023 karta.png", "A 12024-2023")</f>
        <v/>
      </c>
      <c r="Y48">
        <f>HYPERLINK("https://klasma.github.io/Logging_1904/kartor_geotiff/A 12024-2023 georefererad karta.tif", "A 12024-2023")</f>
        <v/>
      </c>
      <c r="AA48">
        <f>HYPERLINK("https://klasma.github.io/Logging_1904/klagomål/A 12024-2023 FSC-klagomål.docx", "A 12024-2023")</f>
        <v/>
      </c>
      <c r="AB48">
        <f>HYPERLINK("https://klasma.github.io/Logging_1904/klagomålsmail/A 12024-2023 FSC-klagomål mail.docx", "A 12024-2023")</f>
        <v/>
      </c>
      <c r="AC48">
        <f>HYPERLINK("https://klasma.github.io/Logging_1904/tillsyn/A 12024-2023 tillsynsbegäran.docx", "A 12024-2023")</f>
        <v/>
      </c>
      <c r="AD48">
        <f>HYPERLINK("https://klasma.github.io/Logging_1904/tillsynsmail/A 12024-2023 tillsynsbegäran mail.docx", "A 12024-2023")</f>
        <v/>
      </c>
    </row>
    <row r="49" ht="15" customHeight="1">
      <c r="A49" t="inlineStr">
        <is>
          <t>A 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46294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9490-2024 artfynd.xlsx", "A 9490-2024")</f>
        <v/>
      </c>
      <c r="X49">
        <f>HYPERLINK("https://klasma.github.io/Logging_1904/kartor/A 9490-2024 karta.png", "A 9490-2024")</f>
        <v/>
      </c>
      <c r="Y49">
        <f>HYPERLINK("https://klasma.github.io/Logging_1904/kartor_geotiff/A 9490-2024 georefererad karta.tif", "A 9490-2024")</f>
        <v/>
      </c>
      <c r="AA49">
        <f>HYPERLINK("https://klasma.github.io/Logging_1904/klagomål/A 9490-2024 FSC-klagomål.docx", "A 9490-2024")</f>
        <v/>
      </c>
      <c r="AB49">
        <f>HYPERLINK("https://klasma.github.io/Logging_1904/klagomålsmail/A 9490-2024 FSC-klagomål mail.docx", "A 9490-2024")</f>
        <v/>
      </c>
      <c r="AC49">
        <f>HYPERLINK("https://klasma.github.io/Logging_1904/tillsyn/A 9490-2024 tillsynsbegäran.docx", "A 9490-2024")</f>
        <v/>
      </c>
      <c r="AD49">
        <f>HYPERLINK("https://klasma.github.io/Logging_1904/tillsynsmail/A 9490-2024 tillsynsbegäran mail.docx", "A 9490-2024")</f>
        <v/>
      </c>
      <c r="AE49">
        <f>HYPERLINK("https://klasma.github.io/Logging_1904/fåglar/A 9490-2024 prioriterade fågelarter.docx", "A 9490-2024")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46294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4000-2024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46294</v>
      </c>
      <c r="F51" t="inlineStr">
        <is>
          <t>VÄSTMANLANDS LÄN</t>
        </is>
      </c>
      <c r="G51" t="inlineStr">
        <is>
          <t>SKINNSKATTEBERG</t>
        </is>
      </c>
      <c r="I51" t="n">
        <v>14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Klasefibbla</t>
        </is>
      </c>
      <c r="W51">
        <f>HYPERLINK("https://klasma.github.io/Logging_1904/artfynd/A 4000-2024 artfynd.xlsx", "A 4000-2024")</f>
        <v/>
      </c>
      <c r="X51">
        <f>HYPERLINK("https://klasma.github.io/Logging_1904/kartor/A 4000-2024 karta.png", "A 4000-2024")</f>
        <v/>
      </c>
      <c r="Y51">
        <f>HYPERLINK("https://klasma.github.io/Logging_1904/kartor_geotiff/A 4000-2024 georefererad karta.tif", "A 4000-2024")</f>
        <v/>
      </c>
      <c r="AA51">
        <f>HYPERLINK("https://klasma.github.io/Logging_1904/klagomål/A 4000-2024 FSC-klagomål.docx", "A 4000-2024")</f>
        <v/>
      </c>
      <c r="AB51">
        <f>HYPERLINK("https://klasma.github.io/Logging_1904/klagomålsmail/A 4000-2024 FSC-klagomål mail.docx", "A 4000-2024")</f>
        <v/>
      </c>
      <c r="AC51">
        <f>HYPERLINK("https://klasma.github.io/Logging_1904/tillsyn/A 4000-2024 tillsynsbegäran.docx", "A 4000-2024")</f>
        <v/>
      </c>
      <c r="AD51">
        <f>HYPERLINK("https://klasma.github.io/Logging_1904/tillsynsmail/A 4000-2024 tillsynsbegäran mail.docx", "A 4000-2024")</f>
        <v/>
      </c>
    </row>
    <row r="52" ht="15" customHeight="1">
      <c r="A52" t="inlineStr">
        <is>
          <t>A 28312-2023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45099</v>
      </c>
      <c r="E52" s="1" t="n">
        <v>46294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2.8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Skrovlig taggsvamp</t>
        </is>
      </c>
      <c r="W52">
        <f>HYPERLINK("https://klasma.github.io/Logging_1904/artfynd/A 28312-2023 artfynd.xlsx", "A 28312-2023")</f>
        <v/>
      </c>
      <c r="X52">
        <f>HYPERLINK("https://klasma.github.io/Logging_1904/kartor/A 28312-2023 karta.png", "A 28312-2023")</f>
        <v/>
      </c>
      <c r="Y52">
        <f>HYPERLINK("https://klasma.github.io/Logging_1904/kartor_geotiff/A 28312-2023 georefererad karta.tif", "A 28312-2023")</f>
        <v/>
      </c>
      <c r="AA52">
        <f>HYPERLINK("https://klasma.github.io/Logging_1904/klagomål/A 28312-2023 FSC-klagomål.docx", "A 28312-2023")</f>
        <v/>
      </c>
      <c r="AB52">
        <f>HYPERLINK("https://klasma.github.io/Logging_1904/klagomålsmail/A 28312-2023 FSC-klagomål mail.docx", "A 28312-2023")</f>
        <v/>
      </c>
      <c r="AC52">
        <f>HYPERLINK("https://klasma.github.io/Logging_1904/tillsyn/A 28312-2023 tillsynsbegäran.docx", "A 28312-2023")</f>
        <v/>
      </c>
      <c r="AD52">
        <f>HYPERLINK("https://klasma.github.io/Logging_1904/tillsynsmail/A 28312-2023 tillsynsbegäran mail.docx", "A 28312-2023")</f>
        <v/>
      </c>
    </row>
    <row r="53" ht="15" customHeight="1">
      <c r="A53" t="inlineStr">
        <is>
          <t>A 37900-2026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46294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9.199999999999999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HYPERLINK("https://klasma.github.io/Logging_1904/artfynd/A 37900-2026 artfynd.xlsx", "A 37900-2026")</f>
        <v/>
      </c>
      <c r="X53">
        <f>HYPERLINK("https://klasma.github.io/Logging_1904/kartor/A 37900-2026 karta.png", "A 37900-2026")</f>
        <v/>
      </c>
      <c r="Y53">
        <f>HYPERLINK("https://klasma.github.io/Logging_1904/kartor_geotiff/A 37900-2026 georefererad karta.tif", "A 37900-2026")</f>
        <v/>
      </c>
      <c r="AA53">
        <f>HYPERLINK("https://klasma.github.io/Logging_1904/klagomål/A 37900-2026 FSC-klagomål.docx", "A 37900-2026")</f>
        <v/>
      </c>
      <c r="AB53">
        <f>HYPERLINK("https://klasma.github.io/Logging_1904/klagomålsmail/A 37900-2026 FSC-klagomål mail.docx", "A 37900-2026")</f>
        <v/>
      </c>
      <c r="AC53">
        <f>HYPERLINK("https://klasma.github.io/Logging_1904/tillsyn/A 37900-2026 tillsynsbegäran.docx", "A 37900-2026")</f>
        <v/>
      </c>
      <c r="AD53">
        <f>HYPERLINK("https://klasma.github.io/Logging_1904/tillsynsmail/A 37900-2026 tillsynsbegäran mail.docx", "A 37900-2026")</f>
        <v/>
      </c>
      <c r="AE53">
        <f>HYPERLINK("https://klasma.github.io/Logging_1904/fåglar/A 37900-2026 prioriterade fågelarter.docx", "A 37900-2026")</f>
        <v/>
      </c>
    </row>
    <row r="54" ht="15" customHeight="1">
      <c r="A54" t="inlineStr">
        <is>
          <t>A 38733-2026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46285</v>
      </c>
      <c r="E54" s="1" t="n">
        <v>46294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4.2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HYPERLINK("https://klasma.github.io/Logging_1904/artfynd/A 38733-2026 artfynd.xlsx", "A 38733-2026")</f>
        <v/>
      </c>
      <c r="X54">
        <f>HYPERLINK("https://klasma.github.io/Logging_1904/kartor/A 38733-2026 karta.png", "A 38733-2026")</f>
        <v/>
      </c>
      <c r="Y54">
        <f>HYPERLINK("https://klasma.github.io/Logging_1904/kartor_geotiff/A 38733-2026 georefererad karta.tif", "A 38733-2026")</f>
        <v/>
      </c>
      <c r="AA54">
        <f>HYPERLINK("https://klasma.github.io/Logging_1904/klagomål/A 38733-2026 FSC-klagomål.docx", "A 38733-2026")</f>
        <v/>
      </c>
      <c r="AB54">
        <f>HYPERLINK("https://klasma.github.io/Logging_1904/klagomålsmail/A 38733-2026 FSC-klagomål mail.docx", "A 38733-2026")</f>
        <v/>
      </c>
      <c r="AC54">
        <f>HYPERLINK("https://klasma.github.io/Logging_1904/tillsyn/A 38733-2026 tillsynsbegäran.docx", "A 38733-2026")</f>
        <v/>
      </c>
      <c r="AD54">
        <f>HYPERLINK("https://klasma.github.io/Logging_1904/tillsynsmail/A 38733-2026 tillsynsbegäran mail.docx", "A 38733-2026")</f>
        <v/>
      </c>
    </row>
    <row r="55" ht="15" customHeight="1">
      <c r="A55" t="inlineStr">
        <is>
          <t>A 38734-2026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46285</v>
      </c>
      <c r="E55" s="1" t="n">
        <v>46294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6.1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Fällmossa</t>
        </is>
      </c>
      <c r="W55">
        <f>HYPERLINK("https://klasma.github.io/Logging_1904/artfynd/A 38734-2026 artfynd.xlsx", "A 38734-2026")</f>
        <v/>
      </c>
      <c r="X55">
        <f>HYPERLINK("https://klasma.github.io/Logging_1904/kartor/A 38734-2026 karta.png", "A 38734-2026")</f>
        <v/>
      </c>
      <c r="Y55">
        <f>HYPERLINK("https://klasma.github.io/Logging_1904/kartor_geotiff/A 38734-2026 georefererad karta.tif", "A 38734-2026")</f>
        <v/>
      </c>
      <c r="AA55">
        <f>HYPERLINK("https://klasma.github.io/Logging_1904/klagomål/A 38734-2026 FSC-klagomål.docx", "A 38734-2026")</f>
        <v/>
      </c>
      <c r="AB55">
        <f>HYPERLINK("https://klasma.github.io/Logging_1904/klagomålsmail/A 38734-2026 FSC-klagomål mail.docx", "A 38734-2026")</f>
        <v/>
      </c>
      <c r="AC55">
        <f>HYPERLINK("https://klasma.github.io/Logging_1904/tillsyn/A 38734-2026 tillsynsbegäran.docx", "A 38734-2026")</f>
        <v/>
      </c>
      <c r="AD55">
        <f>HYPERLINK("https://klasma.github.io/Logging_1904/tillsynsmail/A 38734-2026 tillsynsbegäran mail.docx", "A 38734-2026")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46294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46294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46294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46294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46294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46294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46294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46294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46294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46294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46294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46294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46294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46294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46294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46294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46294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46294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46294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46294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46294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24793-2022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46294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46294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46294</v>
      </c>
      <c r="F79" t="inlineStr">
        <is>
          <t>VÄSTMANLANDS LÄN</t>
        </is>
      </c>
      <c r="G79" t="inlineStr">
        <is>
          <t>SKINNSKATTEBERG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46294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46294</v>
      </c>
      <c r="F81" t="inlineStr">
        <is>
          <t>VÄSTMANLANDS LÄN</t>
        </is>
      </c>
      <c r="G81" t="inlineStr">
        <is>
          <t>SKINNSKATTEBERG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45058</v>
      </c>
      <c r="E82" s="1" t="n">
        <v>46294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45762</v>
      </c>
      <c r="E83" s="1" t="n">
        <v>46294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46294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46294</v>
      </c>
      <c r="F85" t="inlineStr">
        <is>
          <t>VÄSTMANLANDS LÄN</t>
        </is>
      </c>
      <c r="G85" t="inlineStr">
        <is>
          <t>SKINNSKATTEBERG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46294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46294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46294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46294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46003</v>
      </c>
      <c r="E90" s="1" t="n">
        <v>46294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45480</v>
      </c>
      <c r="E91" s="1" t="n">
        <v>46294</v>
      </c>
      <c r="F91" t="inlineStr">
        <is>
          <t>VÄSTMANLANDS LÄN</t>
        </is>
      </c>
      <c r="G91" t="inlineStr">
        <is>
          <t>SKINNSKATTEBERG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22285-2025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45786</v>
      </c>
      <c r="E92" s="1" t="n">
        <v>46294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46294</v>
      </c>
      <c r="F93" t="inlineStr">
        <is>
          <t>VÄSTMANLANDS LÄN</t>
        </is>
      </c>
      <c r="G93" t="inlineStr">
        <is>
          <t>SKINNSKATTEBERG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45901</v>
      </c>
      <c r="E94" s="1" t="n">
        <v>46294</v>
      </c>
      <c r="F94" t="inlineStr">
        <is>
          <t>VÄSTMANLANDS LÄN</t>
        </is>
      </c>
      <c r="G94" t="inlineStr">
        <is>
          <t>SKINNSKATTEBERG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46009</v>
      </c>
      <c r="E95" s="1" t="n">
        <v>46294</v>
      </c>
      <c r="F95" t="inlineStr">
        <is>
          <t>VÄSTMANLANDS LÄN</t>
        </is>
      </c>
      <c r="G95" t="inlineStr">
        <is>
          <t>SKINNSKATTEBERG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44768</v>
      </c>
      <c r="E96" s="1" t="n">
        <v>46294</v>
      </c>
      <c r="F96" t="inlineStr">
        <is>
          <t>VÄSTMANLANDS LÄN</t>
        </is>
      </c>
      <c r="G96" t="inlineStr">
        <is>
          <t>SKINNSKATTEBERG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46294</v>
      </c>
      <c r="F97" t="inlineStr">
        <is>
          <t>VÄSTMANLANDS LÄN</t>
        </is>
      </c>
      <c r="G97" t="inlineStr">
        <is>
          <t>SKINNSKATTEBERG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46294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46294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Kyrkan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16088-2024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45406</v>
      </c>
      <c r="E100" s="1" t="n">
        <v>46294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46294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46294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45506</v>
      </c>
      <c r="E103" s="1" t="n">
        <v>46294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46294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40776-2025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45897</v>
      </c>
      <c r="E105" s="1" t="n">
        <v>46294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46294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46294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40783-2025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46294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40782-2025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45897</v>
      </c>
      <c r="E109" s="1" t="n">
        <v>46294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46294</v>
      </c>
      <c r="F110" t="inlineStr">
        <is>
          <t>VÄSTMANLANDS LÄN</t>
        </is>
      </c>
      <c r="G110" t="inlineStr">
        <is>
          <t>SKINNSKATTEBERG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18161-2024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45420</v>
      </c>
      <c r="E111" s="1" t="n">
        <v>46294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25846-2025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45804</v>
      </c>
      <c r="E112" s="1" t="n">
        <v>46294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53145-2021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44468</v>
      </c>
      <c r="E113" s="1" t="n">
        <v>46294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53243-2021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44468</v>
      </c>
      <c r="E114" s="1" t="n">
        <v>46294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45637</v>
      </c>
      <c r="E115" s="1" t="n">
        <v>46294</v>
      </c>
      <c r="F115" t="inlineStr">
        <is>
          <t>VÄSTMANLANDS LÄN</t>
        </is>
      </c>
      <c r="G115" t="inlineStr">
        <is>
          <t>SKINNSKATTEBERG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46294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46294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Kyrkan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46294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46294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46294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45375</v>
      </c>
      <c r="E121" s="1" t="n">
        <v>46294</v>
      </c>
      <c r="F121" t="inlineStr">
        <is>
          <t>VÄSTMANLANDS LÄN</t>
        </is>
      </c>
      <c r="G121" t="inlineStr">
        <is>
          <t>SKINNSKATTEBERG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46294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44184-2025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45915</v>
      </c>
      <c r="E123" s="1" t="n">
        <v>46294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45480</v>
      </c>
      <c r="E124" s="1" t="n">
        <v>46294</v>
      </c>
      <c r="F124" t="inlineStr">
        <is>
          <t>VÄSTMANLANDS LÄN</t>
        </is>
      </c>
      <c r="G124" t="inlineStr">
        <is>
          <t>SKINNSKATTEBERG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46294</v>
      </c>
      <c r="F125" t="inlineStr">
        <is>
          <t>VÄSTMANLANDS LÄN</t>
        </is>
      </c>
      <c r="G125" t="inlineStr">
        <is>
          <t>SKINNSKATTEBERG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41581-2025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45901</v>
      </c>
      <c r="E126" s="1" t="n">
        <v>46294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46294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46294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28831-2025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45820</v>
      </c>
      <c r="E129" s="1" t="n">
        <v>46294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46294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46294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45820</v>
      </c>
      <c r="E132" s="1" t="n">
        <v>46294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46294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29808-2025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45825</v>
      </c>
      <c r="E134" s="1" t="n">
        <v>46294</v>
      </c>
      <c r="F134" t="inlineStr">
        <is>
          <t>VÄSTMANLANDS LÄN</t>
        </is>
      </c>
      <c r="G134" t="inlineStr">
        <is>
          <t>SKINNSKATTEBERG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46294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29810-2025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45825</v>
      </c>
      <c r="E136" s="1" t="n">
        <v>46294</v>
      </c>
      <c r="F136" t="inlineStr">
        <is>
          <t>VÄSTMANLANDS LÄN</t>
        </is>
      </c>
      <c r="G136" t="inlineStr">
        <is>
          <t>SKINNSKATTEBERG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30439-2025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45827</v>
      </c>
      <c r="E137" s="1" t="n">
        <v>46294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38521-2023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46294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45832</v>
      </c>
      <c r="E139" s="1" t="n">
        <v>46294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30873-2025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45832</v>
      </c>
      <c r="E140" s="1" t="n">
        <v>46294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46294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46294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45610</v>
      </c>
      <c r="E143" s="1" t="n">
        <v>46294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31234-2025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45832</v>
      </c>
      <c r="E144" s="1" t="n">
        <v>46294</v>
      </c>
      <c r="F144" t="inlineStr">
        <is>
          <t>VÄSTMANLANDS LÄN</t>
        </is>
      </c>
      <c r="G144" t="inlineStr">
        <is>
          <t>SKINNSKATTEBERG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45686</v>
      </c>
      <c r="E145" s="1" t="n">
        <v>46294</v>
      </c>
      <c r="F145" t="inlineStr">
        <is>
          <t>VÄSTMANLANDS LÄN</t>
        </is>
      </c>
      <c r="G145" t="inlineStr">
        <is>
          <t>SKINNSKATTEBERG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46294</v>
      </c>
      <c r="F146" t="inlineStr">
        <is>
          <t>VÄSTMANLANDS LÄN</t>
        </is>
      </c>
      <c r="G146" t="inlineStr">
        <is>
          <t>SKINNSKATTEBERG</t>
        </is>
      </c>
      <c r="I146" t="n">
        <v>10.5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45770</v>
      </c>
      <c r="E147" s="1" t="n">
        <v>46294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46294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45571</v>
      </c>
      <c r="E149" s="1" t="n">
        <v>46294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45947</v>
      </c>
      <c r="E150" s="1" t="n">
        <v>46294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45947</v>
      </c>
      <c r="E151" s="1" t="n">
        <v>46294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45848</v>
      </c>
      <c r="E152" s="1" t="n">
        <v>46294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46294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46294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45853</v>
      </c>
      <c r="E155" s="1" t="n">
        <v>46294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45554</v>
      </c>
      <c r="E156" s="1" t="n">
        <v>46294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35205-2025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45853</v>
      </c>
      <c r="E157" s="1" t="n">
        <v>46294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46294</v>
      </c>
      <c r="F158" t="inlineStr">
        <is>
          <t>VÄSTMANLANDS LÄN</t>
        </is>
      </c>
      <c r="G158" t="inlineStr">
        <is>
          <t>SKINNSKATTEBERG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45406</v>
      </c>
      <c r="E159" s="1" t="n">
        <v>46294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46294</v>
      </c>
      <c r="F160" t="inlineStr">
        <is>
          <t>VÄSTMANLANDS LÄN</t>
        </is>
      </c>
      <c r="G160" t="inlineStr">
        <is>
          <t>SKINNSKATTEBERG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48825-2022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46294</v>
      </c>
      <c r="F161" t="inlineStr">
        <is>
          <t>VÄSTMANLANDS LÄN</t>
        </is>
      </c>
      <c r="G161" t="inlineStr">
        <is>
          <t>SKINNSKATTEBERG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46294</v>
      </c>
      <c r="F162" t="inlineStr">
        <is>
          <t>VÄSTMANLANDS LÄN</t>
        </is>
      </c>
      <c r="G162" t="inlineStr">
        <is>
          <t>SKINNSKATTEBERG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46294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46294</v>
      </c>
      <c r="F164" t="inlineStr">
        <is>
          <t>VÄSTMANLANDS LÄN</t>
        </is>
      </c>
      <c r="G164" t="inlineStr">
        <is>
          <t>SKINNSKATTEBERG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46294</v>
      </c>
      <c r="F165" t="inlineStr">
        <is>
          <t>VÄSTMANLANDS LÄN</t>
        </is>
      </c>
      <c r="G165" t="inlineStr">
        <is>
          <t>SKINNSKATTEBERG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46294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46294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8.699999999999999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45880</v>
      </c>
      <c r="E168" s="1" t="n">
        <v>46294</v>
      </c>
      <c r="F168" t="inlineStr">
        <is>
          <t>VÄSTMANLANDS LÄN</t>
        </is>
      </c>
      <c r="G168" t="inlineStr">
        <is>
          <t>SKINNSKATTEBERG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46294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35059-2024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45527</v>
      </c>
      <c r="E170" s="1" t="n">
        <v>46294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46294</v>
      </c>
      <c r="F171" t="inlineStr">
        <is>
          <t>VÄSTMANLANDS LÄN</t>
        </is>
      </c>
      <c r="G171" t="inlineStr">
        <is>
          <t>SKINNSKATTEBERG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46294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46294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46294</v>
      </c>
      <c r="F174" t="inlineStr">
        <is>
          <t>VÄSTMANLANDS LÄN</t>
        </is>
      </c>
      <c r="G174" t="inlineStr">
        <is>
          <t>SKINNSKATTEBERG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46294</v>
      </c>
      <c r="F175" t="inlineStr">
        <is>
          <t>VÄSTMANLANDS LÄN</t>
        </is>
      </c>
      <c r="G175" t="inlineStr">
        <is>
          <t>SKINNSKATTEBERG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46294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46294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7103-2022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46294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Kyrkan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56465-2025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45975</v>
      </c>
      <c r="E179" s="1" t="n">
        <v>46294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46294</v>
      </c>
      <c r="F180" t="inlineStr">
        <is>
          <t>VÄSTMANLANDS LÄN</t>
        </is>
      </c>
      <c r="G180" t="inlineStr">
        <is>
          <t>SKINNSKATTEBERG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46294</v>
      </c>
      <c r="F181" t="inlineStr">
        <is>
          <t>VÄSTMANLANDS LÄN</t>
        </is>
      </c>
      <c r="G181" t="inlineStr">
        <is>
          <t>SKINNSKATTEBERG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46294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11494-2023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44993</v>
      </c>
      <c r="E183" s="1" t="n">
        <v>46294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46294</v>
      </c>
      <c r="F184" t="inlineStr">
        <is>
          <t>VÄSTMANLANDS LÄN</t>
        </is>
      </c>
      <c r="G184" t="inlineStr">
        <is>
          <t>SKINNSKATTEBERG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46294</v>
      </c>
      <c r="F185" t="inlineStr">
        <is>
          <t>VÄSTMANLANDS LÄN</t>
        </is>
      </c>
      <c r="G185" t="inlineStr">
        <is>
          <t>SKINNSKATTEBERG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5704-2026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46051</v>
      </c>
      <c r="E186" s="1" t="n">
        <v>46294</v>
      </c>
      <c r="F186" t="inlineStr">
        <is>
          <t>VÄSTMANLANDS LÄN</t>
        </is>
      </c>
      <c r="G186" t="inlineStr">
        <is>
          <t>SKINNSKATTEBERG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46294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46294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5693-2026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46051</v>
      </c>
      <c r="E189" s="1" t="n">
        <v>46294</v>
      </c>
      <c r="F189" t="inlineStr">
        <is>
          <t>VÄSTMANLANDS LÄN</t>
        </is>
      </c>
      <c r="G189" t="inlineStr">
        <is>
          <t>SKINNSKATTEBERG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5675-2026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46051</v>
      </c>
      <c r="E190" s="1" t="n">
        <v>46294</v>
      </c>
      <c r="F190" t="inlineStr">
        <is>
          <t>VÄSTMANLANDS LÄN</t>
        </is>
      </c>
      <c r="G190" t="inlineStr">
        <is>
          <t>SKINNSKATTEBERG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46294</v>
      </c>
      <c r="F191" t="inlineStr">
        <is>
          <t>VÄSTMANLANDS LÄN</t>
        </is>
      </c>
      <c r="G191" t="inlineStr">
        <is>
          <t>SKINNSKATTEBERG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46294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46056</v>
      </c>
      <c r="E193" s="1" t="n">
        <v>46294</v>
      </c>
      <c r="F193" t="inlineStr">
        <is>
          <t>VÄSTMANLANDS LÄN</t>
        </is>
      </c>
      <c r="G193" t="inlineStr">
        <is>
          <t>SKINNSKATTEBERG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45198</v>
      </c>
      <c r="E194" s="1" t="n">
        <v>46294</v>
      </c>
      <c r="F194" t="inlineStr">
        <is>
          <t>VÄSTMANLANDS LÄN</t>
        </is>
      </c>
      <c r="G194" t="inlineStr">
        <is>
          <t>SKINNSKATTEBERG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46294</v>
      </c>
      <c r="F195" t="inlineStr">
        <is>
          <t>VÄSTMANLANDS LÄN</t>
        </is>
      </c>
      <c r="G195" t="inlineStr">
        <is>
          <t>SKINNSKATTEBERG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46294</v>
      </c>
      <c r="F196" t="inlineStr">
        <is>
          <t>VÄSTMANLANDS LÄN</t>
        </is>
      </c>
      <c r="G196" t="inlineStr">
        <is>
          <t>SKINNSKATTEBERG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46294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45571</v>
      </c>
      <c r="E198" s="1" t="n">
        <v>46294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45571</v>
      </c>
      <c r="E199" s="1" t="n">
        <v>46294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46294</v>
      </c>
      <c r="F200" t="inlineStr">
        <is>
          <t>VÄSTMANLANDS LÄN</t>
        </is>
      </c>
      <c r="G200" t="inlineStr">
        <is>
          <t>SKINNSKATTEBERG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20248-2024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45434</v>
      </c>
      <c r="E201" s="1" t="n">
        <v>46294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16729-2024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45410</v>
      </c>
      <c r="E202" s="1" t="n">
        <v>46294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45134</v>
      </c>
      <c r="E203" s="1" t="n">
        <v>46294</v>
      </c>
      <c r="F203" t="inlineStr">
        <is>
          <t>VÄSTMANLANDS LÄN</t>
        </is>
      </c>
      <c r="G203" t="inlineStr">
        <is>
          <t>SKINNSKATTEBERG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46294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14237-2025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45740</v>
      </c>
      <c r="E205" s="1" t="n">
        <v>46294</v>
      </c>
      <c r="F205" t="inlineStr">
        <is>
          <t>VÄSTMANLANDS LÄN</t>
        </is>
      </c>
      <c r="G205" t="inlineStr">
        <is>
          <t>SKINNSKATTEBERG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45407</v>
      </c>
      <c r="E206" s="1" t="n">
        <v>46294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45376</v>
      </c>
      <c r="E207" s="1" t="n">
        <v>46294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44974</v>
      </c>
      <c r="E208" s="1" t="n">
        <v>46294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Kyrkan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46294</v>
      </c>
      <c r="F209" t="inlineStr">
        <is>
          <t>VÄSTMANLANDS LÄN</t>
        </is>
      </c>
      <c r="G209" t="inlineStr">
        <is>
          <t>SKINNSKATTEBERG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25843-2023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45090</v>
      </c>
      <c r="E210" s="1" t="n">
        <v>46294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46294</v>
      </c>
      <c r="F211" t="inlineStr">
        <is>
          <t>VÄSTMANLANDS LÄN</t>
        </is>
      </c>
      <c r="G211" t="inlineStr">
        <is>
          <t>SKINNSKATTEBERG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46294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46294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15955-2026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46108</v>
      </c>
      <c r="E214" s="1" t="n">
        <v>46294</v>
      </c>
      <c r="F214" t="inlineStr">
        <is>
          <t>VÄSTMANLANDS LÄN</t>
        </is>
      </c>
      <c r="G214" t="inlineStr">
        <is>
          <t>SKINNSKATTEBERG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46107</v>
      </c>
      <c r="E215" s="1" t="n">
        <v>46294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16136-2026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46108</v>
      </c>
      <c r="E216" s="1" t="n">
        <v>46294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46107</v>
      </c>
      <c r="E217" s="1" t="n">
        <v>46294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46294</v>
      </c>
      <c r="F218" t="inlineStr">
        <is>
          <t>VÄSTMANLANDS LÄN</t>
        </is>
      </c>
      <c r="G218" t="inlineStr">
        <is>
          <t>SKINNSKATTEBERG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46294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13676-2022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44648</v>
      </c>
      <c r="E220" s="1" t="n">
        <v>46294</v>
      </c>
      <c r="F220" t="inlineStr">
        <is>
          <t>VÄSTMANLANDS LÄN</t>
        </is>
      </c>
      <c r="G220" t="inlineStr">
        <is>
          <t>SKINNSKATTEBERG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46294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46294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46114</v>
      </c>
      <c r="E223" s="1" t="n">
        <v>46294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46119</v>
      </c>
      <c r="E224" s="1" t="n">
        <v>46294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46294</v>
      </c>
      <c r="F225" t="inlineStr">
        <is>
          <t>VÄSTMANLANDS LÄN</t>
        </is>
      </c>
      <c r="G225" t="inlineStr">
        <is>
          <t>SKINNSKATTEBERG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46122</v>
      </c>
      <c r="E226" s="1" t="n">
        <v>46294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46129</v>
      </c>
      <c r="E227" s="1" t="n">
        <v>46294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36597-2024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45537</v>
      </c>
      <c r="E228" s="1" t="n">
        <v>46294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19540-2026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46134</v>
      </c>
      <c r="E229" s="1" t="n">
        <v>46294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19541-2026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46134</v>
      </c>
      <c r="E230" s="1" t="n">
        <v>46294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19582-2026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46134</v>
      </c>
      <c r="E231" s="1" t="n">
        <v>46294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42093-2023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45177</v>
      </c>
      <c r="E232" s="1" t="n">
        <v>46294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45447</v>
      </c>
      <c r="E233" s="1" t="n">
        <v>46294</v>
      </c>
      <c r="F233" t="inlineStr">
        <is>
          <t>VÄSTMANLANDS LÄN</t>
        </is>
      </c>
      <c r="G233" t="inlineStr">
        <is>
          <t>SKINNSKATTEBERG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55428-2021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44475</v>
      </c>
      <c r="E234" s="1" t="n">
        <v>46294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44469</v>
      </c>
      <c r="E235" s="1" t="n">
        <v>46294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53183-2021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44468</v>
      </c>
      <c r="E236" s="1" t="n">
        <v>46294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46294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45531</v>
      </c>
      <c r="E238" s="1" t="n">
        <v>46294</v>
      </c>
      <c r="F238" t="inlineStr">
        <is>
          <t>VÄSTMANLANDS LÄN</t>
        </is>
      </c>
      <c r="G238" t="inlineStr">
        <is>
          <t>SKINNSKATTEBERG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53142-2021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44468</v>
      </c>
      <c r="E239" s="1" t="n">
        <v>46294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36248-2024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45534</v>
      </c>
      <c r="E240" s="1" t="n">
        <v>46294</v>
      </c>
      <c r="F240" t="inlineStr">
        <is>
          <t>VÄSTMANLANDS LÄN</t>
        </is>
      </c>
      <c r="G240" t="inlineStr">
        <is>
          <t>SKINNSKATTEBERG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46294</v>
      </c>
      <c r="F241" t="inlineStr">
        <is>
          <t>VÄSTMANLANDS LÄN</t>
        </is>
      </c>
      <c r="G241" t="inlineStr">
        <is>
          <t>SKINNSKATTEBERG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46294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45512</v>
      </c>
      <c r="E243" s="1" t="n">
        <v>46294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45604</v>
      </c>
      <c r="E244" s="1" t="n">
        <v>46294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47137-2024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46294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46294</v>
      </c>
      <c r="F246" t="inlineStr">
        <is>
          <t>VÄSTMANLANDS LÄN</t>
        </is>
      </c>
      <c r="G246" t="inlineStr">
        <is>
          <t>SKINNSKATTEBERG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20556-2026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46294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20563-2026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46140</v>
      </c>
      <c r="E248" s="1" t="n">
        <v>46294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45407</v>
      </c>
      <c r="E249" s="1" t="n">
        <v>46294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46294</v>
      </c>
      <c r="F250" t="inlineStr">
        <is>
          <t>VÄSTMANLANDS LÄN</t>
        </is>
      </c>
      <c r="G250" t="inlineStr">
        <is>
          <t>SKINNSKATTEBERG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46294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46142</v>
      </c>
      <c r="E252" s="1" t="n">
        <v>46294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46142</v>
      </c>
      <c r="E253" s="1" t="n">
        <v>46294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46294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46294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46294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46142</v>
      </c>
      <c r="E257" s="1" t="n">
        <v>46294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46294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46294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46294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46150</v>
      </c>
      <c r="E261" s="1" t="n">
        <v>46294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45056</v>
      </c>
      <c r="E262" s="1" t="n">
        <v>46294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46294</v>
      </c>
      <c r="F263" t="inlineStr">
        <is>
          <t>VÄSTMANLANDS LÄN</t>
        </is>
      </c>
      <c r="G263" t="inlineStr">
        <is>
          <t>SKINNSKATTEBERG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22779-2026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46157</v>
      </c>
      <c r="E264" s="1" t="n">
        <v>46294</v>
      </c>
      <c r="F264" t="inlineStr">
        <is>
          <t>VÄSTMANLANDS LÄN</t>
        </is>
      </c>
      <c r="G264" t="inlineStr">
        <is>
          <t>SKINNSKATTEBERG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13713-2024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45390</v>
      </c>
      <c r="E265" s="1" t="n">
        <v>46294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45447</v>
      </c>
      <c r="E266" s="1" t="n">
        <v>46294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29708-2024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45485</v>
      </c>
      <c r="E267" s="1" t="n">
        <v>46294</v>
      </c>
      <c r="F267" t="inlineStr">
        <is>
          <t>VÄSTMANLANDS LÄN</t>
        </is>
      </c>
      <c r="G267" t="inlineStr">
        <is>
          <t>SKINNSKATTEBERG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46294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46294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45555</v>
      </c>
      <c r="E270" s="1" t="n">
        <v>46294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45387</v>
      </c>
      <c r="E271" s="1" t="n">
        <v>46294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46294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46294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46294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45063</v>
      </c>
      <c r="E275" s="1" t="n">
        <v>46294</v>
      </c>
      <c r="F275" t="inlineStr">
        <is>
          <t>VÄSTMANLANDS LÄN</t>
        </is>
      </c>
      <c r="G275" t="inlineStr">
        <is>
          <t>SKINNSKATTEBERG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45401</v>
      </c>
      <c r="E276" s="1" t="n">
        <v>46294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46294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46170</v>
      </c>
      <c r="E278" s="1" t="n">
        <v>46294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46170</v>
      </c>
      <c r="E279" s="1" t="n">
        <v>46294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46294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46294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46294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46294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40545-2023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45170</v>
      </c>
      <c r="E284" s="1" t="n">
        <v>46294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40998-2024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45558</v>
      </c>
      <c r="E285" s="1" t="n">
        <v>46294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46294</v>
      </c>
      <c r="F286" t="inlineStr">
        <is>
          <t>VÄSTMANLANDS LÄN</t>
        </is>
      </c>
      <c r="G286" t="inlineStr">
        <is>
          <t>SKINNSKATTEBERG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25638-2026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46294</v>
      </c>
      <c r="F287" t="inlineStr">
        <is>
          <t>VÄSTMANLANDS LÄN</t>
        </is>
      </c>
      <c r="G287" t="inlineStr">
        <is>
          <t>SKINNSKATTEBERG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46294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46294</v>
      </c>
      <c r="F289" t="inlineStr">
        <is>
          <t>VÄSTMANLANDS LÄN</t>
        </is>
      </c>
      <c r="G289" t="inlineStr">
        <is>
          <t>SKINNSKATTEBERG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46294</v>
      </c>
      <c r="F290" t="inlineStr">
        <is>
          <t>VÄSTMANLANDS LÄN</t>
        </is>
      </c>
      <c r="G290" t="inlineStr">
        <is>
          <t>SKINNSKATTEBERG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46294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46177</v>
      </c>
      <c r="E292" s="1" t="n">
        <v>46294</v>
      </c>
      <c r="F292" t="inlineStr">
        <is>
          <t>VÄSTMANLANDS LÄN</t>
        </is>
      </c>
      <c r="G292" t="inlineStr">
        <is>
          <t>SKINNSKATTEBERG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25748-2026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46178</v>
      </c>
      <c r="E293" s="1" t="n">
        <v>46294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26356-2026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46182</v>
      </c>
      <c r="E294" s="1" t="n">
        <v>46294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46182</v>
      </c>
      <c r="E295" s="1" t="n">
        <v>46294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45082</v>
      </c>
      <c r="E296" s="1" t="n">
        <v>46294</v>
      </c>
      <c r="F296" t="inlineStr">
        <is>
          <t>VÄSTMANLANDS LÄN</t>
        </is>
      </c>
      <c r="G296" t="inlineStr">
        <is>
          <t>SKINNSKATTEBERG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61181-2021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46294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33396-2023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45128</v>
      </c>
      <c r="E298" s="1" t="n">
        <v>46294</v>
      </c>
      <c r="F298" t="inlineStr">
        <is>
          <t>VÄSTMANLANDS LÄN</t>
        </is>
      </c>
      <c r="G298" t="inlineStr">
        <is>
          <t>SKINNSKATTEBERG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46294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46294</v>
      </c>
      <c r="F300" t="inlineStr">
        <is>
          <t>VÄSTMANLANDS LÄN</t>
        </is>
      </c>
      <c r="G300" t="inlineStr">
        <is>
          <t>SKINNSKATTEBERG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26865-2026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46294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46294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27637-2026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46294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46190</v>
      </c>
      <c r="E304" s="1" t="n">
        <v>46294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46294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45085</v>
      </c>
      <c r="E306" s="1" t="n">
        <v>46294</v>
      </c>
      <c r="F306" t="inlineStr">
        <is>
          <t>VÄSTMANLANDS LÄN</t>
        </is>
      </c>
      <c r="G306" t="inlineStr">
        <is>
          <t>SKINNSKATTEBERG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46294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46294</v>
      </c>
      <c r="F308" t="inlineStr">
        <is>
          <t>VÄSTMANLANDS LÄN</t>
        </is>
      </c>
      <c r="G308" t="inlineStr">
        <is>
          <t>SKINNSKATTEBERG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46294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6298-2023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46294</v>
      </c>
      <c r="F310" t="inlineStr">
        <is>
          <t>VÄSTMANLANDS LÄN</t>
        </is>
      </c>
      <c r="G310" t="inlineStr">
        <is>
          <t>SKINNSKATTEBERG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31260-2023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45114</v>
      </c>
      <c r="E311" s="1" t="n">
        <v>46294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46191</v>
      </c>
      <c r="E312" s="1" t="n">
        <v>46294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46294</v>
      </c>
      <c r="F313" t="inlineStr">
        <is>
          <t>VÄSTMANLANDS LÄN</t>
        </is>
      </c>
      <c r="G313" t="inlineStr">
        <is>
          <t>SKINNSKATTEBERG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13553-2023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46294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Allmännings- och besparingsskogar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46197</v>
      </c>
      <c r="E315" s="1" t="n">
        <v>46294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46197</v>
      </c>
      <c r="E316" s="1" t="n">
        <v>46294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45393</v>
      </c>
      <c r="E317" s="1" t="n">
        <v>46294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12888-2024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45385</v>
      </c>
      <c r="E318" s="1" t="n">
        <v>46294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45686</v>
      </c>
      <c r="E319" s="1" t="n">
        <v>46294</v>
      </c>
      <c r="F319" t="inlineStr">
        <is>
          <t>VÄSTMANLANDS LÄN</t>
        </is>
      </c>
      <c r="G319" t="inlineStr">
        <is>
          <t>SKINNSKATTEBERG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46294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15561-2024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45401</v>
      </c>
      <c r="E321" s="1" t="n">
        <v>46294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46199</v>
      </c>
      <c r="E322" s="1" t="n">
        <v>46294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46200</v>
      </c>
      <c r="E323" s="1" t="n">
        <v>46294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44967</v>
      </c>
      <c r="E324" s="1" t="n">
        <v>46294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46200</v>
      </c>
      <c r="E325" s="1" t="n">
        <v>46294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46294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45568</v>
      </c>
      <c r="E327" s="1" t="n">
        <v>46294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45643</v>
      </c>
      <c r="E328" s="1" t="n">
        <v>46294</v>
      </c>
      <c r="F328" t="inlineStr">
        <is>
          <t>VÄSTMANLANDS LÄN</t>
        </is>
      </c>
      <c r="G328" t="inlineStr">
        <is>
          <t>SKINNSKATTEBERG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46294</v>
      </c>
      <c r="F329" t="inlineStr">
        <is>
          <t>VÄSTMANLANDS LÄN</t>
        </is>
      </c>
      <c r="G329" t="inlineStr">
        <is>
          <t>SKINNSKATTEBERG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44995</v>
      </c>
      <c r="E330" s="1" t="n">
        <v>46294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37210-2022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44806</v>
      </c>
      <c r="E331" s="1" t="n">
        <v>46294</v>
      </c>
      <c r="F331" t="inlineStr">
        <is>
          <t>VÄSTMANLANDS LÄN</t>
        </is>
      </c>
      <c r="G331" t="inlineStr">
        <is>
          <t>SKINNSKATTEBERG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54657-2022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44883</v>
      </c>
      <c r="E332" s="1" t="n">
        <v>46294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40167-2024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45554</v>
      </c>
      <c r="E333" s="1" t="n">
        <v>46294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66584-2021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44519</v>
      </c>
      <c r="E334" s="1" t="n">
        <v>46294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37342-2023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46294</v>
      </c>
      <c r="F335" t="inlineStr">
        <is>
          <t>VÄSTMANLANDS LÄN</t>
        </is>
      </c>
      <c r="G335" t="inlineStr">
        <is>
          <t>SKINNSKATTEBERG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58987-2023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45252</v>
      </c>
      <c r="E336" s="1" t="n">
        <v>46294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46210</v>
      </c>
      <c r="E337" s="1" t="n">
        <v>46294</v>
      </c>
      <c r="F337" t="inlineStr">
        <is>
          <t>VÄSTMANLANDS LÄN</t>
        </is>
      </c>
      <c r="G337" t="inlineStr">
        <is>
          <t>SKINNSKATTEBERG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31302-2024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46294</v>
      </c>
      <c r="F338" t="inlineStr">
        <is>
          <t>VÄSTMANLANDS LÄN</t>
        </is>
      </c>
      <c r="G338" t="inlineStr">
        <is>
          <t>SKINNSKATTEBERG</t>
        </is>
      </c>
      <c r="I338" t="n">
        <v>17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46294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45306</v>
      </c>
      <c r="E340" s="1" t="n">
        <v>46294</v>
      </c>
      <c r="F340" t="inlineStr">
        <is>
          <t>VÄSTMANLANDS LÄN</t>
        </is>
      </c>
      <c r="G340" t="inlineStr">
        <is>
          <t>SKINNSKATTEBERG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46294</v>
      </c>
      <c r="F341" t="inlineStr">
        <is>
          <t>VÄSTMANLANDS LÄN</t>
        </is>
      </c>
      <c r="G341" t="inlineStr">
        <is>
          <t>SKINNSKATTEBERG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46294</v>
      </c>
      <c r="F342" t="inlineStr">
        <is>
          <t>VÄSTMANLANDS LÄN</t>
        </is>
      </c>
      <c r="G342" t="inlineStr">
        <is>
          <t>SKINNSKATTEBERG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46294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46260</v>
      </c>
      <c r="E344" s="1" t="n">
        <v>46294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15184-2025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45744</v>
      </c>
      <c r="E345" s="1" t="n">
        <v>46294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35168-2026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46260</v>
      </c>
      <c r="E346" s="1" t="n">
        <v>46294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45174</v>
      </c>
      <c r="E347" s="1" t="n">
        <v>46294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46262</v>
      </c>
      <c r="E348" s="1" t="n">
        <v>46294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35582-2026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46262</v>
      </c>
      <c r="E349" s="1" t="n">
        <v>46294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45555</v>
      </c>
      <c r="E350" s="1" t="n">
        <v>46294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42425-2023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46294</v>
      </c>
      <c r="F351" t="inlineStr">
        <is>
          <t>VÄSTMANLANDS LÄN</t>
        </is>
      </c>
      <c r="G351" t="inlineStr">
        <is>
          <t>SKINNSKATTEBERG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46294</v>
      </c>
      <c r="F352" t="inlineStr">
        <is>
          <t>VÄSTMANLANDS LÄN</t>
        </is>
      </c>
      <c r="G352" t="inlineStr">
        <is>
          <t>SKINNSKATTEBERG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46262</v>
      </c>
      <c r="E353" s="1" t="n">
        <v>46294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46262</v>
      </c>
      <c r="E354" s="1" t="n">
        <v>46294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16394-2024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45407</v>
      </c>
      <c r="E355" s="1" t="n">
        <v>46294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35746-2026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46265</v>
      </c>
      <c r="E356" s="1" t="n">
        <v>46294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46294</v>
      </c>
      <c r="F357" t="inlineStr">
        <is>
          <t>VÄSTMANLANDS LÄN</t>
        </is>
      </c>
      <c r="G357" t="inlineStr">
        <is>
          <t>SKINNSKATTEBERG</t>
        </is>
      </c>
      <c r="I357" t="n">
        <v>9.1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22394-2022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44713</v>
      </c>
      <c r="E358" s="1" t="n">
        <v>46294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45532</v>
      </c>
      <c r="E359" s="1" t="n">
        <v>46294</v>
      </c>
      <c r="F359" t="inlineStr">
        <is>
          <t>VÄSTMANLANDS LÄN</t>
        </is>
      </c>
      <c r="G359" t="inlineStr">
        <is>
          <t>SKINNSKATTEBERG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46294</v>
      </c>
      <c r="F360" t="inlineStr">
        <is>
          <t>VÄSTMANLANDS LÄN</t>
        </is>
      </c>
      <c r="G360" t="inlineStr">
        <is>
          <t>SKINNSKATTEBERG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40176-2024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46294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19093-2023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45048</v>
      </c>
      <c r="E362" s="1" t="n">
        <v>46294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46294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45532</v>
      </c>
      <c r="E364" s="1" t="n">
        <v>46294</v>
      </c>
      <c r="F364" t="inlineStr">
        <is>
          <t>VÄSTMANLANDS LÄN</t>
        </is>
      </c>
      <c r="G364" t="inlineStr">
        <is>
          <t>SKINNSKATTEBERG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45114</v>
      </c>
      <c r="E365" s="1" t="n">
        <v>46294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29026-2026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46199</v>
      </c>
      <c r="E366" s="1" t="n">
        <v>46294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45506</v>
      </c>
      <c r="E367" s="1" t="n">
        <v>46294</v>
      </c>
      <c r="F367" t="inlineStr">
        <is>
          <t>VÄSTMANLANDS LÄN</t>
        </is>
      </c>
      <c r="G367" t="inlineStr">
        <is>
          <t>SKINNSKATTEBERG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46274</v>
      </c>
      <c r="E368" s="1" t="n">
        <v>46294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46294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46294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14719-2023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45014</v>
      </c>
      <c r="E371" s="1" t="n">
        <v>46294</v>
      </c>
      <c r="F371" t="inlineStr">
        <is>
          <t>VÄSTMANLANDS LÄN</t>
        </is>
      </c>
      <c r="G371" t="inlineStr">
        <is>
          <t>SKINNSKATTEBERG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14736-2023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45014</v>
      </c>
      <c r="E372" s="1" t="n">
        <v>46294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45762</v>
      </c>
      <c r="E373" s="1" t="n">
        <v>46294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45040</v>
      </c>
      <c r="E374" s="1" t="n">
        <v>46294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46279</v>
      </c>
      <c r="E375" s="1" t="n">
        <v>46294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45592</v>
      </c>
      <c r="E376" s="1" t="n">
        <v>46294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32217-2026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46237</v>
      </c>
      <c r="E377" s="1" t="n">
        <v>46294</v>
      </c>
      <c r="F377" t="inlineStr">
        <is>
          <t>VÄSTMANLANDS LÄN</t>
        </is>
      </c>
      <c r="G377" t="inlineStr">
        <is>
          <t>SKINNSKATTEBERG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45777</v>
      </c>
      <c r="E378" s="1" t="n">
        <v>46294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20949-2025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45777</v>
      </c>
      <c r="E379" s="1" t="n">
        <v>46294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46262</v>
      </c>
      <c r="E380" s="1" t="n">
        <v>46294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46237</v>
      </c>
      <c r="E381" s="1" t="n">
        <v>46294</v>
      </c>
      <c r="F381" t="inlineStr">
        <is>
          <t>VÄSTMANLANDS LÄN</t>
        </is>
      </c>
      <c r="G381" t="inlineStr">
        <is>
          <t>SKINNSKATTEBERG</t>
        </is>
      </c>
      <c r="I381" t="n">
        <v>12.2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38401-2026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46282</v>
      </c>
      <c r="E382" s="1" t="n">
        <v>46294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45377</v>
      </c>
      <c r="E383" s="1" t="n">
        <v>46294</v>
      </c>
      <c r="F383" t="inlineStr">
        <is>
          <t>VÄSTMANLANDS LÄN</t>
        </is>
      </c>
      <c r="G383" t="inlineStr">
        <is>
          <t>SKINNSKATTEBERG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46282</v>
      </c>
      <c r="E384" s="1" t="n">
        <v>46294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46294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50980-2022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44867</v>
      </c>
      <c r="E386" s="1" t="n">
        <v>46294</v>
      </c>
      <c r="F386" t="inlineStr">
        <is>
          <t>VÄSTMANLANDS LÄN</t>
        </is>
      </c>
      <c r="G386" t="inlineStr">
        <is>
          <t>SKINNSKATTEBERG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32870-2026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46244</v>
      </c>
      <c r="E387" s="1" t="n">
        <v>46294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32867-2026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46244</v>
      </c>
      <c r="E388" s="1" t="n">
        <v>46294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46244</v>
      </c>
      <c r="E389" s="1" t="n">
        <v>46294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32859-2026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46244</v>
      </c>
      <c r="E390" s="1" t="n">
        <v>46294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8.300000000000001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38735-2026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46285</v>
      </c>
      <c r="E391" s="1" t="n">
        <v>46294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39620-2026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46289</v>
      </c>
      <c r="E392" s="1" t="n">
        <v>46294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39863-2026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46290</v>
      </c>
      <c r="E393" s="1" t="n">
        <v>46294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39867-2026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46290</v>
      </c>
      <c r="E394" s="1" t="n">
        <v>46294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39869-2026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46290</v>
      </c>
      <c r="E395" s="1" t="n">
        <v>46294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46247</v>
      </c>
      <c r="E396" s="1" t="n">
        <v>46294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46290</v>
      </c>
      <c r="E397" s="1" t="n">
        <v>46294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33553-2026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46248</v>
      </c>
      <c r="E398" s="1" t="n">
        <v>46294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1765-2024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45435</v>
      </c>
      <c r="E399" s="1" t="n">
        <v>46294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1462-2025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45786</v>
      </c>
      <c r="E400" s="1" t="n">
        <v>46294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1931-2025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45827</v>
      </c>
      <c r="E401" s="1" t="n">
        <v>46294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2177-2025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45853</v>
      </c>
      <c r="E402" s="1" t="n">
        <v>46294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2422-2025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45897</v>
      </c>
      <c r="E403" s="1" t="n">
        <v>46294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2421-2025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45897</v>
      </c>
      <c r="E404" s="1" t="n">
        <v>46294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2420-2025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46294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2456-2025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45901</v>
      </c>
      <c r="E406" s="1" t="n">
        <v>46294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2578-2025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45915</v>
      </c>
      <c r="E407" s="1" t="n">
        <v>46294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1325-2026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46147</v>
      </c>
      <c r="E408" s="1" t="n">
        <v>46294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65.3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1678-2026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46182</v>
      </c>
      <c r="E409" s="1" t="n">
        <v>46294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1868-2026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46199</v>
      </c>
      <c r="E410" s="1" t="n">
        <v>46294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2239-2026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46260</v>
      </c>
      <c r="E411" s="1" t="n">
        <v>46294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2266-2026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46262</v>
      </c>
      <c r="E412" s="1" t="n">
        <v>46294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46294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2026-09-29T01:56:13Z</dcterms:created>
  <dcterms:modified xmlns:dcterms="http://purl.org/dc/terms/" xmlns:xsi="http://www.w3.org/2001/XMLSchema-instance" xsi:type="dcterms:W3CDTF">2026-09-29T01:56:14Z</dcterms:modified>
</cp:coreProperties>
</file>