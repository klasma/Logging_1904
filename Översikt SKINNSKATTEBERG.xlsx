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46307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46307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46307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46307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46307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46307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46307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46307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46307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46307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46307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46307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46307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58355-2025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45985</v>
      </c>
      <c r="E18" s="1" t="n">
        <v>46307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1.9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6</v>
      </c>
      <c r="U18" t="n">
        <v>4</v>
      </c>
      <c r="V18" s="2" t="inlineStr">
        <is>
          <t>Brunpudrad nållav
Vedtrappmossa
Brandticka</t>
        </is>
      </c>
      <c r="W18">
        <f>HYPERLINK("https://klasma.github.io/Logging_1904/artfynd/A 58355-2025 artfynd.xlsx", "A 58355-2025")</f>
        <v/>
      </c>
      <c r="X18">
        <f>HYPERLINK("https://klasma.github.io/Logging_1904/kartor/A 58355-2025 karta.png", "A 58355-2025")</f>
        <v/>
      </c>
      <c r="Y18">
        <f>HYPERLINK("https://klasma.github.io/Logging_1904/kartor_geotiff/A 58355-2025 georefererad karta.tif", "A 58355-2025")</f>
        <v/>
      </c>
      <c r="AA18">
        <f>HYPERLINK("https://klasma.github.io/Logging_1904/klagomål/A 58355-2025 FSC-klagomål.docx", "A 58355-2025")</f>
        <v/>
      </c>
      <c r="AB18">
        <f>HYPERLINK("https://klasma.github.io/Logging_1904/klagomålsmail/A 58355-2025 FSC-klagomål mail.docx", "A 58355-2025")</f>
        <v/>
      </c>
      <c r="AC18">
        <f>HYPERLINK("https://klasma.github.io/Logging_1904/tillsyn/A 58355-2025 tillsynsbegäran.docx", "A 58355-2025")</f>
        <v/>
      </c>
      <c r="AD18">
        <f>HYPERLINK("https://klasma.github.io/Logging_1904/tillsynsmail/A 58355-2025 tillsynsbegäran mail.docx", "A 58355-2025")</f>
        <v/>
      </c>
    </row>
    <row r="19" ht="15" customHeight="1">
      <c r="A19" t="inlineStr">
        <is>
          <t>A 21846-2026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46150</v>
      </c>
      <c r="E19" s="1" t="n">
        <v>46307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Gränsticka
Brunpudrad nållav
Vedtrappmossa</t>
        </is>
      </c>
      <c r="W19">
        <f>HYPERLINK("https://klasma.github.io/Logging_1904/artfynd/A 21846-2026 artfynd.xlsx", "A 21846-2026")</f>
        <v/>
      </c>
      <c r="X19">
        <f>HYPERLINK("https://klasma.github.io/Logging_1904/kartor/A 21846-2026 karta.png", "A 21846-2026")</f>
        <v/>
      </c>
      <c r="Y19">
        <f>HYPERLINK("https://klasma.github.io/Logging_1904/kartor_geotiff/A 21846-2026 georefererad karta.tif", "A 21846-2026")</f>
        <v/>
      </c>
      <c r="AA19">
        <f>HYPERLINK("https://klasma.github.io/Logging_1904/klagomål/A 21846-2026 FSC-klagomål.docx", "A 21846-2026")</f>
        <v/>
      </c>
      <c r="AB19">
        <f>HYPERLINK("https://klasma.github.io/Logging_1904/klagomålsmail/A 21846-2026 FSC-klagomål mail.docx", "A 21846-2026")</f>
        <v/>
      </c>
      <c r="AC19">
        <f>HYPERLINK("https://klasma.github.io/Logging_1904/tillsyn/A 21846-2026 tillsynsbegäran.docx", "A 21846-2026")</f>
        <v/>
      </c>
      <c r="AD19">
        <f>HYPERLINK("https://klasma.github.io/Logging_1904/tillsynsmail/A 21846-2026 tillsynsbegäran mail.docx", "A 21846-2026")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46307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46307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18416-2025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46307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Stubbspretmossa
Svart trolldruva</t>
        </is>
      </c>
      <c r="W22">
        <f>HYPERLINK("https://klasma.github.io/Logging_1904/artfynd/A 18416-2025 artfynd.xlsx", "A 18416-2025")</f>
        <v/>
      </c>
      <c r="X22">
        <f>HYPERLINK("https://klasma.github.io/Logging_1904/kartor/A 18416-2025 karta.png", "A 18416-2025")</f>
        <v/>
      </c>
      <c r="Y22">
        <f>HYPERLINK("https://klasma.github.io/Logging_1904/kartor_geotiff/A 18416-2025 georefererad karta.tif", "A 18416-2025")</f>
        <v/>
      </c>
      <c r="AA22">
        <f>HYPERLINK("https://klasma.github.io/Logging_1904/klagomål/A 18416-2025 FSC-klagomål.docx", "A 18416-2025")</f>
        <v/>
      </c>
      <c r="AB22">
        <f>HYPERLINK("https://klasma.github.io/Logging_1904/klagomålsmail/A 18416-2025 FSC-klagomål mail.docx", "A 18416-2025")</f>
        <v/>
      </c>
      <c r="AC22">
        <f>HYPERLINK("https://klasma.github.io/Logging_1904/tillsyn/A 18416-2025 tillsynsbegäran.docx", "A 18416-2025")</f>
        <v/>
      </c>
      <c r="AD22">
        <f>HYPERLINK("https://klasma.github.io/Logging_1904/tillsynsmail/A 18416-2025 tillsynsbegäran mail.docx", "A 18416-2025")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46307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36596-2024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45537</v>
      </c>
      <c r="E24" s="1" t="n">
        <v>46307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3</v>
      </c>
      <c r="U24" t="n">
        <v>3</v>
      </c>
      <c r="V24" s="2" t="inlineStr">
        <is>
          <t>Jättemusseron
Lakritsmusseron</t>
        </is>
      </c>
      <c r="W24">
        <f>HYPERLINK("https://klasma.github.io/Logging_1904/artfynd/A 36596-2024 artfynd.xlsx", "A 36596-2024")</f>
        <v/>
      </c>
      <c r="X24">
        <f>HYPERLINK("https://klasma.github.io/Logging_1904/kartor/A 36596-2024 karta.png", "A 36596-2024")</f>
        <v/>
      </c>
      <c r="Y24">
        <f>HYPERLINK("https://klasma.github.io/Logging_1904/kartor_geotiff/A 36596-2024 georefererad karta.tif", "A 36596-2024")</f>
        <v/>
      </c>
      <c r="AA24">
        <f>HYPERLINK("https://klasma.github.io/Logging_1904/klagomål/A 36596-2024 FSC-klagomål.docx", "A 36596-2024")</f>
        <v/>
      </c>
      <c r="AB24">
        <f>HYPERLINK("https://klasma.github.io/Logging_1904/klagomålsmail/A 36596-2024 FSC-klagomål mail.docx", "A 36596-2024")</f>
        <v/>
      </c>
      <c r="AC24">
        <f>HYPERLINK("https://klasma.github.io/Logging_1904/tillsyn/A 36596-2024 tillsynsbegäran.docx", "A 36596-2024")</f>
        <v/>
      </c>
      <c r="AD24">
        <f>HYPERLINK("https://klasma.github.io/Logging_1904/tillsynsmail/A 36596-2024 tillsynsbegäran mail.docx", "A 36596-2024")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12887-2024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45385</v>
      </c>
      <c r="E26" s="1" t="n">
        <v>46307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Sparvuggla</t>
        </is>
      </c>
      <c r="W26">
        <f>HYPERLINK("https://klasma.github.io/Logging_1904/artfynd/A 12887-2024 artfynd.xlsx", "A 12887-2024")</f>
        <v/>
      </c>
      <c r="X26">
        <f>HYPERLINK("https://klasma.github.io/Logging_1904/kartor/A 12887-2024 karta.png", "A 12887-2024")</f>
        <v/>
      </c>
      <c r="Y26">
        <f>HYPERLINK("https://klasma.github.io/Logging_1904/kartor_geotiff/A 12887-2024 georefererad karta.tif", "A 12887-2024")</f>
        <v/>
      </c>
      <c r="AA26">
        <f>HYPERLINK("https://klasma.github.io/Logging_1904/klagomål/A 12887-2024 FSC-klagomål.docx", "A 12887-2024")</f>
        <v/>
      </c>
      <c r="AB26">
        <f>HYPERLINK("https://klasma.github.io/Logging_1904/klagomålsmail/A 12887-2024 FSC-klagomål mail.docx", "A 12887-2024")</f>
        <v/>
      </c>
      <c r="AC26">
        <f>HYPERLINK("https://klasma.github.io/Logging_1904/tillsyn/A 12887-2024 tillsynsbegäran.docx", "A 12887-2024")</f>
        <v/>
      </c>
      <c r="AD26">
        <f>HYPERLINK("https://klasma.github.io/Logging_1904/tillsynsmail/A 12887-2024 tillsynsbegäran mail.docx", "A 12887-2024")</f>
        <v/>
      </c>
      <c r="AE26">
        <f>HYPERLINK("https://klasma.github.io/Logging_1904/fåglar/A 12887-2024 prioriterade fågelarter.docx", "A 12887-2024")</f>
        <v/>
      </c>
    </row>
    <row r="27" ht="15" customHeight="1">
      <c r="A27" t="inlineStr">
        <is>
          <t>A 23893-2023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45078</v>
      </c>
      <c r="E27" s="1" t="n">
        <v>46307</v>
      </c>
      <c r="F27" t="inlineStr">
        <is>
          <t>VÄSTMANLANDS LÄN</t>
        </is>
      </c>
      <c r="G27" t="inlineStr">
        <is>
          <t>SKINNSKATTEBERG</t>
        </is>
      </c>
      <c r="I27" t="n">
        <v>1.6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Knärot</t>
        </is>
      </c>
      <c r="W27">
        <f>HYPERLINK("https://klasma.github.io/Logging_1904/artfynd/A 23893-2023 artfynd.xlsx", "A 23893-2023")</f>
        <v/>
      </c>
      <c r="X27">
        <f>HYPERLINK("https://klasma.github.io/Logging_1904/kartor/A 23893-2023 karta.png", "A 23893-2023")</f>
        <v/>
      </c>
      <c r="Y27">
        <f>HYPERLINK("https://klasma.github.io/Logging_1904/kartor_geotiff/A 23893-2023 georefererad karta.tif", "A 23893-2023")</f>
        <v/>
      </c>
      <c r="Z27">
        <f>HYPERLINK("https://klasma.github.io/Logging_1904/knärot/A 23893-2023 karta knärot.png", "A 23893-2023")</f>
        <v/>
      </c>
      <c r="AA27">
        <f>HYPERLINK("https://klasma.github.io/Logging_1904/klagomål/A 23893-2023 FSC-klagomål.docx", "A 23893-2023")</f>
        <v/>
      </c>
      <c r="AB27">
        <f>HYPERLINK("https://klasma.github.io/Logging_1904/klagomålsmail/A 23893-2023 FSC-klagomål mail.docx", "A 23893-2023")</f>
        <v/>
      </c>
      <c r="AC27">
        <f>HYPERLINK("https://klasma.github.io/Logging_1904/tillsyn/A 23893-2023 tillsynsbegäran.docx", "A 23893-2023")</f>
        <v/>
      </c>
      <c r="AD27">
        <f>HYPERLINK("https://klasma.github.io/Logging_1904/tillsynsmail/A 23893-2023 tillsynsbegäran mail.docx", "A 23893-2023")</f>
        <v/>
      </c>
    </row>
    <row r="28" ht="15" customHeight="1">
      <c r="A28" t="inlineStr">
        <is>
          <t>A 41868-2022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44829</v>
      </c>
      <c r="E28" s="1" t="n">
        <v>46307</v>
      </c>
      <c r="F28" t="inlineStr">
        <is>
          <t>VÄSTMANLANDS LÄN</t>
        </is>
      </c>
      <c r="G28" t="inlineStr">
        <is>
          <t>SKINNSKATTEBERG</t>
        </is>
      </c>
      <c r="I28" t="n">
        <v>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HYPERLINK("https://klasma.github.io/Logging_1904/artfynd/A 41868-2022 artfynd.xlsx", "A 41868-2022")</f>
        <v/>
      </c>
      <c r="X28">
        <f>HYPERLINK("https://klasma.github.io/Logging_1904/kartor/A 41868-2022 karta.png", "A 41868-2022")</f>
        <v/>
      </c>
      <c r="Y28">
        <f>HYPERLINK("https://klasma.github.io/Logging_1904/kartor_geotiff/A 41868-2022 georefererad karta.tif", "A 41868-2022")</f>
        <v/>
      </c>
      <c r="AA28">
        <f>HYPERLINK("https://klasma.github.io/Logging_1904/klagomål/A 41868-2022 FSC-klagomål.docx", "A 41868-2022")</f>
        <v/>
      </c>
      <c r="AB28">
        <f>HYPERLINK("https://klasma.github.io/Logging_1904/klagomålsmail/A 41868-2022 FSC-klagomål mail.docx", "A 41868-2022")</f>
        <v/>
      </c>
      <c r="AC28">
        <f>HYPERLINK("https://klasma.github.io/Logging_1904/tillsyn/A 41868-2022 tillsynsbegäran.docx", "A 41868-2022")</f>
        <v/>
      </c>
      <c r="AD28">
        <f>HYPERLINK("https://klasma.github.io/Logging_1904/tillsynsmail/A 41868-2022 tillsynsbegäran mail.docx", "A 41868-2022")</f>
        <v/>
      </c>
    </row>
    <row r="29" ht="15" customHeight="1">
      <c r="A29" t="inlineStr">
        <is>
          <t>A 49630-2024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46307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7.3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HYPERLINK("https://klasma.github.io/Logging_1904/artfynd/A 49630-2024 artfynd.xlsx", "A 49630-2024")</f>
        <v/>
      </c>
      <c r="X29">
        <f>HYPERLINK("https://klasma.github.io/Logging_1904/kartor/A 49630-2024 karta.png", "A 49630-2024")</f>
        <v/>
      </c>
      <c r="Y29">
        <f>HYPERLINK("https://klasma.github.io/Logging_1904/kartor_geotiff/A 49630-2024 georefererad karta.tif", "A 49630-2024")</f>
        <v/>
      </c>
      <c r="AA29">
        <f>HYPERLINK("https://klasma.github.io/Logging_1904/klagomål/A 49630-2024 FSC-klagomål.docx", "A 49630-2024")</f>
        <v/>
      </c>
      <c r="AB29">
        <f>HYPERLINK("https://klasma.github.io/Logging_1904/klagomålsmail/A 49630-2024 FSC-klagomål mail.docx", "A 49630-2024")</f>
        <v/>
      </c>
      <c r="AC29">
        <f>HYPERLINK("https://klasma.github.io/Logging_1904/tillsyn/A 49630-2024 tillsynsbegäran.docx", "A 49630-2024")</f>
        <v/>
      </c>
      <c r="AD29">
        <f>HYPERLINK("https://klasma.github.io/Logging_1904/tillsynsmail/A 49630-2024 tillsynsbegäran mail.docx", "A 49630-2024")</f>
        <v/>
      </c>
    </row>
    <row r="30" ht="15" customHeight="1">
      <c r="A30" t="inlineStr">
        <is>
          <t>A 4000-2024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46307</v>
      </c>
      <c r="F30" t="inlineStr">
        <is>
          <t>VÄSTMANLANDS LÄN</t>
        </is>
      </c>
      <c r="G30" t="inlineStr">
        <is>
          <t>SKINNSKATTEBERG</t>
        </is>
      </c>
      <c r="I30" t="n">
        <v>14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Klasefibbla</t>
        </is>
      </c>
      <c r="W30">
        <f>HYPERLINK("https://klasma.github.io/Logging_1904/artfynd/A 4000-2024 artfynd.xlsx", "A 4000-2024")</f>
        <v/>
      </c>
      <c r="X30">
        <f>HYPERLINK("https://klasma.github.io/Logging_1904/kartor/A 4000-2024 karta.png", "A 4000-2024")</f>
        <v/>
      </c>
      <c r="Y30">
        <f>HYPERLINK("https://klasma.github.io/Logging_1904/kartor_geotiff/A 4000-2024 georefererad karta.tif", "A 4000-2024")</f>
        <v/>
      </c>
      <c r="AA30">
        <f>HYPERLINK("https://klasma.github.io/Logging_1904/klagomål/A 4000-2024 FSC-klagomål.docx", "A 4000-2024")</f>
        <v/>
      </c>
      <c r="AB30">
        <f>HYPERLINK("https://klasma.github.io/Logging_1904/klagomålsmail/A 4000-2024 FSC-klagomål mail.docx", "A 4000-2024")</f>
        <v/>
      </c>
      <c r="AC30">
        <f>HYPERLINK("https://klasma.github.io/Logging_1904/tillsyn/A 4000-2024 tillsynsbegäran.docx", "A 4000-2024")</f>
        <v/>
      </c>
      <c r="AD30">
        <f>HYPERLINK("https://klasma.github.io/Logging_1904/tillsynsmail/A 4000-2024 tillsynsbegäran mail.docx", "A 4000-2024")</f>
        <v/>
      </c>
    </row>
    <row r="31" ht="15" customHeight="1">
      <c r="A31" t="inlineStr">
        <is>
          <t>A 9491-2024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46307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HYPERLINK("https://klasma.github.io/Logging_1904/artfynd/A 9491-2024 artfynd.xlsx", "A 9491-2024")</f>
        <v/>
      </c>
      <c r="X31">
        <f>HYPERLINK("https://klasma.github.io/Logging_1904/kartor/A 9491-2024 karta.png", "A 9491-2024")</f>
        <v/>
      </c>
      <c r="Y31">
        <f>HYPERLINK("https://klasma.github.io/Logging_1904/kartor_geotiff/A 9491-2024 georefererad karta.tif", "A 9491-2024")</f>
        <v/>
      </c>
      <c r="AA31">
        <f>HYPERLINK("https://klasma.github.io/Logging_1904/klagomål/A 9491-2024 FSC-klagomål.docx", "A 9491-2024")</f>
        <v/>
      </c>
      <c r="AB31">
        <f>HYPERLINK("https://klasma.github.io/Logging_1904/klagomålsmail/A 9491-2024 FSC-klagomål mail.docx", "A 9491-2024")</f>
        <v/>
      </c>
      <c r="AC31">
        <f>HYPERLINK("https://klasma.github.io/Logging_1904/tillsyn/A 9491-2024 tillsynsbegäran.docx", "A 9491-2024")</f>
        <v/>
      </c>
      <c r="AD31">
        <f>HYPERLINK("https://klasma.github.io/Logging_1904/tillsynsmail/A 9491-2024 tillsynsbegäran mail.docx", "A 9491-2024")</f>
        <v/>
      </c>
    </row>
    <row r="32" ht="15" customHeight="1">
      <c r="A32" t="inlineStr">
        <is>
          <t>A 43413-2024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45568</v>
      </c>
      <c r="E32" s="1" t="n">
        <v>46307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Orange taggsvamp</t>
        </is>
      </c>
      <c r="W32">
        <f>HYPERLINK("https://klasma.github.io/Logging_1904/artfynd/A 43413-2024 artfynd.xlsx", "A 43413-2024")</f>
        <v/>
      </c>
      <c r="X32">
        <f>HYPERLINK("https://klasma.github.io/Logging_1904/kartor/A 43413-2024 karta.png", "A 43413-2024")</f>
        <v/>
      </c>
      <c r="Y32">
        <f>HYPERLINK("https://klasma.github.io/Logging_1904/kartor_geotiff/A 43413-2024 georefererad karta.tif", "A 43413-2024")</f>
        <v/>
      </c>
      <c r="AA32">
        <f>HYPERLINK("https://klasma.github.io/Logging_1904/klagomål/A 43413-2024 FSC-klagomål.docx", "A 43413-2024")</f>
        <v/>
      </c>
      <c r="AB32">
        <f>HYPERLINK("https://klasma.github.io/Logging_1904/klagomålsmail/A 43413-2024 FSC-klagomål mail.docx", "A 43413-2024")</f>
        <v/>
      </c>
      <c r="AC32">
        <f>HYPERLINK("https://klasma.github.io/Logging_1904/tillsyn/A 43413-2024 tillsynsbegäran.docx", "A 43413-2024")</f>
        <v/>
      </c>
      <c r="AD32">
        <f>HYPERLINK("https://klasma.github.io/Logging_1904/tillsynsmail/A 43413-2024 tillsynsbegäran mail.docx", "A 43413-2024")</f>
        <v/>
      </c>
    </row>
    <row r="33" ht="15" customHeight="1">
      <c r="A33" t="inlineStr">
        <is>
          <t>A 27565-2024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45474</v>
      </c>
      <c r="E33" s="1" t="n">
        <v>46307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HYPERLINK("https://klasma.github.io/Logging_1904/artfynd/A 27565-2024 artfynd.xlsx", "A 27565-2024")</f>
        <v/>
      </c>
      <c r="X33">
        <f>HYPERLINK("https://klasma.github.io/Logging_1904/kartor/A 27565-2024 karta.png", "A 27565-2024")</f>
        <v/>
      </c>
      <c r="Y33">
        <f>HYPERLINK("https://klasma.github.io/Logging_1904/kartor_geotiff/A 27565-2024 georefererad karta.tif", "A 27565-2024")</f>
        <v/>
      </c>
      <c r="AA33">
        <f>HYPERLINK("https://klasma.github.io/Logging_1904/klagomål/A 27565-2024 FSC-klagomål.docx", "A 27565-2024")</f>
        <v/>
      </c>
      <c r="AB33">
        <f>HYPERLINK("https://klasma.github.io/Logging_1904/klagomålsmail/A 27565-2024 FSC-klagomål mail.docx", "A 27565-2024")</f>
        <v/>
      </c>
      <c r="AC33">
        <f>HYPERLINK("https://klasma.github.io/Logging_1904/tillsyn/A 27565-2024 tillsynsbegäran.docx", "A 27565-2024")</f>
        <v/>
      </c>
      <c r="AD33">
        <f>HYPERLINK("https://klasma.github.io/Logging_1904/tillsynsmail/A 27565-2024 tillsynsbegäran mail.docx", "A 27565-2024")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46307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46307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19205-2024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46307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Järpe</t>
        </is>
      </c>
      <c r="W36">
        <f>HYPERLINK("https://klasma.github.io/Logging_1904/artfynd/A 19205-2024 artfynd.xlsx", "A 19205-2024")</f>
        <v/>
      </c>
      <c r="X36">
        <f>HYPERLINK("https://klasma.github.io/Logging_1904/kartor/A 19205-2024 karta.png", "A 19205-2024")</f>
        <v/>
      </c>
      <c r="Y36">
        <f>HYPERLINK("https://klasma.github.io/Logging_1904/kartor_geotiff/A 19205-2024 georefererad karta.tif", "A 19205-2024")</f>
        <v/>
      </c>
      <c r="AA36">
        <f>HYPERLINK("https://klasma.github.io/Logging_1904/klagomål/A 19205-2024 FSC-klagomål.docx", "A 19205-2024")</f>
        <v/>
      </c>
      <c r="AB36">
        <f>HYPERLINK("https://klasma.github.io/Logging_1904/klagomålsmail/A 19205-2024 FSC-klagomål mail.docx", "A 19205-2024")</f>
        <v/>
      </c>
      <c r="AC36">
        <f>HYPERLINK("https://klasma.github.io/Logging_1904/tillsyn/A 19205-2024 tillsynsbegäran.docx", "A 19205-2024")</f>
        <v/>
      </c>
      <c r="AD36">
        <f>HYPERLINK("https://klasma.github.io/Logging_1904/tillsynsmail/A 19205-2024 tillsynsbegäran mail.docx", "A 19205-2024")</f>
        <v/>
      </c>
      <c r="AE36">
        <f>HYPERLINK("https://klasma.github.io/Logging_1904/fåglar/A 19205-2024 prioriterade fågelarter.docx", "A 19205-2024")</f>
        <v/>
      </c>
    </row>
    <row r="37" ht="15" customHeight="1">
      <c r="A37" t="inlineStr">
        <is>
          <t>A 9490-2024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46307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9490-2024 artfynd.xlsx", "A 9490-2024")</f>
        <v/>
      </c>
      <c r="X37">
        <f>HYPERLINK("https://klasma.github.io/Logging_1904/kartor/A 9490-2024 karta.png", "A 9490-2024")</f>
        <v/>
      </c>
      <c r="Y37">
        <f>HYPERLINK("https://klasma.github.io/Logging_1904/kartor_geotiff/A 9490-2024 georefererad karta.tif", "A 9490-2024")</f>
        <v/>
      </c>
      <c r="AA37">
        <f>HYPERLINK("https://klasma.github.io/Logging_1904/klagomål/A 9490-2024 FSC-klagomål.docx", "A 9490-2024")</f>
        <v/>
      </c>
      <c r="AB37">
        <f>HYPERLINK("https://klasma.github.io/Logging_1904/klagomålsmail/A 9490-2024 FSC-klagomål mail.docx", "A 9490-2024")</f>
        <v/>
      </c>
      <c r="AC37">
        <f>HYPERLINK("https://klasma.github.io/Logging_1904/tillsyn/A 9490-2024 tillsynsbegäran.docx", "A 9490-2024")</f>
        <v/>
      </c>
      <c r="AD37">
        <f>HYPERLINK("https://klasma.github.io/Logging_1904/tillsynsmail/A 9490-2024 tillsynsbegäran mail.docx", "A 9490-2024")</f>
        <v/>
      </c>
      <c r="AE37">
        <f>HYPERLINK("https://klasma.github.io/Logging_1904/fåglar/A 9490-2024 prioriterade fågelarter.docx", "A 9490-2024")</f>
        <v/>
      </c>
    </row>
    <row r="38" ht="15" customHeight="1">
      <c r="A38" t="inlineStr">
        <is>
          <t>A 54296-2023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46307</v>
      </c>
      <c r="F38" t="inlineStr">
        <is>
          <t>VÄSTMANLANDS LÄN</t>
        </is>
      </c>
      <c r="G38" t="inlineStr">
        <is>
          <t>SKINNSKATTEBERG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HYPERLINK("https://klasma.github.io/Logging_1904/artfynd/A 54296-2023 artfynd.xlsx", "A 54296-2023")</f>
        <v/>
      </c>
      <c r="X38">
        <f>HYPERLINK("https://klasma.github.io/Logging_1904/kartor/A 54296-2023 karta.png", "A 54296-2023")</f>
        <v/>
      </c>
      <c r="Y38">
        <f>HYPERLINK("https://klasma.github.io/Logging_1904/kartor_geotiff/A 54296-2023 georefererad karta.tif", "A 54296-2023")</f>
        <v/>
      </c>
      <c r="AA38">
        <f>HYPERLINK("https://klasma.github.io/Logging_1904/klagomål/A 54296-2023 FSC-klagomål.docx", "A 54296-2023")</f>
        <v/>
      </c>
      <c r="AB38">
        <f>HYPERLINK("https://klasma.github.io/Logging_1904/klagomålsmail/A 54296-2023 FSC-klagomål mail.docx", "A 54296-2023")</f>
        <v/>
      </c>
      <c r="AC38">
        <f>HYPERLINK("https://klasma.github.io/Logging_1904/tillsyn/A 54296-2023 tillsynsbegäran.docx", "A 54296-2023")</f>
        <v/>
      </c>
      <c r="AD38">
        <f>HYPERLINK("https://klasma.github.io/Logging_1904/tillsynsmail/A 54296-2023 tillsynsbegäran mail.docx", "A 54296-2023")</f>
        <v/>
      </c>
    </row>
    <row r="39" ht="15" customHeight="1">
      <c r="A39" t="inlineStr">
        <is>
          <t>A 31006-2025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45832</v>
      </c>
      <c r="E39" s="1" t="n">
        <v>46307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HYPERLINK("https://klasma.github.io/Logging_1904/artfynd/A 31006-2025 artfynd.xlsx", "A 31006-2025")</f>
        <v/>
      </c>
      <c r="X39">
        <f>HYPERLINK("https://klasma.github.io/Logging_1904/kartor/A 31006-2025 karta.png", "A 31006-2025")</f>
        <v/>
      </c>
      <c r="Y39">
        <f>HYPERLINK("https://klasma.github.io/Logging_1904/kartor_geotiff/A 31006-2025 georefererad karta.tif", "A 31006-2025")</f>
        <v/>
      </c>
      <c r="AA39">
        <f>HYPERLINK("https://klasma.github.io/Logging_1904/klagomål/A 31006-2025 FSC-klagomål.docx", "A 31006-2025")</f>
        <v/>
      </c>
      <c r="AB39">
        <f>HYPERLINK("https://klasma.github.io/Logging_1904/klagomålsmail/A 31006-2025 FSC-klagomål mail.docx", "A 31006-2025")</f>
        <v/>
      </c>
      <c r="AC39">
        <f>HYPERLINK("https://klasma.github.io/Logging_1904/tillsyn/A 31006-2025 tillsynsbegäran.docx", "A 31006-2025")</f>
        <v/>
      </c>
      <c r="AD39">
        <f>HYPERLINK("https://klasma.github.io/Logging_1904/tillsynsmail/A 31006-2025 tillsynsbegäran mail.docx", "A 31006-2025")</f>
        <v/>
      </c>
      <c r="AE39">
        <f>HYPERLINK("https://klasma.github.io/Logging_1904/fåglar/A 31006-2025 prioriterade fågelarter.docx", "A 31006-2025")</f>
        <v/>
      </c>
    </row>
    <row r="40" ht="15" customHeight="1">
      <c r="A40" t="inlineStr">
        <is>
          <t>A 57395-2025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46307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6.9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Vedticka</t>
        </is>
      </c>
      <c r="W40">
        <f>HYPERLINK("https://klasma.github.io/Logging_1904/artfynd/A 57395-2025 artfynd.xlsx", "A 57395-2025")</f>
        <v/>
      </c>
      <c r="X40">
        <f>HYPERLINK("https://klasma.github.io/Logging_1904/kartor/A 57395-2025 karta.png", "A 57395-2025")</f>
        <v/>
      </c>
      <c r="Y40">
        <f>HYPERLINK("https://klasma.github.io/Logging_1904/kartor_geotiff/A 57395-2025 georefererad karta.tif", "A 57395-2025")</f>
        <v/>
      </c>
      <c r="AA40">
        <f>HYPERLINK("https://klasma.github.io/Logging_1904/klagomål/A 57395-2025 FSC-klagomål.docx", "A 57395-2025")</f>
        <v/>
      </c>
      <c r="AB40">
        <f>HYPERLINK("https://klasma.github.io/Logging_1904/klagomålsmail/A 57395-2025 FSC-klagomål mail.docx", "A 57395-2025")</f>
        <v/>
      </c>
      <c r="AC40">
        <f>HYPERLINK("https://klasma.github.io/Logging_1904/tillsyn/A 57395-2025 tillsynsbegäran.docx", "A 57395-2025")</f>
        <v/>
      </c>
      <c r="AD40">
        <f>HYPERLINK("https://klasma.github.io/Logging_1904/tillsynsmail/A 57395-2025 tillsynsbegäran mail.docx", "A 57395-2025")</f>
        <v/>
      </c>
    </row>
    <row r="41" ht="15" customHeight="1">
      <c r="A41" t="inlineStr">
        <is>
          <t>A 15734-2026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46107</v>
      </c>
      <c r="E41" s="1" t="n">
        <v>46307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Koppartaggsvamp</t>
        </is>
      </c>
      <c r="W41">
        <f>HYPERLINK("https://klasma.github.io/Logging_1904/artfynd/A 15734-2026 artfynd.xlsx", "A 15734-2026")</f>
        <v/>
      </c>
      <c r="X41">
        <f>HYPERLINK("https://klasma.github.io/Logging_1904/kartor/A 15734-2026 karta.png", "A 15734-2026")</f>
        <v/>
      </c>
      <c r="Y41">
        <f>HYPERLINK("https://klasma.github.io/Logging_1904/kartor_geotiff/A 15734-2026 georefererad karta.tif", "A 15734-2026")</f>
        <v/>
      </c>
      <c r="AA41">
        <f>HYPERLINK("https://klasma.github.io/Logging_1904/klagomål/A 15734-2026 FSC-klagomål.docx", "A 15734-2026")</f>
        <v/>
      </c>
      <c r="AB41">
        <f>HYPERLINK("https://klasma.github.io/Logging_1904/klagomålsmail/A 15734-2026 FSC-klagomål mail.docx", "A 15734-2026")</f>
        <v/>
      </c>
      <c r="AC41">
        <f>HYPERLINK("https://klasma.github.io/Logging_1904/tillsyn/A 15734-2026 tillsynsbegäran.docx", "A 15734-2026")</f>
        <v/>
      </c>
      <c r="AD41">
        <f>HYPERLINK("https://klasma.github.io/Logging_1904/tillsynsmail/A 15734-2026 tillsynsbegäran mail.docx", "A 15734-2026")</f>
        <v/>
      </c>
    </row>
    <row r="42" ht="15" customHeight="1">
      <c r="A42" t="inlineStr">
        <is>
          <t>A 28312-2023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45099</v>
      </c>
      <c r="E42" s="1" t="n">
        <v>46307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HYPERLINK("https://klasma.github.io/Logging_1904/artfynd/A 28312-2023 artfynd.xlsx", "A 28312-2023")</f>
        <v/>
      </c>
      <c r="X42">
        <f>HYPERLINK("https://klasma.github.io/Logging_1904/kartor/A 28312-2023 karta.png", "A 28312-2023")</f>
        <v/>
      </c>
      <c r="Y42">
        <f>HYPERLINK("https://klasma.github.io/Logging_1904/kartor_geotiff/A 28312-2023 georefererad karta.tif", "A 28312-2023")</f>
        <v/>
      </c>
      <c r="AA42">
        <f>HYPERLINK("https://klasma.github.io/Logging_1904/klagomål/A 28312-2023 FSC-klagomål.docx", "A 28312-2023")</f>
        <v/>
      </c>
      <c r="AB42">
        <f>HYPERLINK("https://klasma.github.io/Logging_1904/klagomålsmail/A 28312-2023 FSC-klagomål mail.docx", "A 28312-2023")</f>
        <v/>
      </c>
      <c r="AC42">
        <f>HYPERLINK("https://klasma.github.io/Logging_1904/tillsyn/A 28312-2023 tillsynsbegäran.docx", "A 28312-2023")</f>
        <v/>
      </c>
      <c r="AD42">
        <f>HYPERLINK("https://klasma.github.io/Logging_1904/tillsynsmail/A 28312-2023 tillsynsbegäran mail.docx", "A 28312-2023")</f>
        <v/>
      </c>
    </row>
    <row r="43" ht="15" customHeight="1">
      <c r="A43" t="inlineStr">
        <is>
          <t>A 57747-2023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45246</v>
      </c>
      <c r="E43" s="1" t="n">
        <v>46307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Myopa fasciata</t>
        </is>
      </c>
      <c r="W43">
        <f>HYPERLINK("https://klasma.github.io/Logging_1904/artfynd/A 57747-2023 artfynd.xlsx", "A 57747-2023")</f>
        <v/>
      </c>
      <c r="X43">
        <f>HYPERLINK("https://klasma.github.io/Logging_1904/kartor/A 57747-2023 karta.png", "A 57747-2023")</f>
        <v/>
      </c>
      <c r="Y43">
        <f>HYPERLINK("https://klasma.github.io/Logging_1904/kartor_geotiff/A 57747-2023 georefererad karta.tif", "A 57747-2023")</f>
        <v/>
      </c>
      <c r="AA43">
        <f>HYPERLINK("https://klasma.github.io/Logging_1904/klagomål/A 57747-2023 FSC-klagomål.docx", "A 57747-2023")</f>
        <v/>
      </c>
      <c r="AB43">
        <f>HYPERLINK("https://klasma.github.io/Logging_1904/klagomålsmail/A 57747-2023 FSC-klagomål mail.docx", "A 57747-2023")</f>
        <v/>
      </c>
      <c r="AC43">
        <f>HYPERLINK("https://klasma.github.io/Logging_1904/tillsyn/A 57747-2023 tillsynsbegäran.docx", "A 57747-2023")</f>
        <v/>
      </c>
      <c r="AD43">
        <f>HYPERLINK("https://klasma.github.io/Logging_1904/tillsynsmail/A 57747-2023 tillsynsbegäran mail.docx", "A 57747-2023")</f>
        <v/>
      </c>
    </row>
    <row r="44" ht="15" customHeight="1">
      <c r="A44" t="inlineStr">
        <is>
          <t>A 20559-2026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46307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20559-2026 artfynd.xlsx", "A 20559-2026")</f>
        <v/>
      </c>
      <c r="X44">
        <f>HYPERLINK("https://klasma.github.io/Logging_1904/kartor/A 20559-2026 karta.png", "A 20559-2026")</f>
        <v/>
      </c>
      <c r="Y44">
        <f>HYPERLINK("https://klasma.github.io/Logging_1904/kartor_geotiff/A 20559-2026 georefererad karta.tif", "A 20559-2026")</f>
        <v/>
      </c>
      <c r="AA44">
        <f>HYPERLINK("https://klasma.github.io/Logging_1904/klagomål/A 20559-2026 FSC-klagomål.docx", "A 20559-2026")</f>
        <v/>
      </c>
      <c r="AB44">
        <f>HYPERLINK("https://klasma.github.io/Logging_1904/klagomålsmail/A 20559-2026 FSC-klagomål mail.docx", "A 20559-2026")</f>
        <v/>
      </c>
      <c r="AC44">
        <f>HYPERLINK("https://klasma.github.io/Logging_1904/tillsyn/A 20559-2026 tillsynsbegäran.docx", "A 20559-2026")</f>
        <v/>
      </c>
      <c r="AD44">
        <f>HYPERLINK("https://klasma.github.io/Logging_1904/tillsynsmail/A 20559-2026 tillsynsbegäran mail.docx", "A 20559-2026")</f>
        <v/>
      </c>
      <c r="AE44">
        <f>HYPERLINK("https://klasma.github.io/Logging_1904/fåglar/A 20559-2026 prioriterade fågelarter.docx", "A 20559-2026")</f>
        <v/>
      </c>
    </row>
    <row r="45" ht="15" customHeight="1">
      <c r="A45" t="inlineStr">
        <is>
          <t>A 21849-2026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46307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12.5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HYPERLINK("https://klasma.github.io/Logging_1904/artfynd/A 21849-2026 artfynd.xlsx", "A 21849-2026")</f>
        <v/>
      </c>
      <c r="X45">
        <f>HYPERLINK("https://klasma.github.io/Logging_1904/kartor/A 21849-2026 karta.png", "A 21849-2026")</f>
        <v/>
      </c>
      <c r="Y45">
        <f>HYPERLINK("https://klasma.github.io/Logging_1904/kartor_geotiff/A 21849-2026 georefererad karta.tif", "A 21849-2026")</f>
        <v/>
      </c>
      <c r="Z45">
        <f>HYPERLINK("https://klasma.github.io/Logging_1904/knärot/A 21849-2026 karta knärot.png", "A 21849-2026")</f>
        <v/>
      </c>
      <c r="AA45">
        <f>HYPERLINK("https://klasma.github.io/Logging_1904/klagomål/A 21849-2026 FSC-klagomål.docx", "A 21849-2026")</f>
        <v/>
      </c>
      <c r="AB45">
        <f>HYPERLINK("https://klasma.github.io/Logging_1904/klagomålsmail/A 21849-2026 FSC-klagomål mail.docx", "A 21849-2026")</f>
        <v/>
      </c>
      <c r="AC45">
        <f>HYPERLINK("https://klasma.github.io/Logging_1904/tillsyn/A 21849-2026 tillsynsbegäran.docx", "A 21849-2026")</f>
        <v/>
      </c>
      <c r="AD45">
        <f>HYPERLINK("https://klasma.github.io/Logging_1904/tillsynsmail/A 21849-2026 tillsynsbegäran mail.docx", "A 21849-2026")</f>
        <v/>
      </c>
    </row>
    <row r="46" ht="15" customHeight="1">
      <c r="A46" t="inlineStr">
        <is>
          <t>A 24492-2026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46307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HYPERLINK("https://klasma.github.io/Logging_1904/artfynd/A 24492-2026 artfynd.xlsx", "A 24492-2026")</f>
        <v/>
      </c>
      <c r="X46">
        <f>HYPERLINK("https://klasma.github.io/Logging_1904/kartor/A 24492-2026 karta.png", "A 24492-2026")</f>
        <v/>
      </c>
      <c r="Y46">
        <f>HYPERLINK("https://klasma.github.io/Logging_1904/kartor_geotiff/A 24492-2026 georefererad karta.tif", "A 24492-2026")</f>
        <v/>
      </c>
      <c r="AA46">
        <f>HYPERLINK("https://klasma.github.io/Logging_1904/klagomål/A 24492-2026 FSC-klagomål.docx", "A 24492-2026")</f>
        <v/>
      </c>
      <c r="AB46">
        <f>HYPERLINK("https://klasma.github.io/Logging_1904/klagomålsmail/A 24492-2026 FSC-klagomål mail.docx", "A 24492-2026")</f>
        <v/>
      </c>
      <c r="AC46">
        <f>HYPERLINK("https://klasma.github.io/Logging_1904/tillsyn/A 24492-2026 tillsynsbegäran.docx", "A 24492-2026")</f>
        <v/>
      </c>
      <c r="AD46">
        <f>HYPERLINK("https://klasma.github.io/Logging_1904/tillsynsmail/A 24492-2026 tillsynsbegäran mail.docx", "A 24492-2026")</f>
        <v/>
      </c>
      <c r="AE46">
        <f>HYPERLINK("https://klasma.github.io/Logging_1904/fåglar/A 24492-2026 prioriterade fågelarter.docx", "A 24492-2026")</f>
        <v/>
      </c>
    </row>
    <row r="47" ht="15" customHeight="1">
      <c r="A47" t="inlineStr">
        <is>
          <t>A 24944-2026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46174</v>
      </c>
      <c r="E47" s="1" t="n">
        <v>46307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8.4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24944-2026 artfynd.xlsx", "A 24944-2026")</f>
        <v/>
      </c>
      <c r="X47">
        <f>HYPERLINK("https://klasma.github.io/Logging_1904/kartor/A 24944-2026 karta.png", "A 24944-2026")</f>
        <v/>
      </c>
      <c r="Y47">
        <f>HYPERLINK("https://klasma.github.io/Logging_1904/kartor_geotiff/A 24944-2026 georefererad karta.tif", "A 24944-2026")</f>
        <v/>
      </c>
      <c r="AA47">
        <f>HYPERLINK("https://klasma.github.io/Logging_1904/klagomål/A 24944-2026 FSC-klagomål.docx", "A 24944-2026")</f>
        <v/>
      </c>
      <c r="AB47">
        <f>HYPERLINK("https://klasma.github.io/Logging_1904/klagomålsmail/A 24944-2026 FSC-klagomål mail.docx", "A 24944-2026")</f>
        <v/>
      </c>
      <c r="AC47">
        <f>HYPERLINK("https://klasma.github.io/Logging_1904/tillsyn/A 24944-2026 tillsynsbegäran.docx", "A 24944-2026")</f>
        <v/>
      </c>
      <c r="AD47">
        <f>HYPERLINK("https://klasma.github.io/Logging_1904/tillsynsmail/A 24944-2026 tillsynsbegäran mail.docx", "A 24944-2026")</f>
        <v/>
      </c>
    </row>
    <row r="48" ht="15" customHeight="1">
      <c r="A48" t="inlineStr">
        <is>
          <t>A 26860-2026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46307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10.3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Kungsörn</t>
        </is>
      </c>
      <c r="W48">
        <f>HYPERLINK("https://klasma.github.io/Logging_1904/artfynd/A 26860-2026 artfynd.xlsx", "A 26860-2026")</f>
        <v/>
      </c>
      <c r="X48">
        <f>HYPERLINK("https://klasma.github.io/Logging_1904/kartor/A 26860-2026 karta.png", "A 26860-2026")</f>
        <v/>
      </c>
      <c r="Y48">
        <f>HYPERLINK("https://klasma.github.io/Logging_1904/kartor_geotiff/A 26860-2026 georefererad karta.tif", "A 26860-2026")</f>
        <v/>
      </c>
      <c r="AA48">
        <f>HYPERLINK("https://klasma.github.io/Logging_1904/klagomål/A 26860-2026 FSC-klagomål.docx", "A 26860-2026")</f>
        <v/>
      </c>
      <c r="AB48">
        <f>HYPERLINK("https://klasma.github.io/Logging_1904/klagomålsmail/A 26860-2026 FSC-klagomål mail.docx", "A 26860-2026")</f>
        <v/>
      </c>
      <c r="AC48">
        <f>HYPERLINK("https://klasma.github.io/Logging_1904/tillsyn/A 26860-2026 tillsynsbegäran.docx", "A 26860-2026")</f>
        <v/>
      </c>
      <c r="AD48">
        <f>HYPERLINK("https://klasma.github.io/Logging_1904/tillsynsmail/A 26860-2026 tillsynsbegäran mail.docx", "A 26860-2026")</f>
        <v/>
      </c>
      <c r="AE48">
        <f>HYPERLINK("https://klasma.github.io/Logging_1904/fåglar/A 26860-2026 prioriterade fågelarter.docx", "A 26860-2026")</f>
        <v/>
      </c>
    </row>
    <row r="49" ht="15" customHeight="1">
      <c r="A49" t="inlineStr">
        <is>
          <t>A 30579-2026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46307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HYPERLINK("https://klasma.github.io/Logging_1904/artfynd/A 30579-2026 artfynd.xlsx", "A 30579-2026")</f>
        <v/>
      </c>
      <c r="X49">
        <f>HYPERLINK("https://klasma.github.io/Logging_1904/kartor/A 30579-2026 karta.png", "A 30579-2026")</f>
        <v/>
      </c>
      <c r="Y49">
        <f>HYPERLINK("https://klasma.github.io/Logging_1904/kartor_geotiff/A 30579-2026 georefererad karta.tif", "A 30579-2026")</f>
        <v/>
      </c>
      <c r="AA49">
        <f>HYPERLINK("https://klasma.github.io/Logging_1904/klagomål/A 30579-2026 FSC-klagomål.docx", "A 30579-2026")</f>
        <v/>
      </c>
      <c r="AB49">
        <f>HYPERLINK("https://klasma.github.io/Logging_1904/klagomålsmail/A 30579-2026 FSC-klagomål mail.docx", "A 30579-2026")</f>
        <v/>
      </c>
      <c r="AC49">
        <f>HYPERLINK("https://klasma.github.io/Logging_1904/tillsyn/A 30579-2026 tillsynsbegäran.docx", "A 30579-2026")</f>
        <v/>
      </c>
      <c r="AD49">
        <f>HYPERLINK("https://klasma.github.io/Logging_1904/tillsynsmail/A 30579-2026 tillsynsbegäran mail.docx", "A 30579-2026")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46307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46307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46307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HYPERLINK("https://klasma.github.io/Logging_1904/artfynd/A 38734-2026 artfynd.xlsx", "A 38734-2026")</f>
        <v/>
      </c>
      <c r="X52">
        <f>HYPERLINK("https://klasma.github.io/Logging_1904/kartor/A 38734-2026 karta.png", "A 38734-2026")</f>
        <v/>
      </c>
      <c r="Y52">
        <f>HYPERLINK("https://klasma.github.io/Logging_1904/kartor_geotiff/A 38734-2026 georefererad karta.tif", "A 38734-2026")</f>
        <v/>
      </c>
      <c r="AA52">
        <f>HYPERLINK("https://klasma.github.io/Logging_1904/klagomål/A 38734-2026 FSC-klagomål.docx", "A 38734-2026")</f>
        <v/>
      </c>
      <c r="AB52">
        <f>HYPERLINK("https://klasma.github.io/Logging_1904/klagomålsmail/A 38734-2026 FSC-klagomål mail.docx", "A 38734-2026")</f>
        <v/>
      </c>
      <c r="AC52">
        <f>HYPERLINK("https://klasma.github.io/Logging_1904/tillsyn/A 38734-2026 tillsynsbegäran.docx", "A 38734-2026")</f>
        <v/>
      </c>
      <c r="AD52">
        <f>HYPERLINK("https://klasma.github.io/Logging_1904/tillsynsmail/A 38734-2026 tillsynsbegäran mail.docx", "A 38734-2026")</f>
        <v/>
      </c>
    </row>
    <row r="53" ht="15" customHeight="1">
      <c r="A53" t="inlineStr">
        <is>
          <t>A 38733-2026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46307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HYPERLINK("https://klasma.github.io/Logging_1904/artfynd/A 38733-2026 artfynd.xlsx", "A 38733-2026")</f>
        <v/>
      </c>
      <c r="X53">
        <f>HYPERLINK("https://klasma.github.io/Logging_1904/kartor/A 38733-2026 karta.png", "A 38733-2026")</f>
        <v/>
      </c>
      <c r="Y53">
        <f>HYPERLINK("https://klasma.github.io/Logging_1904/kartor_geotiff/A 38733-2026 georefererad karta.tif", "A 38733-2026")</f>
        <v/>
      </c>
      <c r="AA53">
        <f>HYPERLINK("https://klasma.github.io/Logging_1904/klagomål/A 38733-2026 FSC-klagomål.docx", "A 38733-2026")</f>
        <v/>
      </c>
      <c r="AB53">
        <f>HYPERLINK("https://klasma.github.io/Logging_1904/klagomålsmail/A 38733-2026 FSC-klagomål mail.docx", "A 38733-2026")</f>
        <v/>
      </c>
      <c r="AC53">
        <f>HYPERLINK("https://klasma.github.io/Logging_1904/tillsyn/A 38733-2026 tillsynsbegäran.docx", "A 38733-2026")</f>
        <v/>
      </c>
      <c r="AD53">
        <f>HYPERLINK("https://klasma.github.io/Logging_1904/tillsynsmail/A 38733-2026 tillsynsbegäran mail.docx", "A 38733-2026")</f>
        <v/>
      </c>
    </row>
    <row r="54" ht="15" customHeight="1">
      <c r="A54" t="inlineStr">
        <is>
          <t>A 35371-2026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46307</v>
      </c>
      <c r="F54" t="inlineStr">
        <is>
          <t>VÄSTMANLANDS LÄN</t>
        </is>
      </c>
      <c r="G54" t="inlineStr">
        <is>
          <t>SKINNSKATTEBERG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HYPERLINK("https://klasma.github.io/Logging_1904/artfynd/A 35371-2026 artfynd.xlsx", "A 35371-2026")</f>
        <v/>
      </c>
      <c r="X54">
        <f>HYPERLINK("https://klasma.github.io/Logging_1904/kartor/A 35371-2026 karta.png", "A 35371-2026")</f>
        <v/>
      </c>
      <c r="Y54">
        <f>HYPERLINK("https://klasma.github.io/Logging_1904/kartor_geotiff/A 35371-2026 georefererad karta.tif", "A 35371-2026")</f>
        <v/>
      </c>
      <c r="AA54">
        <f>HYPERLINK("https://klasma.github.io/Logging_1904/klagomål/A 35371-2026 FSC-klagomål.docx", "A 35371-2026")</f>
        <v/>
      </c>
      <c r="AB54">
        <f>HYPERLINK("https://klasma.github.io/Logging_1904/klagomålsmail/A 35371-2026 FSC-klagomål mail.docx", "A 35371-2026")</f>
        <v/>
      </c>
      <c r="AC54">
        <f>HYPERLINK("https://klasma.github.io/Logging_1904/tillsyn/A 35371-2026 tillsynsbegäran.docx", "A 35371-2026")</f>
        <v/>
      </c>
      <c r="AD54">
        <f>HYPERLINK("https://klasma.github.io/Logging_1904/tillsynsmail/A 35371-2026 tillsynsbegäran mail.docx", "A 35371-2026")</f>
        <v/>
      </c>
      <c r="AE54">
        <f>HYPERLINK("https://klasma.github.io/Logging_1904/fåglar/A 35371-2026 prioriterade fågelarter.docx", "A 35371-2026")</f>
        <v/>
      </c>
    </row>
    <row r="55" ht="15" customHeight="1">
      <c r="A55" t="inlineStr">
        <is>
          <t>A 47538-2025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46307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6.6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HYPERLINK("https://klasma.github.io/Logging_1904/artfynd/A 47538-2025 artfynd.xlsx", "A 47538-2025")</f>
        <v/>
      </c>
      <c r="X55">
        <f>HYPERLINK("https://klasma.github.io/Logging_1904/kartor/A 47538-2025 karta.png", "A 47538-2025")</f>
        <v/>
      </c>
      <c r="Y55">
        <f>HYPERLINK("https://klasma.github.io/Logging_1904/kartor_geotiff/A 47538-2025 georefererad karta.tif", "A 47538-2025")</f>
        <v/>
      </c>
      <c r="AA55">
        <f>HYPERLINK("https://klasma.github.io/Logging_1904/klagomål/A 47538-2025 FSC-klagomål.docx", "A 47538-2025")</f>
        <v/>
      </c>
      <c r="AB55">
        <f>HYPERLINK("https://klasma.github.io/Logging_1904/klagomålsmail/A 47538-2025 FSC-klagomål mail.docx", "A 47538-2025")</f>
        <v/>
      </c>
      <c r="AC55">
        <f>HYPERLINK("https://klasma.github.io/Logging_1904/tillsyn/A 47538-2025 tillsynsbegäran.docx", "A 47538-2025")</f>
        <v/>
      </c>
      <c r="AD55">
        <f>HYPERLINK("https://klasma.github.io/Logging_1904/tillsynsmail/A 47538-2025 tillsynsbegäran mail.docx", "A 47538-2025")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46307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46307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46307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46307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46307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46307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46307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46307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46307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46307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46307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46307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46307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46307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46307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46307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46307</v>
      </c>
      <c r="F72" t="inlineStr">
        <is>
          <t>VÄSTMANLANDS LÄN</t>
        </is>
      </c>
      <c r="G72" t="inlineStr">
        <is>
          <t>SKINNSKATTEBERG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46307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46307</v>
      </c>
      <c r="F74" t="inlineStr">
        <is>
          <t>VÄSTMANLANDS LÄN</t>
        </is>
      </c>
      <c r="G74" t="inlineStr">
        <is>
          <t>SKINNSKATTEBERG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72684-2021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44545</v>
      </c>
      <c r="E75" s="1" t="n">
        <v>46307</v>
      </c>
      <c r="F75" t="inlineStr">
        <is>
          <t>VÄSTMANLANDS LÄN</t>
        </is>
      </c>
      <c r="G75" t="inlineStr">
        <is>
          <t>SKINNSKATTEBERG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46307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45637</v>
      </c>
      <c r="E77" s="1" t="n">
        <v>46307</v>
      </c>
      <c r="F77" t="inlineStr">
        <is>
          <t>VÄSTMANLANDS LÄN</t>
        </is>
      </c>
      <c r="G77" t="inlineStr">
        <is>
          <t>SKINNSKATTEBERG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45434</v>
      </c>
      <c r="E78" s="1" t="n">
        <v>46307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45406</v>
      </c>
      <c r="E79" s="1" t="n">
        <v>46307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46307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Allmännings- och besparingsskogar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46307</v>
      </c>
      <c r="F81" t="inlineStr">
        <is>
          <t>VÄSTMANLANDS LÄN</t>
        </is>
      </c>
      <c r="G81" t="inlineStr">
        <is>
          <t>SKINNSKATTEBERG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46307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46307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45520</v>
      </c>
      <c r="E84" s="1" t="n">
        <v>46307</v>
      </c>
      <c r="F84" t="inlineStr">
        <is>
          <t>VÄSTMANLANDS LÄN</t>
        </is>
      </c>
      <c r="G84" t="inlineStr">
        <is>
          <t>SKINNSKATTEBERG</t>
        </is>
      </c>
      <c r="I84" t="n">
        <v>9.1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46307</v>
      </c>
      <c r="F85" t="inlineStr">
        <is>
          <t>VÄSTMANLANDS LÄN</t>
        </is>
      </c>
      <c r="G85" t="inlineStr">
        <is>
          <t>SKINNSKATTEBERG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46307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44883</v>
      </c>
      <c r="E87" s="1" t="n">
        <v>46307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45063</v>
      </c>
      <c r="E88" s="1" t="n">
        <v>46307</v>
      </c>
      <c r="F88" t="inlineStr">
        <is>
          <t>VÄSTMANLANDS LÄN</t>
        </is>
      </c>
      <c r="G88" t="inlineStr">
        <is>
          <t>SKINNSKATTEBERG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46307</v>
      </c>
      <c r="F89" t="inlineStr">
        <is>
          <t>VÄSTMANLANDS LÄN</t>
        </is>
      </c>
      <c r="G89" t="inlineStr">
        <is>
          <t>SKINNSKATTEBERG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46307</v>
      </c>
      <c r="F90" t="inlineStr">
        <is>
          <t>VÄSTMANLANDS LÄN</t>
        </is>
      </c>
      <c r="G90" t="inlineStr">
        <is>
          <t>SKINNSKATTEBERG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46307</v>
      </c>
      <c r="F91" t="inlineStr">
        <is>
          <t>VÄSTMANLANDS LÄN</t>
        </is>
      </c>
      <c r="G91" t="inlineStr">
        <is>
          <t>SKINNSKATTEBERG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46307</v>
      </c>
      <c r="F92" t="inlineStr">
        <is>
          <t>VÄSTMANLANDS LÄN</t>
        </is>
      </c>
      <c r="G92" t="inlineStr">
        <is>
          <t>SKINNSKATTEBERG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45134</v>
      </c>
      <c r="E93" s="1" t="n">
        <v>46307</v>
      </c>
      <c r="F93" t="inlineStr">
        <is>
          <t>VÄSTMANLANDS LÄN</t>
        </is>
      </c>
      <c r="G93" t="inlineStr">
        <is>
          <t>SKINNSKATTEBERG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15561-2024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45401</v>
      </c>
      <c r="E94" s="1" t="n">
        <v>46307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45114</v>
      </c>
      <c r="E95" s="1" t="n">
        <v>46307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46307</v>
      </c>
      <c r="F96" t="inlineStr">
        <is>
          <t>VÄSTMANLANDS LÄN</t>
        </is>
      </c>
      <c r="G96" t="inlineStr">
        <is>
          <t>SKINNSKATTEBERG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45068</v>
      </c>
      <c r="E97" s="1" t="n">
        <v>46307</v>
      </c>
      <c r="F97" t="inlineStr">
        <is>
          <t>VÄSTMANLANDS LÄN</t>
        </is>
      </c>
      <c r="G97" t="inlineStr">
        <is>
          <t>SKINNSKATTEBERG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46307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45512</v>
      </c>
      <c r="E99" s="1" t="n">
        <v>46307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45592</v>
      </c>
      <c r="E100" s="1" t="n">
        <v>46307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16729-2024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45410</v>
      </c>
      <c r="E101" s="1" t="n">
        <v>46307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46307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46307</v>
      </c>
      <c r="F103" t="inlineStr">
        <is>
          <t>VÄSTMANLANDS LÄN</t>
        </is>
      </c>
      <c r="G103" t="inlineStr">
        <is>
          <t>SKINNSKATTEBERG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45571</v>
      </c>
      <c r="E104" s="1" t="n">
        <v>46307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45571</v>
      </c>
      <c r="E105" s="1" t="n">
        <v>46307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46307</v>
      </c>
      <c r="F106" t="inlineStr">
        <is>
          <t>VÄSTMANLANDS LÄN</t>
        </is>
      </c>
      <c r="G106" t="inlineStr">
        <is>
          <t>SKINNSKATTEBERG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46307</v>
      </c>
      <c r="F107" t="inlineStr">
        <is>
          <t>VÄSTMANLANDS LÄN</t>
        </is>
      </c>
      <c r="G107" t="inlineStr">
        <is>
          <t>SKINNSKATTEBERG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46307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45128</v>
      </c>
      <c r="E109" s="1" t="n">
        <v>46307</v>
      </c>
      <c r="F109" t="inlineStr">
        <is>
          <t>VÄSTMANLANDS LÄN</t>
        </is>
      </c>
      <c r="G109" t="inlineStr">
        <is>
          <t>SKINNSKATTEBERG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31617-2024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45506</v>
      </c>
      <c r="E110" s="1" t="n">
        <v>46307</v>
      </c>
      <c r="F110" t="inlineStr">
        <is>
          <t>VÄSTMANLANDS LÄN</t>
        </is>
      </c>
      <c r="G110" t="inlineStr">
        <is>
          <t>SKINNSKATTEBERG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40545-2023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45170</v>
      </c>
      <c r="E111" s="1" t="n">
        <v>46307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46307</v>
      </c>
      <c r="F112" t="inlineStr">
        <is>
          <t>VÄSTMANLANDS LÄN</t>
        </is>
      </c>
      <c r="G112" t="inlineStr">
        <is>
          <t>SKINNSKATTEBERG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51472-2024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45604</v>
      </c>
      <c r="E113" s="1" t="n">
        <v>46307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11800-2024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45375</v>
      </c>
      <c r="E114" s="1" t="n">
        <v>46307</v>
      </c>
      <c r="F114" t="inlineStr">
        <is>
          <t>VÄSTMANLANDS LÄN</t>
        </is>
      </c>
      <c r="G114" t="inlineStr">
        <is>
          <t>SKINNSKATTEBERG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46307</v>
      </c>
      <c r="F115" t="inlineStr">
        <is>
          <t>VÄSTMANLANDS LÄN</t>
        </is>
      </c>
      <c r="G115" t="inlineStr">
        <is>
          <t>SKINNSKATTEBERG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46307</v>
      </c>
      <c r="F116" t="inlineStr">
        <is>
          <t>VÄSTMANLANDS LÄN</t>
        </is>
      </c>
      <c r="G116" t="inlineStr">
        <is>
          <t>SKINNSKATTEBERG</t>
        </is>
      </c>
      <c r="I116" t="n">
        <v>10.5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46307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46307</v>
      </c>
      <c r="F118" t="inlineStr">
        <is>
          <t>VÄSTMANLANDS LÄN</t>
        </is>
      </c>
      <c r="G118" t="inlineStr">
        <is>
          <t>SKINNSKATTEBERG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55229-2023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46307</v>
      </c>
      <c r="F119" t="inlineStr">
        <is>
          <t>VÄSTMANLANDS LÄN</t>
        </is>
      </c>
      <c r="G119" t="inlineStr">
        <is>
          <t>SKINNSKATTEBERG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46307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46307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44936</v>
      </c>
      <c r="E122" s="1" t="n">
        <v>46307</v>
      </c>
      <c r="F122" t="inlineStr">
        <is>
          <t>VÄSTMANLANDS LÄN</t>
        </is>
      </c>
      <c r="G122" t="inlineStr">
        <is>
          <t>SKINNSKATTEBERG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46307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45434</v>
      </c>
      <c r="E124" s="1" t="n">
        <v>46307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46307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40782-2025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45897</v>
      </c>
      <c r="E126" s="1" t="n">
        <v>46307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45897</v>
      </c>
      <c r="E127" s="1" t="n">
        <v>46307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46307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46307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46307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46307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40776-2025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46307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45571</v>
      </c>
      <c r="E133" s="1" t="n">
        <v>46307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46307</v>
      </c>
      <c r="F134" t="inlineStr">
        <is>
          <t>VÄSTMANLANDS LÄN</t>
        </is>
      </c>
      <c r="G134" t="inlineStr">
        <is>
          <t>SKINNSKATTEBERG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45574</v>
      </c>
      <c r="E135" s="1" t="n">
        <v>46307</v>
      </c>
      <c r="F135" t="inlineStr">
        <is>
          <t>VÄSTMANLANDS LÄN</t>
        </is>
      </c>
      <c r="G135" t="inlineStr">
        <is>
          <t>SKINNSKATTEBERG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46307</v>
      </c>
      <c r="F136" t="inlineStr">
        <is>
          <t>VÄSTMANLANDS LÄN</t>
        </is>
      </c>
      <c r="G136" t="inlineStr">
        <is>
          <t>SKINNSKATTEBERG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46307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46307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46307</v>
      </c>
      <c r="F139" t="inlineStr">
        <is>
          <t>VÄSTMANLANDS LÄN</t>
        </is>
      </c>
      <c r="G139" t="inlineStr">
        <is>
          <t>SKINNSKATTEBERG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46307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46307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46307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46307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46307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46307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46307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46307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44184-2025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45915</v>
      </c>
      <c r="E148" s="1" t="n">
        <v>46307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46307</v>
      </c>
      <c r="F149" t="inlineStr">
        <is>
          <t>VÄSTMANLANDS LÄN</t>
        </is>
      </c>
      <c r="G149" t="inlineStr">
        <is>
          <t>SKINNSKATTEBERG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41581-2025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45901</v>
      </c>
      <c r="E150" s="1" t="n">
        <v>46307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66584-2021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44519</v>
      </c>
      <c r="E151" s="1" t="n">
        <v>46307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46307</v>
      </c>
      <c r="F152" t="inlineStr">
        <is>
          <t>VÄSTMANLANDS LÄN</t>
        </is>
      </c>
      <c r="G152" t="inlineStr">
        <is>
          <t>SKINNSKATTEBERG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46307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45406</v>
      </c>
      <c r="E154" s="1" t="n">
        <v>46307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46307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46307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46307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45506</v>
      </c>
      <c r="E158" s="1" t="n">
        <v>46307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46307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46307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46307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46307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46307</v>
      </c>
      <c r="F163" t="inlineStr">
        <is>
          <t>VÄSTMANLANDS LÄN</t>
        </is>
      </c>
      <c r="G163" t="inlineStr">
        <is>
          <t>SKINNSKATTEBERG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45919</v>
      </c>
      <c r="E164" s="1" t="n">
        <v>46307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45401</v>
      </c>
      <c r="E165" s="1" t="n">
        <v>46307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18161-2024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45420</v>
      </c>
      <c r="E166" s="1" t="n">
        <v>46307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45504</v>
      </c>
      <c r="E167" s="1" t="n">
        <v>46307</v>
      </c>
      <c r="F167" t="inlineStr">
        <is>
          <t>VÄSTMANLANDS LÄN</t>
        </is>
      </c>
      <c r="G167" t="inlineStr">
        <is>
          <t>SKINNSKATTEBERG</t>
        </is>
      </c>
      <c r="I167" t="n">
        <v>17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45555</v>
      </c>
      <c r="E168" s="1" t="n">
        <v>46307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45014</v>
      </c>
      <c r="E169" s="1" t="n">
        <v>46307</v>
      </c>
      <c r="F169" t="inlineStr">
        <is>
          <t>VÄSTMANLANDS LÄN</t>
        </is>
      </c>
      <c r="G169" t="inlineStr">
        <is>
          <t>SKINNSKATTEBERG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14736-2023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45014</v>
      </c>
      <c r="E170" s="1" t="n">
        <v>46307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46307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46307</v>
      </c>
      <c r="F172" t="inlineStr">
        <is>
          <t>VÄSTMANLANDS LÄN</t>
        </is>
      </c>
      <c r="G172" t="inlineStr">
        <is>
          <t>SKINNSKATTEBERG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45480</v>
      </c>
      <c r="E173" s="1" t="n">
        <v>46307</v>
      </c>
      <c r="F173" t="inlineStr">
        <is>
          <t>VÄSTMANLANDS LÄN</t>
        </is>
      </c>
      <c r="G173" t="inlineStr">
        <is>
          <t>SKINNSKATTEBERG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46307</v>
      </c>
      <c r="F174" t="inlineStr">
        <is>
          <t>VÄSTMANLANDS LÄN</t>
        </is>
      </c>
      <c r="G174" t="inlineStr">
        <is>
          <t>SKINNSKATTEBERG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22285-2025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45786</v>
      </c>
      <c r="E175" s="1" t="n">
        <v>46307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46307</v>
      </c>
      <c r="F176" t="inlineStr">
        <is>
          <t>VÄSTMANLANDS LÄN</t>
        </is>
      </c>
      <c r="G176" t="inlineStr">
        <is>
          <t>SKINNSKATTEBERG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45476</v>
      </c>
      <c r="E177" s="1" t="n">
        <v>46307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44967</v>
      </c>
      <c r="E178" s="1" t="n">
        <v>46307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46307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46307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46307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46307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46307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Kyrkan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45407</v>
      </c>
      <c r="E184" s="1" t="n">
        <v>46307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46307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25846-2025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45804</v>
      </c>
      <c r="E186" s="1" t="n">
        <v>46307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45114</v>
      </c>
      <c r="E187" s="1" t="n">
        <v>46307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45156</v>
      </c>
      <c r="E188" s="1" t="n">
        <v>46307</v>
      </c>
      <c r="F188" t="inlineStr">
        <is>
          <t>VÄSTMANLANDS LÄN</t>
        </is>
      </c>
      <c r="G188" t="inlineStr">
        <is>
          <t>SKINNSKATTEBERG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46307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46307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46307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45480</v>
      </c>
      <c r="E192" s="1" t="n">
        <v>46307</v>
      </c>
      <c r="F192" t="inlineStr">
        <is>
          <t>VÄSTMANLANDS LÄN</t>
        </is>
      </c>
      <c r="G192" t="inlineStr">
        <is>
          <t>SKINNSKATTEBERG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45947</v>
      </c>
      <c r="E193" s="1" t="n">
        <v>46307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46307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51025-2025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46307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45947</v>
      </c>
      <c r="E196" s="1" t="n">
        <v>46307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28873-2025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45820</v>
      </c>
      <c r="E197" s="1" t="n">
        <v>46307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45820</v>
      </c>
      <c r="E198" s="1" t="n">
        <v>46307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15184-2025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45744</v>
      </c>
      <c r="E199" s="1" t="n">
        <v>46307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45609</v>
      </c>
      <c r="E200" s="1" t="n">
        <v>46307</v>
      </c>
      <c r="F200" t="inlineStr">
        <is>
          <t>VÄSTMANLANDS LÄN</t>
        </is>
      </c>
      <c r="G200" t="inlineStr">
        <is>
          <t>SKINNSKATTEBERG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46307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29808-2025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45825</v>
      </c>
      <c r="E202" s="1" t="n">
        <v>46307</v>
      </c>
      <c r="F202" t="inlineStr">
        <is>
          <t>VÄSTMANLANDS LÄN</t>
        </is>
      </c>
      <c r="G202" t="inlineStr">
        <is>
          <t>SKINNSKATTEBERG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29810-2025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45825</v>
      </c>
      <c r="E203" s="1" t="n">
        <v>46307</v>
      </c>
      <c r="F203" t="inlineStr">
        <is>
          <t>VÄSTMANLANDS LÄN</t>
        </is>
      </c>
      <c r="G203" t="inlineStr">
        <is>
          <t>SKINNSKATTEBERG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46307</v>
      </c>
      <c r="F204" t="inlineStr">
        <is>
          <t>VÄSTMANLANDS LÄN</t>
        </is>
      </c>
      <c r="G204" t="inlineStr">
        <is>
          <t>SKINNSKATTEBERG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46307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30439-2025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45827</v>
      </c>
      <c r="E206" s="1" t="n">
        <v>46307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46307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44728</v>
      </c>
      <c r="E208" s="1" t="n">
        <v>46307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46307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46307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46307</v>
      </c>
      <c r="F211" t="inlineStr">
        <is>
          <t>VÄSTMANLANDS LÄN</t>
        </is>
      </c>
      <c r="G211" t="inlineStr">
        <is>
          <t>SKINNSKATTEBERG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46307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46307</v>
      </c>
      <c r="F213" t="inlineStr">
        <is>
          <t>VÄSTMANLANDS LÄN</t>
        </is>
      </c>
      <c r="G213" t="inlineStr">
        <is>
          <t>SKINNSKATTEBERG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46307</v>
      </c>
      <c r="F214" t="inlineStr">
        <is>
          <t>VÄSTMANLANDS LÄN</t>
        </is>
      </c>
      <c r="G214" t="inlineStr">
        <is>
          <t>SKINNSKATTEBERG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45832</v>
      </c>
      <c r="E215" s="1" t="n">
        <v>46307</v>
      </c>
      <c r="F215" t="inlineStr">
        <is>
          <t>VÄSTMANLANDS LÄN</t>
        </is>
      </c>
      <c r="G215" t="inlineStr">
        <is>
          <t>SKINNSKATTEBERG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46307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46307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46307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46307</v>
      </c>
      <c r="F219" t="inlineStr">
        <is>
          <t>VÄSTMANLANDS LÄN</t>
        </is>
      </c>
      <c r="G219" t="inlineStr">
        <is>
          <t>SKINNSKATTEBERG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46307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46307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46307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45537</v>
      </c>
      <c r="E223" s="1" t="n">
        <v>46307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46307</v>
      </c>
      <c r="F224" t="inlineStr">
        <is>
          <t>VÄSTMANLANDS LÄN</t>
        </is>
      </c>
      <c r="G224" t="inlineStr">
        <is>
          <t>SKINNSKATTEBERG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46307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46307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46307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46307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45177</v>
      </c>
      <c r="E229" s="1" t="n">
        <v>46307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44728</v>
      </c>
      <c r="E230" s="1" t="n">
        <v>46307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44768</v>
      </c>
      <c r="E231" s="1" t="n">
        <v>46307</v>
      </c>
      <c r="F231" t="inlineStr">
        <is>
          <t>VÄSTMANLANDS LÄN</t>
        </is>
      </c>
      <c r="G231" t="inlineStr">
        <is>
          <t>SKINNSKATTEBERG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45848</v>
      </c>
      <c r="E232" s="1" t="n">
        <v>46307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46307</v>
      </c>
      <c r="F233" t="inlineStr">
        <is>
          <t>VÄSTMANLANDS LÄN</t>
        </is>
      </c>
      <c r="G233" t="inlineStr">
        <is>
          <t>SKINNSKATTEBERG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46307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46307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46307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46307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45853</v>
      </c>
      <c r="E238" s="1" t="n">
        <v>46307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46307</v>
      </c>
      <c r="F239" t="inlineStr">
        <is>
          <t>VÄSTMANLANDS LÄN</t>
        </is>
      </c>
      <c r="G239" t="inlineStr">
        <is>
          <t>SKINNSKATTEBERG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35205-2025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45853</v>
      </c>
      <c r="E240" s="1" t="n">
        <v>46307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45170</v>
      </c>
      <c r="E241" s="1" t="n">
        <v>46307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46307</v>
      </c>
      <c r="F242" t="inlineStr">
        <is>
          <t>VÄSTMANLANDS LÄN</t>
        </is>
      </c>
      <c r="G242" t="inlineStr">
        <is>
          <t>SKINNSKATTEBERG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46307</v>
      </c>
      <c r="F243" t="inlineStr">
        <is>
          <t>VÄSTMANLANDS LÄN</t>
        </is>
      </c>
      <c r="G243" t="inlineStr">
        <is>
          <t>SKINNSKATTEBERG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46307</v>
      </c>
      <c r="F244" t="inlineStr">
        <is>
          <t>VÄSTMANLANDS LÄN</t>
        </is>
      </c>
      <c r="G244" t="inlineStr">
        <is>
          <t>SKINNSKATTEBERG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56465-2025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45975</v>
      </c>
      <c r="E245" s="1" t="n">
        <v>46307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46307</v>
      </c>
      <c r="F246" t="inlineStr">
        <is>
          <t>VÄSTMANLANDS LÄN</t>
        </is>
      </c>
      <c r="G246" t="inlineStr">
        <is>
          <t>SKINNSKATTEBERG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46307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Kyrkan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45754</v>
      </c>
      <c r="E248" s="1" t="n">
        <v>46307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46307</v>
      </c>
      <c r="F249" t="inlineStr">
        <is>
          <t>VÄSTMANLANDS LÄN</t>
        </is>
      </c>
      <c r="G249" t="inlineStr">
        <is>
          <t>SKINNSKATTEBERG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44648</v>
      </c>
      <c r="E250" s="1" t="n">
        <v>46307</v>
      </c>
      <c r="F250" t="inlineStr">
        <is>
          <t>VÄSTMANLANDS LÄN</t>
        </is>
      </c>
      <c r="G250" t="inlineStr">
        <is>
          <t>SKINNSKATTEBERG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45485</v>
      </c>
      <c r="E251" s="1" t="n">
        <v>46307</v>
      </c>
      <c r="F251" t="inlineStr">
        <is>
          <t>VÄSTMANLANDS LÄN</t>
        </is>
      </c>
      <c r="G251" t="inlineStr">
        <is>
          <t>SKINNSKATTEBERG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61181-2021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44498</v>
      </c>
      <c r="E252" s="1" t="n">
        <v>46307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46307</v>
      </c>
      <c r="F253" t="inlineStr">
        <is>
          <t>VÄSTMANLANDS LÄN</t>
        </is>
      </c>
      <c r="G253" t="inlineStr">
        <is>
          <t>SKINNSKATTEBERG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45532</v>
      </c>
      <c r="E254" s="1" t="n">
        <v>46307</v>
      </c>
      <c r="F254" t="inlineStr">
        <is>
          <t>VÄSTMANLANDS LÄN</t>
        </is>
      </c>
      <c r="G254" t="inlineStr">
        <is>
          <t>SKINNSKATTEBERG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46307</v>
      </c>
      <c r="F255" t="inlineStr">
        <is>
          <t>VÄSTMANLANDS LÄN</t>
        </is>
      </c>
      <c r="G255" t="inlineStr">
        <is>
          <t>SKINNSKATTEBERG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46307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46307</v>
      </c>
      <c r="F257" t="inlineStr">
        <is>
          <t>VÄSTMANLANDS LÄN</t>
        </is>
      </c>
      <c r="G257" t="inlineStr">
        <is>
          <t>SKINNSKATTEBERG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45686</v>
      </c>
      <c r="E258" s="1" t="n">
        <v>46307</v>
      </c>
      <c r="F258" t="inlineStr">
        <is>
          <t>VÄSTMANLANDS LÄN</t>
        </is>
      </c>
      <c r="G258" t="inlineStr">
        <is>
          <t>SKINNSKATTEBERG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46307</v>
      </c>
      <c r="F259" t="inlineStr">
        <is>
          <t>VÄSTMANLANDS LÄN</t>
        </is>
      </c>
      <c r="G259" t="inlineStr">
        <is>
          <t>SKINNSKATTEBERG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46307</v>
      </c>
      <c r="F260" t="inlineStr">
        <is>
          <t>VÄSTMANLANDS LÄN</t>
        </is>
      </c>
      <c r="G260" t="inlineStr">
        <is>
          <t>SKINNSKATTEBERG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46307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46307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46307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46307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46307</v>
      </c>
      <c r="F265" t="inlineStr">
        <is>
          <t>VÄSTMANLANDS LÄN</t>
        </is>
      </c>
      <c r="G265" t="inlineStr">
        <is>
          <t>SKINNSKATTEBERG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46108</v>
      </c>
      <c r="E266" s="1" t="n">
        <v>46307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45987</v>
      </c>
      <c r="E267" s="1" t="n">
        <v>46307</v>
      </c>
      <c r="F267" t="inlineStr">
        <is>
          <t>VÄSTMANLANDS LÄN</t>
        </is>
      </c>
      <c r="G267" t="inlineStr">
        <is>
          <t>SKINNSKATTEBERG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15955-2026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46108</v>
      </c>
      <c r="E268" s="1" t="n">
        <v>46307</v>
      </c>
      <c r="F268" t="inlineStr">
        <is>
          <t>VÄSTMANLANDS LÄN</t>
        </is>
      </c>
      <c r="G268" t="inlineStr">
        <is>
          <t>SKINNSKATTEBERG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46307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46307</v>
      </c>
      <c r="F270" t="inlineStr">
        <is>
          <t>VÄSTMANLANDS LÄN</t>
        </is>
      </c>
      <c r="G270" t="inlineStr">
        <is>
          <t>SKINNSKATTEBERG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46307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46307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46307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46307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46114</v>
      </c>
      <c r="E275" s="1" t="n">
        <v>46307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46307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46307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46307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45376</v>
      </c>
      <c r="E279" s="1" t="n">
        <v>46307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46307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46307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46307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19582-2026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46134</v>
      </c>
      <c r="E283" s="1" t="n">
        <v>46307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19541-2026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46134</v>
      </c>
      <c r="E284" s="1" t="n">
        <v>46307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19540-2026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46134</v>
      </c>
      <c r="E285" s="1" t="n">
        <v>46307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45048</v>
      </c>
      <c r="E286" s="1" t="n">
        <v>46307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46307</v>
      </c>
      <c r="F287" t="inlineStr">
        <is>
          <t>VÄSTMANLANDS LÄN</t>
        </is>
      </c>
      <c r="G287" t="inlineStr">
        <is>
          <t>SKINNSKATTEBERG</t>
        </is>
      </c>
      <c r="I287" t="n">
        <v>10.1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46307</v>
      </c>
      <c r="F288" t="inlineStr">
        <is>
          <t>VÄSTMANLANDS LÄN</t>
        </is>
      </c>
      <c r="G288" t="inlineStr">
        <is>
          <t>SKINNSKATTEBERG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46307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46307</v>
      </c>
      <c r="F290" t="inlineStr">
        <is>
          <t>VÄSTMANLANDS LÄN</t>
        </is>
      </c>
      <c r="G290" t="inlineStr">
        <is>
          <t>SKINNSKATTEBERG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46307</v>
      </c>
      <c r="F291" t="inlineStr">
        <is>
          <t>VÄSTMANLANDS LÄN</t>
        </is>
      </c>
      <c r="G291" t="inlineStr">
        <is>
          <t>SKINNSKATTEBERG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46307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Kyrkan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45425</v>
      </c>
      <c r="E293" s="1" t="n">
        <v>46307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46307</v>
      </c>
      <c r="F294" t="inlineStr">
        <is>
          <t>VÄSTMANLANDS LÄN</t>
        </is>
      </c>
      <c r="G294" t="inlineStr">
        <is>
          <t>SKINNSKATTEBERG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46307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20563-2026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46140</v>
      </c>
      <c r="E296" s="1" t="n">
        <v>46307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45447</v>
      </c>
      <c r="E297" s="1" t="n">
        <v>46307</v>
      </c>
      <c r="F297" t="inlineStr">
        <is>
          <t>VÄSTMANLANDS LÄN</t>
        </is>
      </c>
      <c r="G297" t="inlineStr">
        <is>
          <t>SKINNSKATTEBERG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46307</v>
      </c>
      <c r="F298" t="inlineStr">
        <is>
          <t>VÄSTMANLANDS LÄN</t>
        </is>
      </c>
      <c r="G298" t="inlineStr">
        <is>
          <t>SKINNSKATTEBERG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46307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45387</v>
      </c>
      <c r="E300" s="1" t="n">
        <v>46307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46307</v>
      </c>
      <c r="F301" t="inlineStr">
        <is>
          <t>VÄSTMANLANDS LÄN</t>
        </is>
      </c>
      <c r="G301" t="inlineStr">
        <is>
          <t>SKINNSKATTEBERG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46307</v>
      </c>
      <c r="F302" t="inlineStr">
        <is>
          <t>VÄSTMANLANDS LÄN</t>
        </is>
      </c>
      <c r="G302" t="inlineStr">
        <is>
          <t>SKINNSKATTEBERG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46307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46307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13713-2024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45390</v>
      </c>
      <c r="E305" s="1" t="n">
        <v>46307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25843-2023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45090</v>
      </c>
      <c r="E306" s="1" t="n">
        <v>46307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45762</v>
      </c>
      <c r="E307" s="1" t="n">
        <v>46307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46307</v>
      </c>
      <c r="F308" t="inlineStr">
        <is>
          <t>VÄSTMANLANDS LÄN</t>
        </is>
      </c>
      <c r="G308" t="inlineStr">
        <is>
          <t>SKINNSKATTEBERG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46307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46307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5704-2026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46051</v>
      </c>
      <c r="E311" s="1" t="n">
        <v>46307</v>
      </c>
      <c r="F311" t="inlineStr">
        <is>
          <t>VÄSTMANLANDS LÄN</t>
        </is>
      </c>
      <c r="G311" t="inlineStr">
        <is>
          <t>SKINNSKATTEBERG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46051</v>
      </c>
      <c r="E312" s="1" t="n">
        <v>46307</v>
      </c>
      <c r="F312" t="inlineStr">
        <is>
          <t>VÄSTMANLANDS LÄN</t>
        </is>
      </c>
      <c r="G312" t="inlineStr">
        <is>
          <t>SKINNSKATTEBERG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46051</v>
      </c>
      <c r="E313" s="1" t="n">
        <v>46307</v>
      </c>
      <c r="F313" t="inlineStr">
        <is>
          <t>VÄSTMANLANDS LÄN</t>
        </is>
      </c>
      <c r="G313" t="inlineStr">
        <is>
          <t>SKINNSKATTEBERG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46307</v>
      </c>
      <c r="F314" t="inlineStr">
        <is>
          <t>VÄSTMANLANDS LÄN</t>
        </is>
      </c>
      <c r="G314" t="inlineStr">
        <is>
          <t>SKINNSKATTEBERG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46307</v>
      </c>
      <c r="F315" t="inlineStr">
        <is>
          <t>VÄSTMANLANDS LÄN</t>
        </is>
      </c>
      <c r="G315" t="inlineStr">
        <is>
          <t>SKINNSKATTEBERG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46307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46307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46307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46307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46307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46307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46307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46150</v>
      </c>
      <c r="E323" s="1" t="n">
        <v>46307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46307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46307</v>
      </c>
      <c r="F325" t="inlineStr">
        <is>
          <t>VÄSTMANLANDS LÄN</t>
        </is>
      </c>
      <c r="G325" t="inlineStr">
        <is>
          <t>SKINNSKATTEBERG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22779-2026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46157</v>
      </c>
      <c r="E326" s="1" t="n">
        <v>46307</v>
      </c>
      <c r="F326" t="inlineStr">
        <is>
          <t>VÄSTMANLANDS LÄN</t>
        </is>
      </c>
      <c r="G326" t="inlineStr">
        <is>
          <t>SKINNSKATTEBERG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46307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46307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46307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46307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46307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46307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46307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46307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46307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46170</v>
      </c>
      <c r="E336" s="1" t="n">
        <v>46307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46177</v>
      </c>
      <c r="E337" s="1" t="n">
        <v>46307</v>
      </c>
      <c r="F337" t="inlineStr">
        <is>
          <t>VÄSTMANLANDS LÄN</t>
        </is>
      </c>
      <c r="G337" t="inlineStr">
        <is>
          <t>SKINNSKATTEBERG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46307</v>
      </c>
      <c r="F338" t="inlineStr">
        <is>
          <t>VÄSTMANLANDS LÄN</t>
        </is>
      </c>
      <c r="G338" t="inlineStr">
        <is>
          <t>SKINNSKATTEBERG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46307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46307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46307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26356-2026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46182</v>
      </c>
      <c r="E342" s="1" t="n">
        <v>46307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46307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46307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46307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46307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46191</v>
      </c>
      <c r="E347" s="1" t="n">
        <v>46307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46307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46307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46307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46307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46307</v>
      </c>
      <c r="F352" t="inlineStr">
        <is>
          <t>VÄSTMANLANDS LÄN</t>
        </is>
      </c>
      <c r="G352" t="inlineStr">
        <is>
          <t>SKINNSKATTEBERG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46307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46307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46307</v>
      </c>
      <c r="F355" t="inlineStr">
        <is>
          <t>VÄSTMANLANDS LÄN</t>
        </is>
      </c>
      <c r="G355" t="inlineStr">
        <is>
          <t>SKINNSKATTEBERG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46307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46307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46200</v>
      </c>
      <c r="E358" s="1" t="n">
        <v>46307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46307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46200</v>
      </c>
      <c r="E360" s="1" t="n">
        <v>46307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46307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46307</v>
      </c>
      <c r="F362" t="inlineStr">
        <is>
          <t>VÄSTMANLANDS LÄN</t>
        </is>
      </c>
      <c r="G362" t="inlineStr">
        <is>
          <t>SKINNSKATTEBERG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46307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35746-2026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46265</v>
      </c>
      <c r="E364" s="1" t="n">
        <v>46307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46307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46307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29026-2026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46307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46307</v>
      </c>
      <c r="F368" t="inlineStr">
        <is>
          <t>VÄSTMANLANDS LÄN</t>
        </is>
      </c>
      <c r="G368" t="inlineStr">
        <is>
          <t>SKINNSKATTEBERG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37899-2026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46279</v>
      </c>
      <c r="E369" s="1" t="n">
        <v>46307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46282</v>
      </c>
      <c r="E370" s="1" t="n">
        <v>46307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46307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38735-2026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46285</v>
      </c>
      <c r="E372" s="1" t="n">
        <v>46307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46244</v>
      </c>
      <c r="E373" s="1" t="n">
        <v>46307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46307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46244</v>
      </c>
      <c r="E375" s="1" t="n">
        <v>46307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46307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46307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46307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39620-2026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46289</v>
      </c>
      <c r="E379" s="1" t="n">
        <v>46307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39863-2026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46290</v>
      </c>
      <c r="E380" s="1" t="n">
        <v>46307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39869-2026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46290</v>
      </c>
      <c r="E381" s="1" t="n">
        <v>46307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46307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46307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46307</v>
      </c>
      <c r="F384" t="inlineStr">
        <is>
          <t>VÄSTMANLANDS LÄN</t>
        </is>
      </c>
      <c r="G384" t="inlineStr">
        <is>
          <t>SKINNSKATTEBERG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46307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41207-2026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46300</v>
      </c>
      <c r="E386" s="1" t="n">
        <v>46307</v>
      </c>
      <c r="F386" t="inlineStr">
        <is>
          <t>VÄSTMANLANDS LÄN</t>
        </is>
      </c>
      <c r="G386" t="inlineStr">
        <is>
          <t>SKINNSKATTEBERG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41610-2026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46307</v>
      </c>
      <c r="F387" t="inlineStr">
        <is>
          <t>VÄSTMANLANDS LÄN</t>
        </is>
      </c>
      <c r="G387" t="inlineStr">
        <is>
          <t>SKINNSKATTEBERG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35582-2026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46262</v>
      </c>
      <c r="E388" s="1" t="n">
        <v>46307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46262</v>
      </c>
      <c r="E389" s="1" t="n">
        <v>46307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46262</v>
      </c>
      <c r="E390" s="1" t="n">
        <v>46307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46262</v>
      </c>
      <c r="E391" s="1" t="n">
        <v>46307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46262</v>
      </c>
      <c r="E392" s="1" t="n">
        <v>46307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35168-2026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46260</v>
      </c>
      <c r="E393" s="1" t="n">
        <v>46307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46260</v>
      </c>
      <c r="E394" s="1" t="n">
        <v>46307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1765-2024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45435</v>
      </c>
      <c r="E395" s="1" t="n">
        <v>46307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1462-2025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46307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1931-2025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45827</v>
      </c>
      <c r="E397" s="1" t="n">
        <v>46307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2177-2025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45853</v>
      </c>
      <c r="E398" s="1" t="n">
        <v>46307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46307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46307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2420-2025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45897</v>
      </c>
      <c r="E401" s="1" t="n">
        <v>46307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2456-2025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45901</v>
      </c>
      <c r="E402" s="1" t="n">
        <v>46307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2578-2025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45915</v>
      </c>
      <c r="E403" s="1" t="n">
        <v>46307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1325-2026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46147</v>
      </c>
      <c r="E404" s="1" t="n">
        <v>46307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65.3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46182</v>
      </c>
      <c r="E405" s="1" t="n">
        <v>46307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46307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2525-2026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46290</v>
      </c>
      <c r="E407" s="1" t="n">
        <v>46307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2239-2026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46260</v>
      </c>
      <c r="E408" s="1" t="n">
        <v>46307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2266-2026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46262</v>
      </c>
      <c r="E409" s="1" t="n">
        <v>46307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2026-10-12T02:00:46Z</dcterms:created>
  <dcterms:modified xmlns:dcterms="http://purl.org/dc/terms/" xmlns:xsi="http://www.w3.org/2001/XMLSchema-instance" xsi:type="dcterms:W3CDTF">2026-10-12T02:00:46Z</dcterms:modified>
</cp:coreProperties>
</file>