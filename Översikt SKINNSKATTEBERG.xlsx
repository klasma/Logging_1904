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46296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46296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46296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46296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46296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46296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46296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46296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46296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46296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46296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13715-2024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45390</v>
      </c>
      <c r="E17" s="1" t="n">
        <v>46296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4</v>
      </c>
      <c r="V17" s="2" t="inlineStr">
        <is>
          <t>Krusfrö
Järpe
Tjäder</t>
        </is>
      </c>
      <c r="W17">
        <f>HYPERLINK("https://klasma.github.io/Logging_1904/artfynd/A 13715-2024 artfynd.xlsx", "A 13715-2024")</f>
        <v/>
      </c>
      <c r="X17">
        <f>HYPERLINK("https://klasma.github.io/Logging_1904/kartor/A 13715-2024 karta.png", "A 13715-2024")</f>
        <v/>
      </c>
      <c r="Y17">
        <f>HYPERLINK("https://klasma.github.io/Logging_1904/kartor_geotiff/A 13715-2024 georefererad karta.tif", "A 13715-2024")</f>
        <v/>
      </c>
      <c r="AA17">
        <f>HYPERLINK("https://klasma.github.io/Logging_1904/klagomål/A 13715-2024 FSC-klagomål.docx", "A 13715-2024")</f>
        <v/>
      </c>
      <c r="AB17">
        <f>HYPERLINK("https://klasma.github.io/Logging_1904/klagomålsmail/A 13715-2024 FSC-klagomål mail.docx", "A 13715-2024")</f>
        <v/>
      </c>
      <c r="AC17">
        <f>HYPERLINK("https://klasma.github.io/Logging_1904/tillsyn/A 13715-2024 tillsynsbegäran.docx", "A 13715-2024")</f>
        <v/>
      </c>
      <c r="AD17">
        <f>HYPERLINK("https://klasma.github.io/Logging_1904/tillsynsmail/A 13715-2024 tillsynsbegäran mail.docx", "A 13715-2024")</f>
        <v/>
      </c>
      <c r="AE17">
        <f>HYPERLINK("https://klasma.github.io/Logging_1904/fåglar/A 13715-2024 prioriterade fågelarter.docx", "A 13715-2024")</f>
        <v/>
      </c>
    </row>
    <row r="18" ht="15" customHeight="1">
      <c r="A18" t="inlineStr">
        <is>
          <t>A 58355-2025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46296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6</v>
      </c>
      <c r="U18" t="n">
        <v>4</v>
      </c>
      <c r="V18" s="2" t="inlineStr">
        <is>
          <t>Brunpudrad nållav
Vedtrappmossa
Brandticka</t>
        </is>
      </c>
      <c r="W18">
        <f>HYPERLINK("https://klasma.github.io/Logging_1904/artfynd/A 58355-2025 artfynd.xlsx", "A 58355-2025")</f>
        <v/>
      </c>
      <c r="X18">
        <f>HYPERLINK("https://klasma.github.io/Logging_1904/kartor/A 58355-2025 karta.png", "A 58355-2025")</f>
        <v/>
      </c>
      <c r="Y18">
        <f>HYPERLINK("https://klasma.github.io/Logging_1904/kartor_geotiff/A 58355-2025 georefererad karta.tif", "A 58355-2025")</f>
        <v/>
      </c>
      <c r="AA18">
        <f>HYPERLINK("https://klasma.github.io/Logging_1904/klagomål/A 58355-2025 FSC-klagomål.docx", "A 58355-2025")</f>
        <v/>
      </c>
      <c r="AB18">
        <f>HYPERLINK("https://klasma.github.io/Logging_1904/klagomålsmail/A 58355-2025 FSC-klagomål mail.docx", "A 58355-2025")</f>
        <v/>
      </c>
      <c r="AC18">
        <f>HYPERLINK("https://klasma.github.io/Logging_1904/tillsyn/A 58355-2025 tillsynsbegäran.docx", "A 58355-2025")</f>
        <v/>
      </c>
      <c r="AD18">
        <f>HYPERLINK("https://klasma.github.io/Logging_1904/tillsynsmail/A 58355-2025 tillsynsbegäran mail.docx", "A 58355-2025")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46296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46296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46296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46296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46296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46296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33435-2024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45519</v>
      </c>
      <c r="E27" s="1" t="n">
        <v>46296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Nattskärra</t>
        </is>
      </c>
      <c r="W27">
        <f>HYPERLINK("https://klasma.github.io/Logging_1904/artfynd/A 33435-2024 artfynd.xlsx", "A 33435-2024")</f>
        <v/>
      </c>
      <c r="X27">
        <f>HYPERLINK("https://klasma.github.io/Logging_1904/kartor/A 33435-2024 karta.png", "A 33435-2024")</f>
        <v/>
      </c>
      <c r="Y27">
        <f>HYPERLINK("https://klasma.github.io/Logging_1904/kartor_geotiff/A 33435-2024 georefererad karta.tif", "A 33435-2024")</f>
        <v/>
      </c>
      <c r="AA27">
        <f>HYPERLINK("https://klasma.github.io/Logging_1904/klagomål/A 33435-2024 FSC-klagomål.docx", "A 33435-2024")</f>
        <v/>
      </c>
      <c r="AB27">
        <f>HYPERLINK("https://klasma.github.io/Logging_1904/klagomålsmail/A 33435-2024 FSC-klagomål mail.docx", "A 33435-2024")</f>
        <v/>
      </c>
      <c r="AC27">
        <f>HYPERLINK("https://klasma.github.io/Logging_1904/tillsyn/A 33435-2024 tillsynsbegäran.docx", "A 33435-2024")</f>
        <v/>
      </c>
      <c r="AD27">
        <f>HYPERLINK("https://klasma.github.io/Logging_1904/tillsynsmail/A 33435-2024 tillsynsbegäran mail.docx", "A 33435-2024")</f>
        <v/>
      </c>
      <c r="AE27">
        <f>HYPERLINK("https://klasma.github.io/Logging_1904/fåglar/A 33435-2024 prioriterade fågelarter.docx", "A 33435-2024")</f>
        <v/>
      </c>
    </row>
    <row r="28" ht="15" customHeight="1">
      <c r="A28" t="inlineStr">
        <is>
          <t>A 12024-2023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44995</v>
      </c>
      <c r="E28" s="1" t="n">
        <v>46296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12024-2023 artfynd.xlsx", "A 12024-2023")</f>
        <v/>
      </c>
      <c r="X28">
        <f>HYPERLINK("https://klasma.github.io/Logging_1904/kartor/A 12024-2023 karta.png", "A 12024-2023")</f>
        <v/>
      </c>
      <c r="Y28">
        <f>HYPERLINK("https://klasma.github.io/Logging_1904/kartor_geotiff/A 12024-2023 georefererad karta.tif", "A 12024-2023")</f>
        <v/>
      </c>
      <c r="AA28">
        <f>HYPERLINK("https://klasma.github.io/Logging_1904/klagomål/A 12024-2023 FSC-klagomål.docx", "A 12024-2023")</f>
        <v/>
      </c>
      <c r="AB28">
        <f>HYPERLINK("https://klasma.github.io/Logging_1904/klagomålsmail/A 12024-2023 FSC-klagomål mail.docx", "A 12024-2023")</f>
        <v/>
      </c>
      <c r="AC28">
        <f>HYPERLINK("https://klasma.github.io/Logging_1904/tillsyn/A 12024-2023 tillsynsbegäran.docx", "A 12024-2023")</f>
        <v/>
      </c>
      <c r="AD28">
        <f>HYPERLINK("https://klasma.github.io/Logging_1904/tillsynsmail/A 12024-2023 tillsynsbegäran mail.docx", "A 12024-2023")</f>
        <v/>
      </c>
    </row>
    <row r="29" ht="15" customHeight="1">
      <c r="A29" t="inlineStr">
        <is>
          <t>A 57747-2023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45246</v>
      </c>
      <c r="E29" s="1" t="n">
        <v>46296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Myopa fasciata</t>
        </is>
      </c>
      <c r="W29">
        <f>HYPERLINK("https://klasma.github.io/Logging_1904/artfynd/A 57747-2023 artfynd.xlsx", "A 57747-2023")</f>
        <v/>
      </c>
      <c r="X29">
        <f>HYPERLINK("https://klasma.github.io/Logging_1904/kartor/A 57747-2023 karta.png", "A 57747-2023")</f>
        <v/>
      </c>
      <c r="Y29">
        <f>HYPERLINK("https://klasma.github.io/Logging_1904/kartor_geotiff/A 57747-2023 georefererad karta.tif", "A 57747-2023")</f>
        <v/>
      </c>
      <c r="AA29">
        <f>HYPERLINK("https://klasma.github.io/Logging_1904/klagomål/A 57747-2023 FSC-klagomål.docx", "A 57747-2023")</f>
        <v/>
      </c>
      <c r="AB29">
        <f>HYPERLINK("https://klasma.github.io/Logging_1904/klagomålsmail/A 57747-2023 FSC-klagomål mail.docx", "A 57747-2023")</f>
        <v/>
      </c>
      <c r="AC29">
        <f>HYPERLINK("https://klasma.github.io/Logging_1904/tillsyn/A 57747-2023 tillsynsbegäran.docx", "A 57747-2023")</f>
        <v/>
      </c>
      <c r="AD29">
        <f>HYPERLINK("https://klasma.github.io/Logging_1904/tillsynsmail/A 57747-2023 tillsynsbegäran mail.docx", "A 57747-2023")</f>
        <v/>
      </c>
    </row>
    <row r="30" ht="15" customHeight="1">
      <c r="A30" t="inlineStr">
        <is>
          <t>A 9490-2024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9490-2024 artfynd.xlsx", "A 9490-2024")</f>
        <v/>
      </c>
      <c r="X30">
        <f>HYPERLINK("https://klasma.github.io/Logging_1904/kartor/A 9490-2024 karta.png", "A 9490-2024")</f>
        <v/>
      </c>
      <c r="Y30">
        <f>HYPERLINK("https://klasma.github.io/Logging_1904/kartor_geotiff/A 9490-2024 georefererad karta.tif", "A 9490-2024")</f>
        <v/>
      </c>
      <c r="AA30">
        <f>HYPERLINK("https://klasma.github.io/Logging_1904/klagomål/A 9490-2024 FSC-klagomål.docx", "A 9490-2024")</f>
        <v/>
      </c>
      <c r="AB30">
        <f>HYPERLINK("https://klasma.github.io/Logging_1904/klagomålsmail/A 9490-2024 FSC-klagomål mail.docx", "A 9490-2024")</f>
        <v/>
      </c>
      <c r="AC30">
        <f>HYPERLINK("https://klasma.github.io/Logging_1904/tillsyn/A 9490-2024 tillsynsbegäran.docx", "A 9490-2024")</f>
        <v/>
      </c>
      <c r="AD30">
        <f>HYPERLINK("https://klasma.github.io/Logging_1904/tillsynsmail/A 9490-2024 tillsynsbegäran mail.docx", "A 9490-2024")</f>
        <v/>
      </c>
      <c r="AE30">
        <f>HYPERLINK("https://klasma.github.io/Logging_1904/fåglar/A 9490-2024 prioriterade fågelarter.docx", "A 9490-2024")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4000-2024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46296</v>
      </c>
      <c r="F32" t="inlineStr">
        <is>
          <t>VÄSTMANLANDS LÄN</t>
        </is>
      </c>
      <c r="G32" t="inlineStr">
        <is>
          <t>SKINNSKATTEBERG</t>
        </is>
      </c>
      <c r="I32" t="n">
        <v>14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Klasefibbla</t>
        </is>
      </c>
      <c r="W32">
        <f>HYPERLINK("https://klasma.github.io/Logging_1904/artfynd/A 4000-2024 artfynd.xlsx", "A 4000-2024")</f>
        <v/>
      </c>
      <c r="X32">
        <f>HYPERLINK("https://klasma.github.io/Logging_1904/kartor/A 4000-2024 karta.png", "A 4000-2024")</f>
        <v/>
      </c>
      <c r="Y32">
        <f>HYPERLINK("https://klasma.github.io/Logging_1904/kartor_geotiff/A 4000-2024 georefererad karta.tif", "A 4000-2024")</f>
        <v/>
      </c>
      <c r="AA32">
        <f>HYPERLINK("https://klasma.github.io/Logging_1904/klagomål/A 4000-2024 FSC-klagomål.docx", "A 4000-2024")</f>
        <v/>
      </c>
      <c r="AB32">
        <f>HYPERLINK("https://klasma.github.io/Logging_1904/klagomålsmail/A 4000-2024 FSC-klagomål mail.docx", "A 4000-2024")</f>
        <v/>
      </c>
      <c r="AC32">
        <f>HYPERLINK("https://klasma.github.io/Logging_1904/tillsyn/A 4000-2024 tillsynsbegäran.docx", "A 4000-2024")</f>
        <v/>
      </c>
      <c r="AD32">
        <f>HYPERLINK("https://klasma.github.io/Logging_1904/tillsynsmail/A 4000-2024 tillsynsbegäran mail.docx", "A 4000-2024")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46296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28312-2023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46296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2.8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Skrovlig taggsvamp</t>
        </is>
      </c>
      <c r="W34">
        <f>HYPERLINK("https://klasma.github.io/Logging_1904/artfynd/A 28312-2023 artfynd.xlsx", "A 28312-2023")</f>
        <v/>
      </c>
      <c r="X34">
        <f>HYPERLINK("https://klasma.github.io/Logging_1904/kartor/A 28312-2023 karta.png", "A 28312-2023")</f>
        <v/>
      </c>
      <c r="Y34">
        <f>HYPERLINK("https://klasma.github.io/Logging_1904/kartor_geotiff/A 28312-2023 georefererad karta.tif", "A 28312-2023")</f>
        <v/>
      </c>
      <c r="AA34">
        <f>HYPERLINK("https://klasma.github.io/Logging_1904/klagomål/A 28312-2023 FSC-klagomål.docx", "A 28312-2023")</f>
        <v/>
      </c>
      <c r="AB34">
        <f>HYPERLINK("https://klasma.github.io/Logging_1904/klagomålsmail/A 28312-2023 FSC-klagomål mail.docx", "A 28312-2023")</f>
        <v/>
      </c>
      <c r="AC34">
        <f>HYPERLINK("https://klasma.github.io/Logging_1904/tillsyn/A 28312-2023 tillsynsbegäran.docx", "A 28312-2023")</f>
        <v/>
      </c>
      <c r="AD34">
        <f>HYPERLINK("https://klasma.github.io/Logging_1904/tillsynsmail/A 28312-2023 tillsynsbegäran mail.docx", "A 28312-2023")</f>
        <v/>
      </c>
    </row>
    <row r="35" ht="15" customHeight="1">
      <c r="A35" t="inlineStr">
        <is>
          <t>A 19205-2024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Järpe</t>
        </is>
      </c>
      <c r="W35">
        <f>HYPERLINK("https://klasma.github.io/Logging_1904/artfynd/A 19205-2024 artfynd.xlsx", "A 19205-2024")</f>
        <v/>
      </c>
      <c r="X35">
        <f>HYPERLINK("https://klasma.github.io/Logging_1904/kartor/A 19205-2024 karta.png", "A 19205-2024")</f>
        <v/>
      </c>
      <c r="Y35">
        <f>HYPERLINK("https://klasma.github.io/Logging_1904/kartor_geotiff/A 19205-2024 georefererad karta.tif", "A 19205-2024")</f>
        <v/>
      </c>
      <c r="AA35">
        <f>HYPERLINK("https://klasma.github.io/Logging_1904/klagomål/A 19205-2024 FSC-klagomål.docx", "A 19205-2024")</f>
        <v/>
      </c>
      <c r="AB35">
        <f>HYPERLINK("https://klasma.github.io/Logging_1904/klagomålsmail/A 19205-2024 FSC-klagomål mail.docx", "A 19205-2024")</f>
        <v/>
      </c>
      <c r="AC35">
        <f>HYPERLINK("https://klasma.github.io/Logging_1904/tillsyn/A 19205-2024 tillsynsbegäran.docx", "A 19205-2024")</f>
        <v/>
      </c>
      <c r="AD35">
        <f>HYPERLINK("https://klasma.github.io/Logging_1904/tillsynsmail/A 19205-2024 tillsynsbegäran mail.docx", "A 19205-2024")</f>
        <v/>
      </c>
      <c r="AE35">
        <f>HYPERLINK("https://klasma.github.io/Logging_1904/fåglar/A 19205-2024 prioriterade fågelarter.docx", "A 19205-2024")</f>
        <v/>
      </c>
    </row>
    <row r="36" ht="15" customHeight="1">
      <c r="A36" t="inlineStr">
        <is>
          <t>A 9491-2024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46296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Skogshare</t>
        </is>
      </c>
      <c r="W36">
        <f>HYPERLINK("https://klasma.github.io/Logging_1904/artfynd/A 9491-2024 artfynd.xlsx", "A 9491-2024")</f>
        <v/>
      </c>
      <c r="X36">
        <f>HYPERLINK("https://klasma.github.io/Logging_1904/kartor/A 9491-2024 karta.png", "A 9491-2024")</f>
        <v/>
      </c>
      <c r="Y36">
        <f>HYPERLINK("https://klasma.github.io/Logging_1904/kartor_geotiff/A 9491-2024 georefererad karta.tif", "A 9491-2024")</f>
        <v/>
      </c>
      <c r="AA36">
        <f>HYPERLINK("https://klasma.github.io/Logging_1904/klagomål/A 9491-2024 FSC-klagomål.docx", "A 9491-2024")</f>
        <v/>
      </c>
      <c r="AB36">
        <f>HYPERLINK("https://klasma.github.io/Logging_1904/klagomålsmail/A 9491-2024 FSC-klagomål mail.docx", "A 9491-2024")</f>
        <v/>
      </c>
      <c r="AC36">
        <f>HYPERLINK("https://klasma.github.io/Logging_1904/tillsyn/A 9491-2024 tillsynsbegäran.docx", "A 9491-2024")</f>
        <v/>
      </c>
      <c r="AD36">
        <f>HYPERLINK("https://klasma.github.io/Logging_1904/tillsynsmail/A 9491-2024 tillsynsbegäran mail.docx", "A 9491-2024")</f>
        <v/>
      </c>
    </row>
    <row r="37" ht="15" customHeight="1">
      <c r="A37" t="inlineStr">
        <is>
          <t>A 43413-2024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46296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Orange taggsvamp</t>
        </is>
      </c>
      <c r="W37">
        <f>HYPERLINK("https://klasma.github.io/Logging_1904/artfynd/A 43413-2024 artfynd.xlsx", "A 43413-2024")</f>
        <v/>
      </c>
      <c r="X37">
        <f>HYPERLINK("https://klasma.github.io/Logging_1904/kartor/A 43413-2024 karta.png", "A 43413-2024")</f>
        <v/>
      </c>
      <c r="Y37">
        <f>HYPERLINK("https://klasma.github.io/Logging_1904/kartor_geotiff/A 43413-2024 georefererad karta.tif", "A 43413-2024")</f>
        <v/>
      </c>
      <c r="AA37">
        <f>HYPERLINK("https://klasma.github.io/Logging_1904/klagomål/A 43413-2024 FSC-klagomål.docx", "A 43413-2024")</f>
        <v/>
      </c>
      <c r="AB37">
        <f>HYPERLINK("https://klasma.github.io/Logging_1904/klagomålsmail/A 43413-2024 FSC-klagomål mail.docx", "A 43413-2024")</f>
        <v/>
      </c>
      <c r="AC37">
        <f>HYPERLINK("https://klasma.github.io/Logging_1904/tillsyn/A 43413-2024 tillsynsbegäran.docx", "A 43413-2024")</f>
        <v/>
      </c>
      <c r="AD37">
        <f>HYPERLINK("https://klasma.github.io/Logging_1904/tillsynsmail/A 43413-2024 tillsynsbegäran mail.docx", "A 43413-2024")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46296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12887-2024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46296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Sparvuggla</t>
        </is>
      </c>
      <c r="W39">
        <f>HYPERLINK("https://klasma.github.io/Logging_1904/artfynd/A 12887-2024 artfynd.xlsx", "A 12887-2024")</f>
        <v/>
      </c>
      <c r="X39">
        <f>HYPERLINK("https://klasma.github.io/Logging_1904/kartor/A 12887-2024 karta.png", "A 12887-2024")</f>
        <v/>
      </c>
      <c r="Y39">
        <f>HYPERLINK("https://klasma.github.io/Logging_1904/kartor_geotiff/A 12887-2024 georefererad karta.tif", "A 12887-2024")</f>
        <v/>
      </c>
      <c r="AA39">
        <f>HYPERLINK("https://klasma.github.io/Logging_1904/klagomål/A 12887-2024 FSC-klagomål.docx", "A 12887-2024")</f>
        <v/>
      </c>
      <c r="AB39">
        <f>HYPERLINK("https://klasma.github.io/Logging_1904/klagomålsmail/A 12887-2024 FSC-klagomål mail.docx", "A 12887-2024")</f>
        <v/>
      </c>
      <c r="AC39">
        <f>HYPERLINK("https://klasma.github.io/Logging_1904/tillsyn/A 12887-2024 tillsynsbegäran.docx", "A 12887-2024")</f>
        <v/>
      </c>
      <c r="AD39">
        <f>HYPERLINK("https://klasma.github.io/Logging_1904/tillsynsmail/A 12887-2024 tillsynsbegäran mail.docx", "A 12887-2024")</f>
        <v/>
      </c>
      <c r="AE39">
        <f>HYPERLINK("https://klasma.github.io/Logging_1904/fåglar/A 12887-2024 prioriterade fågelarter.docx", "A 12887-2024")</f>
        <v/>
      </c>
    </row>
    <row r="40" ht="15" customHeight="1">
      <c r="A40" t="inlineStr">
        <is>
          <t>A 31006-2025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45832</v>
      </c>
      <c r="E40" s="1" t="n">
        <v>46296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HYPERLINK("https://klasma.github.io/Logging_1904/artfynd/A 31006-2025 artfynd.xlsx", "A 31006-2025")</f>
        <v/>
      </c>
      <c r="X40">
        <f>HYPERLINK("https://klasma.github.io/Logging_1904/kartor/A 31006-2025 karta.png", "A 31006-2025")</f>
        <v/>
      </c>
      <c r="Y40">
        <f>HYPERLINK("https://klasma.github.io/Logging_1904/kartor_geotiff/A 31006-2025 georefererad karta.tif", "A 31006-2025")</f>
        <v/>
      </c>
      <c r="AA40">
        <f>HYPERLINK("https://klasma.github.io/Logging_1904/klagomål/A 31006-2025 FSC-klagomål.docx", "A 31006-2025")</f>
        <v/>
      </c>
      <c r="AB40">
        <f>HYPERLINK("https://klasma.github.io/Logging_1904/klagomålsmail/A 31006-2025 FSC-klagomål mail.docx", "A 31006-2025")</f>
        <v/>
      </c>
      <c r="AC40">
        <f>HYPERLINK("https://klasma.github.io/Logging_1904/tillsyn/A 31006-2025 tillsynsbegäran.docx", "A 31006-2025")</f>
        <v/>
      </c>
      <c r="AD40">
        <f>HYPERLINK("https://klasma.github.io/Logging_1904/tillsynsmail/A 31006-2025 tillsynsbegäran mail.docx", "A 31006-2025")</f>
        <v/>
      </c>
      <c r="AE40">
        <f>HYPERLINK("https://klasma.github.io/Logging_1904/fåglar/A 31006-2025 prioriterade fågelarter.docx", "A 31006-2025")</f>
        <v/>
      </c>
    </row>
    <row r="41" ht="15" customHeight="1">
      <c r="A41" t="inlineStr">
        <is>
          <t>A 54296-2023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46296</v>
      </c>
      <c r="F41" t="inlineStr">
        <is>
          <t>VÄSTMANLANDS LÄN</t>
        </is>
      </c>
      <c r="G41" t="inlineStr">
        <is>
          <t>SKINNSKATTEBERG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HYPERLINK("https://klasma.github.io/Logging_1904/artfynd/A 54296-2023 artfynd.xlsx", "A 54296-2023")</f>
        <v/>
      </c>
      <c r="X41">
        <f>HYPERLINK("https://klasma.github.io/Logging_1904/kartor/A 54296-2023 karta.png", "A 54296-2023")</f>
        <v/>
      </c>
      <c r="Y41">
        <f>HYPERLINK("https://klasma.github.io/Logging_1904/kartor_geotiff/A 54296-2023 georefererad karta.tif", "A 54296-2023")</f>
        <v/>
      </c>
      <c r="AA41">
        <f>HYPERLINK("https://klasma.github.io/Logging_1904/klagomål/A 54296-2023 FSC-klagomål.docx", "A 54296-2023")</f>
        <v/>
      </c>
      <c r="AB41">
        <f>HYPERLINK("https://klasma.github.io/Logging_1904/klagomålsmail/A 54296-2023 FSC-klagomål mail.docx", "A 54296-2023")</f>
        <v/>
      </c>
      <c r="AC41">
        <f>HYPERLINK("https://klasma.github.io/Logging_1904/tillsyn/A 54296-2023 tillsynsbegäran.docx", "A 54296-2023")</f>
        <v/>
      </c>
      <c r="AD41">
        <f>HYPERLINK("https://klasma.github.io/Logging_1904/tillsynsmail/A 54296-2023 tillsynsbegäran mail.docx", "A 54296-2023")</f>
        <v/>
      </c>
    </row>
    <row r="42" ht="15" customHeight="1">
      <c r="A42" t="inlineStr">
        <is>
          <t>A 47538-2025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46296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6.6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Svinrot</t>
        </is>
      </c>
      <c r="W42">
        <f>HYPERLINK("https://klasma.github.io/Logging_1904/artfynd/A 47538-2025 artfynd.xlsx", "A 47538-2025")</f>
        <v/>
      </c>
      <c r="X42">
        <f>HYPERLINK("https://klasma.github.io/Logging_1904/kartor/A 47538-2025 karta.png", "A 47538-2025")</f>
        <v/>
      </c>
      <c r="Y42">
        <f>HYPERLINK("https://klasma.github.io/Logging_1904/kartor_geotiff/A 47538-2025 georefererad karta.tif", "A 47538-2025")</f>
        <v/>
      </c>
      <c r="AA42">
        <f>HYPERLINK("https://klasma.github.io/Logging_1904/klagomål/A 47538-2025 FSC-klagomål.docx", "A 47538-2025")</f>
        <v/>
      </c>
      <c r="AB42">
        <f>HYPERLINK("https://klasma.github.io/Logging_1904/klagomålsmail/A 47538-2025 FSC-klagomål mail.docx", "A 47538-2025")</f>
        <v/>
      </c>
      <c r="AC42">
        <f>HYPERLINK("https://klasma.github.io/Logging_1904/tillsyn/A 47538-2025 tillsynsbegäran.docx", "A 47538-2025")</f>
        <v/>
      </c>
      <c r="AD42">
        <f>HYPERLINK("https://klasma.github.io/Logging_1904/tillsynsmail/A 47538-2025 tillsynsbegäran mail.docx", "A 47538-2025")</f>
        <v/>
      </c>
    </row>
    <row r="43" ht="15" customHeight="1">
      <c r="A43" t="inlineStr">
        <is>
          <t>A 57395-2025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46296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6.9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HYPERLINK("https://klasma.github.io/Logging_1904/artfynd/A 57395-2025 artfynd.xlsx", "A 57395-2025")</f>
        <v/>
      </c>
      <c r="X43">
        <f>HYPERLINK("https://klasma.github.io/Logging_1904/kartor/A 57395-2025 karta.png", "A 57395-2025")</f>
        <v/>
      </c>
      <c r="Y43">
        <f>HYPERLINK("https://klasma.github.io/Logging_1904/kartor_geotiff/A 57395-2025 georefererad karta.tif", "A 57395-2025")</f>
        <v/>
      </c>
      <c r="AA43">
        <f>HYPERLINK("https://klasma.github.io/Logging_1904/klagomål/A 57395-2025 FSC-klagomål.docx", "A 57395-2025")</f>
        <v/>
      </c>
      <c r="AB43">
        <f>HYPERLINK("https://klasma.github.io/Logging_1904/klagomålsmail/A 57395-2025 FSC-klagomål mail.docx", "A 57395-2025")</f>
        <v/>
      </c>
      <c r="AC43">
        <f>HYPERLINK("https://klasma.github.io/Logging_1904/tillsyn/A 57395-2025 tillsynsbegäran.docx", "A 57395-2025")</f>
        <v/>
      </c>
      <c r="AD43">
        <f>HYPERLINK("https://klasma.github.io/Logging_1904/tillsynsmail/A 57395-2025 tillsynsbegäran mail.docx", "A 57395-2025")</f>
        <v/>
      </c>
    </row>
    <row r="44" ht="15" customHeight="1">
      <c r="A44" t="inlineStr">
        <is>
          <t>A 15734-2026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46107</v>
      </c>
      <c r="E44" s="1" t="n">
        <v>46296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Koppartaggsvamp</t>
        </is>
      </c>
      <c r="W44">
        <f>HYPERLINK("https://klasma.github.io/Logging_1904/artfynd/A 15734-2026 artfynd.xlsx", "A 15734-2026")</f>
        <v/>
      </c>
      <c r="X44">
        <f>HYPERLINK("https://klasma.github.io/Logging_1904/kartor/A 15734-2026 karta.png", "A 15734-2026")</f>
        <v/>
      </c>
      <c r="Y44">
        <f>HYPERLINK("https://klasma.github.io/Logging_1904/kartor_geotiff/A 15734-2026 georefererad karta.tif", "A 15734-2026")</f>
        <v/>
      </c>
      <c r="AA44">
        <f>HYPERLINK("https://klasma.github.io/Logging_1904/klagomål/A 15734-2026 FSC-klagomål.docx", "A 15734-2026")</f>
        <v/>
      </c>
      <c r="AB44">
        <f>HYPERLINK("https://klasma.github.io/Logging_1904/klagomålsmail/A 15734-2026 FSC-klagomål mail.docx", "A 15734-2026")</f>
        <v/>
      </c>
      <c r="AC44">
        <f>HYPERLINK("https://klasma.github.io/Logging_1904/tillsyn/A 15734-2026 tillsynsbegäran.docx", "A 15734-2026")</f>
        <v/>
      </c>
      <c r="AD44">
        <f>HYPERLINK("https://klasma.github.io/Logging_1904/tillsynsmail/A 15734-2026 tillsynsbegäran mail.docx", "A 15734-2026")</f>
        <v/>
      </c>
    </row>
    <row r="45" ht="15" customHeight="1">
      <c r="A45" t="inlineStr">
        <is>
          <t>A 20559-2026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46296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20559-2026 artfynd.xlsx", "A 20559-2026")</f>
        <v/>
      </c>
      <c r="X45">
        <f>HYPERLINK("https://klasma.github.io/Logging_1904/kartor/A 20559-2026 karta.png", "A 20559-2026")</f>
        <v/>
      </c>
      <c r="Y45">
        <f>HYPERLINK("https://klasma.github.io/Logging_1904/kartor_geotiff/A 20559-2026 georefererad karta.tif", "A 20559-2026")</f>
        <v/>
      </c>
      <c r="AA45">
        <f>HYPERLINK("https://klasma.github.io/Logging_1904/klagomål/A 20559-2026 FSC-klagomål.docx", "A 20559-2026")</f>
        <v/>
      </c>
      <c r="AB45">
        <f>HYPERLINK("https://klasma.github.io/Logging_1904/klagomålsmail/A 20559-2026 FSC-klagomål mail.docx", "A 20559-2026")</f>
        <v/>
      </c>
      <c r="AC45">
        <f>HYPERLINK("https://klasma.github.io/Logging_1904/tillsyn/A 20559-2026 tillsynsbegäran.docx", "A 20559-2026")</f>
        <v/>
      </c>
      <c r="AD45">
        <f>HYPERLINK("https://klasma.github.io/Logging_1904/tillsynsmail/A 20559-2026 tillsynsbegäran mail.docx", "A 20559-2026")</f>
        <v/>
      </c>
      <c r="AE45">
        <f>HYPERLINK("https://klasma.github.io/Logging_1904/fåglar/A 20559-2026 prioriterade fågelarter.docx", "A 20559-2026")</f>
        <v/>
      </c>
    </row>
    <row r="46" ht="15" customHeight="1">
      <c r="A46" t="inlineStr">
        <is>
          <t>A 21849-2026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12.5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HYPERLINK("https://klasma.github.io/Logging_1904/artfynd/A 21849-2026 artfynd.xlsx", "A 21849-2026")</f>
        <v/>
      </c>
      <c r="X46">
        <f>HYPERLINK("https://klasma.github.io/Logging_1904/kartor/A 21849-2026 karta.png", "A 21849-2026")</f>
        <v/>
      </c>
      <c r="Y46">
        <f>HYPERLINK("https://klasma.github.io/Logging_1904/kartor_geotiff/A 21849-2026 georefererad karta.tif", "A 21849-2026")</f>
        <v/>
      </c>
      <c r="Z46">
        <f>HYPERLINK("https://klasma.github.io/Logging_1904/knärot/A 21849-2026 karta knärot.png", "A 21849-2026")</f>
        <v/>
      </c>
      <c r="AA46">
        <f>HYPERLINK("https://klasma.github.io/Logging_1904/klagomål/A 21849-2026 FSC-klagomål.docx", "A 21849-2026")</f>
        <v/>
      </c>
      <c r="AB46">
        <f>HYPERLINK("https://klasma.github.io/Logging_1904/klagomålsmail/A 21849-2026 FSC-klagomål mail.docx", "A 21849-2026")</f>
        <v/>
      </c>
      <c r="AC46">
        <f>HYPERLINK("https://klasma.github.io/Logging_1904/tillsyn/A 21849-2026 tillsynsbegäran.docx", "A 21849-2026")</f>
        <v/>
      </c>
      <c r="AD46">
        <f>HYPERLINK("https://klasma.github.io/Logging_1904/tillsynsmail/A 21849-2026 tillsynsbegäran mail.docx", "A 21849-2026")</f>
        <v/>
      </c>
    </row>
    <row r="47" ht="15" customHeight="1">
      <c r="A47" t="inlineStr">
        <is>
          <t>A 24492-2026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46296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HYPERLINK("https://klasma.github.io/Logging_1904/artfynd/A 24492-2026 artfynd.xlsx", "A 24492-2026")</f>
        <v/>
      </c>
      <c r="X47">
        <f>HYPERLINK("https://klasma.github.io/Logging_1904/kartor/A 24492-2026 karta.png", "A 24492-2026")</f>
        <v/>
      </c>
      <c r="Y47">
        <f>HYPERLINK("https://klasma.github.io/Logging_1904/kartor_geotiff/A 24492-2026 georefererad karta.tif", "A 24492-2026")</f>
        <v/>
      </c>
      <c r="AA47">
        <f>HYPERLINK("https://klasma.github.io/Logging_1904/klagomål/A 24492-2026 FSC-klagomål.docx", "A 24492-2026")</f>
        <v/>
      </c>
      <c r="AB47">
        <f>HYPERLINK("https://klasma.github.io/Logging_1904/klagomålsmail/A 24492-2026 FSC-klagomål mail.docx", "A 24492-2026")</f>
        <v/>
      </c>
      <c r="AC47">
        <f>HYPERLINK("https://klasma.github.io/Logging_1904/tillsyn/A 24492-2026 tillsynsbegäran.docx", "A 24492-2026")</f>
        <v/>
      </c>
      <c r="AD47">
        <f>HYPERLINK("https://klasma.github.io/Logging_1904/tillsynsmail/A 24492-2026 tillsynsbegäran mail.docx", "A 24492-2026")</f>
        <v/>
      </c>
      <c r="AE47">
        <f>HYPERLINK("https://klasma.github.io/Logging_1904/fåglar/A 24492-2026 prioriterade fågelarter.docx", "A 24492-2026")</f>
        <v/>
      </c>
    </row>
    <row r="48" ht="15" customHeight="1">
      <c r="A48" t="inlineStr">
        <is>
          <t>A 24944-2026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46174</v>
      </c>
      <c r="E48" s="1" t="n">
        <v>46296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8.4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HYPERLINK("https://klasma.github.io/Logging_1904/artfynd/A 24944-2026 artfynd.xlsx", "A 24944-2026")</f>
        <v/>
      </c>
      <c r="X48">
        <f>HYPERLINK("https://klasma.github.io/Logging_1904/kartor/A 24944-2026 karta.png", "A 24944-2026")</f>
        <v/>
      </c>
      <c r="Y48">
        <f>HYPERLINK("https://klasma.github.io/Logging_1904/kartor_geotiff/A 24944-2026 georefererad karta.tif", "A 24944-2026")</f>
        <v/>
      </c>
      <c r="AA48">
        <f>HYPERLINK("https://klasma.github.io/Logging_1904/klagomål/A 24944-2026 FSC-klagomål.docx", "A 24944-2026")</f>
        <v/>
      </c>
      <c r="AB48">
        <f>HYPERLINK("https://klasma.github.io/Logging_1904/klagomålsmail/A 24944-2026 FSC-klagomål mail.docx", "A 24944-2026")</f>
        <v/>
      </c>
      <c r="AC48">
        <f>HYPERLINK("https://klasma.github.io/Logging_1904/tillsyn/A 24944-2026 tillsynsbegäran.docx", "A 24944-2026")</f>
        <v/>
      </c>
      <c r="AD48">
        <f>HYPERLINK("https://klasma.github.io/Logging_1904/tillsynsmail/A 24944-2026 tillsynsbegäran mail.docx", "A 24944-2026")</f>
        <v/>
      </c>
    </row>
    <row r="49" ht="15" customHeight="1">
      <c r="A49" t="inlineStr">
        <is>
          <t>A 26860-2026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46296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10.3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HYPERLINK("https://klasma.github.io/Logging_1904/artfynd/A 26860-2026 artfynd.xlsx", "A 26860-2026")</f>
        <v/>
      </c>
      <c r="X49">
        <f>HYPERLINK("https://klasma.github.io/Logging_1904/kartor/A 26860-2026 karta.png", "A 26860-2026")</f>
        <v/>
      </c>
      <c r="Y49">
        <f>HYPERLINK("https://klasma.github.io/Logging_1904/kartor_geotiff/A 26860-2026 georefererad karta.tif", "A 26860-2026")</f>
        <v/>
      </c>
      <c r="AA49">
        <f>HYPERLINK("https://klasma.github.io/Logging_1904/klagomål/A 26860-2026 FSC-klagomål.docx", "A 26860-2026")</f>
        <v/>
      </c>
      <c r="AB49">
        <f>HYPERLINK("https://klasma.github.io/Logging_1904/klagomålsmail/A 26860-2026 FSC-klagomål mail.docx", "A 26860-2026")</f>
        <v/>
      </c>
      <c r="AC49">
        <f>HYPERLINK("https://klasma.github.io/Logging_1904/tillsyn/A 26860-2026 tillsynsbegäran.docx", "A 26860-2026")</f>
        <v/>
      </c>
      <c r="AD49">
        <f>HYPERLINK("https://klasma.github.io/Logging_1904/tillsynsmail/A 26860-2026 tillsynsbegäran mail.docx", "A 26860-2026")</f>
        <v/>
      </c>
      <c r="AE49">
        <f>HYPERLINK("https://klasma.github.io/Logging_1904/fåglar/A 26860-2026 prioriterade fågelarter.docx", "A 26860-2026")</f>
        <v/>
      </c>
    </row>
    <row r="50" ht="15" customHeight="1">
      <c r="A50" t="inlineStr">
        <is>
          <t>A 30579-2026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46296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HYPERLINK("https://klasma.github.io/Logging_1904/artfynd/A 30579-2026 artfynd.xlsx", "A 30579-2026")</f>
        <v/>
      </c>
      <c r="X50">
        <f>HYPERLINK("https://klasma.github.io/Logging_1904/kartor/A 30579-2026 karta.png", "A 30579-2026")</f>
        <v/>
      </c>
      <c r="Y50">
        <f>HYPERLINK("https://klasma.github.io/Logging_1904/kartor_geotiff/A 30579-2026 georefererad karta.tif", "A 30579-2026")</f>
        <v/>
      </c>
      <c r="AA50">
        <f>HYPERLINK("https://klasma.github.io/Logging_1904/klagomål/A 30579-2026 FSC-klagomål.docx", "A 30579-2026")</f>
        <v/>
      </c>
      <c r="AB50">
        <f>HYPERLINK("https://klasma.github.io/Logging_1904/klagomålsmail/A 30579-2026 FSC-klagomål mail.docx", "A 30579-2026")</f>
        <v/>
      </c>
      <c r="AC50">
        <f>HYPERLINK("https://klasma.github.io/Logging_1904/tillsyn/A 30579-2026 tillsynsbegäran.docx", "A 30579-2026")</f>
        <v/>
      </c>
      <c r="AD50">
        <f>HYPERLINK("https://klasma.github.io/Logging_1904/tillsynsmail/A 30579-2026 tillsynsbegäran mail.docx", "A 30579-2026")</f>
        <v/>
      </c>
    </row>
    <row r="51" ht="15" customHeight="1">
      <c r="A51" t="inlineStr">
        <is>
          <t>A 35371-2026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46296</v>
      </c>
      <c r="F51" t="inlineStr">
        <is>
          <t>VÄSTMANLANDS LÄN</t>
        </is>
      </c>
      <c r="G51" t="inlineStr">
        <is>
          <t>SKINNSKATTEBERG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HYPERLINK("https://klasma.github.io/Logging_1904/artfynd/A 35371-2026 artfynd.xlsx", "A 35371-2026")</f>
        <v/>
      </c>
      <c r="X51">
        <f>HYPERLINK("https://klasma.github.io/Logging_1904/kartor/A 35371-2026 karta.png", "A 35371-2026")</f>
        <v/>
      </c>
      <c r="Y51">
        <f>HYPERLINK("https://klasma.github.io/Logging_1904/kartor_geotiff/A 35371-2026 georefererad karta.tif", "A 35371-2026")</f>
        <v/>
      </c>
      <c r="AA51">
        <f>HYPERLINK("https://klasma.github.io/Logging_1904/klagomål/A 35371-2026 FSC-klagomål.docx", "A 35371-2026")</f>
        <v/>
      </c>
      <c r="AB51">
        <f>HYPERLINK("https://klasma.github.io/Logging_1904/klagomålsmail/A 35371-2026 FSC-klagomål mail.docx", "A 35371-2026")</f>
        <v/>
      </c>
      <c r="AC51">
        <f>HYPERLINK("https://klasma.github.io/Logging_1904/tillsyn/A 35371-2026 tillsynsbegäran.docx", "A 35371-2026")</f>
        <v/>
      </c>
      <c r="AD51">
        <f>HYPERLINK("https://klasma.github.io/Logging_1904/tillsynsmail/A 35371-2026 tillsynsbegäran mail.docx", "A 35371-2026")</f>
        <v/>
      </c>
      <c r="AE51">
        <f>HYPERLINK("https://klasma.github.io/Logging_1904/fåglar/A 35371-2026 prioriterade fågelarter.docx", "A 35371-2026")</f>
        <v/>
      </c>
    </row>
    <row r="52" ht="15" customHeight="1">
      <c r="A52" t="inlineStr">
        <is>
          <t>A 36263-2026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46268</v>
      </c>
      <c r="E52" s="1" t="n">
        <v>46296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HYPERLINK("https://klasma.github.io/Logging_1904/artfynd/A 36263-2026 artfynd.xlsx", "A 36263-2026")</f>
        <v/>
      </c>
      <c r="X52">
        <f>HYPERLINK("https://klasma.github.io/Logging_1904/kartor/A 36263-2026 karta.png", "A 36263-2026")</f>
        <v/>
      </c>
      <c r="Y52">
        <f>HYPERLINK("https://klasma.github.io/Logging_1904/kartor_geotiff/A 36263-2026 georefererad karta.tif", "A 36263-2026")</f>
        <v/>
      </c>
      <c r="AA52">
        <f>HYPERLINK("https://klasma.github.io/Logging_1904/klagomål/A 36263-2026 FSC-klagomål.docx", "A 36263-2026")</f>
        <v/>
      </c>
      <c r="AB52">
        <f>HYPERLINK("https://klasma.github.io/Logging_1904/klagomålsmail/A 36263-2026 FSC-klagomål mail.docx", "A 36263-2026")</f>
        <v/>
      </c>
      <c r="AC52">
        <f>HYPERLINK("https://klasma.github.io/Logging_1904/tillsyn/A 36263-2026 tillsynsbegäran.docx", "A 36263-2026")</f>
        <v/>
      </c>
      <c r="AD52">
        <f>HYPERLINK("https://klasma.github.io/Logging_1904/tillsynsmail/A 36263-2026 tillsynsbegäran mail.docx", "A 36263-2026")</f>
        <v/>
      </c>
    </row>
    <row r="53" ht="15" customHeight="1">
      <c r="A53" t="inlineStr">
        <is>
          <t>A 37900-2026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46296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9.199999999999999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HYPERLINK("https://klasma.github.io/Logging_1904/artfynd/A 37900-2026 artfynd.xlsx", "A 37900-2026")</f>
        <v/>
      </c>
      <c r="X53">
        <f>HYPERLINK("https://klasma.github.io/Logging_1904/kartor/A 37900-2026 karta.png", "A 37900-2026")</f>
        <v/>
      </c>
      <c r="Y53">
        <f>HYPERLINK("https://klasma.github.io/Logging_1904/kartor_geotiff/A 37900-2026 georefererad karta.tif", "A 37900-2026")</f>
        <v/>
      </c>
      <c r="AA53">
        <f>HYPERLINK("https://klasma.github.io/Logging_1904/klagomål/A 37900-2026 FSC-klagomål.docx", "A 37900-2026")</f>
        <v/>
      </c>
      <c r="AB53">
        <f>HYPERLINK("https://klasma.github.io/Logging_1904/klagomålsmail/A 37900-2026 FSC-klagomål mail.docx", "A 37900-2026")</f>
        <v/>
      </c>
      <c r="AC53">
        <f>HYPERLINK("https://klasma.github.io/Logging_1904/tillsyn/A 37900-2026 tillsynsbegäran.docx", "A 37900-2026")</f>
        <v/>
      </c>
      <c r="AD53">
        <f>HYPERLINK("https://klasma.github.io/Logging_1904/tillsynsmail/A 37900-2026 tillsynsbegäran mail.docx", "A 37900-2026")</f>
        <v/>
      </c>
      <c r="AE53">
        <f>HYPERLINK("https://klasma.github.io/Logging_1904/fåglar/A 37900-2026 prioriterade fågelarter.docx", "A 37900-2026")</f>
        <v/>
      </c>
    </row>
    <row r="54" ht="15" customHeight="1">
      <c r="A54" t="inlineStr">
        <is>
          <t>A 38733-2026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46296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4.2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HYPERLINK("https://klasma.github.io/Logging_1904/artfynd/A 38733-2026 artfynd.xlsx", "A 38733-2026")</f>
        <v/>
      </c>
      <c r="X54">
        <f>HYPERLINK("https://klasma.github.io/Logging_1904/kartor/A 38733-2026 karta.png", "A 38733-2026")</f>
        <v/>
      </c>
      <c r="Y54">
        <f>HYPERLINK("https://klasma.github.io/Logging_1904/kartor_geotiff/A 38733-2026 georefererad karta.tif", "A 38733-2026")</f>
        <v/>
      </c>
      <c r="AA54">
        <f>HYPERLINK("https://klasma.github.io/Logging_1904/klagomål/A 38733-2026 FSC-klagomål.docx", "A 38733-2026")</f>
        <v/>
      </c>
      <c r="AB54">
        <f>HYPERLINK("https://klasma.github.io/Logging_1904/klagomålsmail/A 38733-2026 FSC-klagomål mail.docx", "A 38733-2026")</f>
        <v/>
      </c>
      <c r="AC54">
        <f>HYPERLINK("https://klasma.github.io/Logging_1904/tillsyn/A 38733-2026 tillsynsbegäran.docx", "A 38733-2026")</f>
        <v/>
      </c>
      <c r="AD54">
        <f>HYPERLINK("https://klasma.github.io/Logging_1904/tillsynsmail/A 38733-2026 tillsynsbegäran mail.docx", "A 38733-2026")</f>
        <v/>
      </c>
    </row>
    <row r="55" ht="15" customHeight="1">
      <c r="A55" t="inlineStr">
        <is>
          <t>A 38734-2026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46296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6.1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HYPERLINK("https://klasma.github.io/Logging_1904/artfynd/A 38734-2026 artfynd.xlsx", "A 38734-2026")</f>
        <v/>
      </c>
      <c r="X55">
        <f>HYPERLINK("https://klasma.github.io/Logging_1904/kartor/A 38734-2026 karta.png", "A 38734-2026")</f>
        <v/>
      </c>
      <c r="Y55">
        <f>HYPERLINK("https://klasma.github.io/Logging_1904/kartor_geotiff/A 38734-2026 georefererad karta.tif", "A 38734-2026")</f>
        <v/>
      </c>
      <c r="AA55">
        <f>HYPERLINK("https://klasma.github.io/Logging_1904/klagomål/A 38734-2026 FSC-klagomål.docx", "A 38734-2026")</f>
        <v/>
      </c>
      <c r="AB55">
        <f>HYPERLINK("https://klasma.github.io/Logging_1904/klagomålsmail/A 38734-2026 FSC-klagomål mail.docx", "A 38734-2026")</f>
        <v/>
      </c>
      <c r="AC55">
        <f>HYPERLINK("https://klasma.github.io/Logging_1904/tillsyn/A 38734-2026 tillsynsbegäran.docx", "A 38734-2026")</f>
        <v/>
      </c>
      <c r="AD55">
        <f>HYPERLINK("https://klasma.github.io/Logging_1904/tillsynsmail/A 38734-2026 tillsynsbegäran mail.docx", "A 38734-2026")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46296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46296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46296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46296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46296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46296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46296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66587-2021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44519</v>
      </c>
      <c r="E66" s="1" t="n">
        <v>46296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46296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44545</v>
      </c>
      <c r="E68" s="1" t="n">
        <v>46296</v>
      </c>
      <c r="F68" t="inlineStr">
        <is>
          <t>VÄSTMANLANDS LÄN</t>
        </is>
      </c>
      <c r="G68" t="inlineStr">
        <is>
          <t>SKINNSKATTEBERG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44741</v>
      </c>
      <c r="E69" s="1" t="n">
        <v>46296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46296</v>
      </c>
      <c r="F70" t="inlineStr">
        <is>
          <t>VÄSTMANLANDS LÄN</t>
        </is>
      </c>
      <c r="G70" t="inlineStr">
        <is>
          <t>SKINNSKATTEBERG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46296</v>
      </c>
      <c r="F71" t="inlineStr">
        <is>
          <t>VÄSTMANLANDS LÄN</t>
        </is>
      </c>
      <c r="G71" t="inlineStr">
        <is>
          <t>SKINNSKATTEBERG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46296</v>
      </c>
      <c r="F72" t="inlineStr">
        <is>
          <t>VÄSTMANLANDS LÄN</t>
        </is>
      </c>
      <c r="G72" t="inlineStr">
        <is>
          <t>SKINNSKATTEBERG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46296</v>
      </c>
      <c r="F73" t="inlineStr">
        <is>
          <t>VÄSTMANLANDS LÄN</t>
        </is>
      </c>
      <c r="G73" t="inlineStr">
        <is>
          <t>SKINNSKATTEBERG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46296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46296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46296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36288-2022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44803</v>
      </c>
      <c r="E77" s="1" t="n">
        <v>46296</v>
      </c>
      <c r="F77" t="inlineStr">
        <is>
          <t>VÄSTMANLANDS LÄN</t>
        </is>
      </c>
      <c r="G77" t="inlineStr">
        <is>
          <t>SKINNSKATTEBERG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46296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46296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57343-2023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46296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15184-2025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45744</v>
      </c>
      <c r="E82" s="1" t="n">
        <v>46296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46296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46296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45429</v>
      </c>
      <c r="E85" s="1" t="n">
        <v>46296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46296</v>
      </c>
      <c r="F86" t="inlineStr">
        <is>
          <t>VÄSTMANLANDS LÄN</t>
        </is>
      </c>
      <c r="G86" t="inlineStr">
        <is>
          <t>SKINNSKATTEBERG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46296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46296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46296</v>
      </c>
      <c r="F89" t="inlineStr">
        <is>
          <t>VÄSTMANLANDS LÄN</t>
        </is>
      </c>
      <c r="G89" t="inlineStr">
        <is>
          <t>SKINNSKATTEBERG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46296</v>
      </c>
      <c r="F90" t="inlineStr">
        <is>
          <t>VÄSTMANLANDS LÄN</t>
        </is>
      </c>
      <c r="G90" t="inlineStr">
        <is>
          <t>SKINNSKATTEBERG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45520</v>
      </c>
      <c r="E92" s="1" t="n">
        <v>46296</v>
      </c>
      <c r="F92" t="inlineStr">
        <is>
          <t>VÄSTMANLANDS LÄN</t>
        </is>
      </c>
      <c r="G92" t="inlineStr">
        <is>
          <t>SKINNSKATTEBERG</t>
        </is>
      </c>
      <c r="I92" t="n">
        <v>9.1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46296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46296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46296</v>
      </c>
      <c r="F95" t="inlineStr">
        <is>
          <t>VÄSTMANLANDS LÄN</t>
        </is>
      </c>
      <c r="G95" t="inlineStr">
        <is>
          <t>SKINNSKATTEBERG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46296</v>
      </c>
      <c r="F96" t="inlineStr">
        <is>
          <t>VÄSTMANLANDS LÄN</t>
        </is>
      </c>
      <c r="G96" t="inlineStr">
        <is>
          <t>SKINNSKATTEBERG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40176-2024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45554</v>
      </c>
      <c r="E97" s="1" t="n">
        <v>46296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44728</v>
      </c>
      <c r="E98" s="1" t="n">
        <v>46296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19093-2023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45048</v>
      </c>
      <c r="E99" s="1" t="n">
        <v>46296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46296</v>
      </c>
      <c r="F100" t="inlineStr">
        <is>
          <t>VÄSTMANLANDS LÄN</t>
        </is>
      </c>
      <c r="G100" t="inlineStr">
        <is>
          <t>SKINNSKATTEBERG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46296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27653-2023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45097</v>
      </c>
      <c r="E102" s="1" t="n">
        <v>46296</v>
      </c>
      <c r="F102" t="inlineStr">
        <is>
          <t>VÄSTMANLANDS LÄN</t>
        </is>
      </c>
      <c r="G102" t="inlineStr">
        <is>
          <t>SKINNSKATTEBERG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13713-2024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45390</v>
      </c>
      <c r="E103" s="1" t="n">
        <v>46296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46296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46296</v>
      </c>
      <c r="F105" t="inlineStr">
        <is>
          <t>VÄSTMANLANDS LÄN</t>
        </is>
      </c>
      <c r="G105" t="inlineStr">
        <is>
          <t>SKINNSKATTEBERG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46296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46296</v>
      </c>
      <c r="F107" t="inlineStr">
        <is>
          <t>VÄSTMANLANDS LÄN</t>
        </is>
      </c>
      <c r="G107" t="inlineStr">
        <is>
          <t>SKINNSKATTEBERG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46296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45617</v>
      </c>
      <c r="E109" s="1" t="n">
        <v>46296</v>
      </c>
      <c r="F109" t="inlineStr">
        <is>
          <t>VÄSTMANLANDS LÄN</t>
        </is>
      </c>
      <c r="G109" t="inlineStr">
        <is>
          <t>SKINNSKATTEBERG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45555</v>
      </c>
      <c r="E110" s="1" t="n">
        <v>46296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45387</v>
      </c>
      <c r="E111" s="1" t="n">
        <v>46296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46296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46296</v>
      </c>
      <c r="F113" t="inlineStr">
        <is>
          <t>VÄSTMANLANDS LÄN</t>
        </is>
      </c>
      <c r="G113" t="inlineStr">
        <is>
          <t>SKINNSKATTEBERG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46296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46296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46296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46296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46296</v>
      </c>
      <c r="F118" t="inlineStr">
        <is>
          <t>VÄSTMANLANDS LÄN</t>
        </is>
      </c>
      <c r="G118" t="inlineStr">
        <is>
          <t>SKINNSKATTEBERG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46296</v>
      </c>
      <c r="F119" t="inlineStr">
        <is>
          <t>VÄSTMANLANDS LÄN</t>
        </is>
      </c>
      <c r="G119" t="inlineStr">
        <is>
          <t>SKINNSKATTEBERG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46296</v>
      </c>
      <c r="F120" t="inlineStr">
        <is>
          <t>VÄSTMANLANDS LÄN</t>
        </is>
      </c>
      <c r="G120" t="inlineStr">
        <is>
          <t>SKINNSKATTEBERG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46296</v>
      </c>
      <c r="F121" t="inlineStr">
        <is>
          <t>VÄSTMANLANDS LÄN</t>
        </is>
      </c>
      <c r="G121" t="inlineStr">
        <is>
          <t>SKINNSKATTEBERG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45063</v>
      </c>
      <c r="E122" s="1" t="n">
        <v>46296</v>
      </c>
      <c r="F122" t="inlineStr">
        <is>
          <t>VÄSTMANLANDS LÄN</t>
        </is>
      </c>
      <c r="G122" t="inlineStr">
        <is>
          <t>SKINNSKATTEBERG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46296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18516-2024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46296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46296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46296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40545-2023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45170</v>
      </c>
      <c r="E127" s="1" t="n">
        <v>46296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46296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45014</v>
      </c>
      <c r="E129" s="1" t="n">
        <v>46296</v>
      </c>
      <c r="F129" t="inlineStr">
        <is>
          <t>VÄSTMANLANDS LÄN</t>
        </is>
      </c>
      <c r="G129" t="inlineStr">
        <is>
          <t>SKINNSKATTEBERG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14736-2023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45014</v>
      </c>
      <c r="E130" s="1" t="n">
        <v>46296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46296</v>
      </c>
      <c r="F131" t="inlineStr">
        <is>
          <t>VÄSTMANLANDS LÄN</t>
        </is>
      </c>
      <c r="G131" t="inlineStr">
        <is>
          <t>SKINNSKATTEBERG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46296</v>
      </c>
      <c r="F132" t="inlineStr">
        <is>
          <t>VÄSTMANLANDS LÄN</t>
        </is>
      </c>
      <c r="G132" t="inlineStr">
        <is>
          <t>SKINNSKATTEBERG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45762</v>
      </c>
      <c r="E133" s="1" t="n">
        <v>46296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45571</v>
      </c>
      <c r="E134" s="1" t="n">
        <v>46296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45571</v>
      </c>
      <c r="E135" s="1" t="n">
        <v>46296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46296</v>
      </c>
      <c r="F136" t="inlineStr">
        <is>
          <t>VÄSTMANLANDS LÄN</t>
        </is>
      </c>
      <c r="G136" t="inlineStr">
        <is>
          <t>SKINNSKATTEBERG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20248-2024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45434</v>
      </c>
      <c r="E137" s="1" t="n">
        <v>46296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45558</v>
      </c>
      <c r="E138" s="1" t="n">
        <v>46296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46296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45592</v>
      </c>
      <c r="E140" s="1" t="n">
        <v>46296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46296</v>
      </c>
      <c r="F141" t="inlineStr">
        <is>
          <t>VÄSTMANLANDS LÄN</t>
        </is>
      </c>
      <c r="G141" t="inlineStr">
        <is>
          <t>SKINNSKATTEBERG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16729-2024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45410</v>
      </c>
      <c r="E142" s="1" t="n">
        <v>46296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46296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46296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46296</v>
      </c>
      <c r="F145" t="inlineStr">
        <is>
          <t>VÄSTMANLANDS LÄN</t>
        </is>
      </c>
      <c r="G145" t="inlineStr">
        <is>
          <t>SKINNSKATTEBERG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46296</v>
      </c>
      <c r="F146" t="inlineStr">
        <is>
          <t>VÄSTMANLANDS LÄN</t>
        </is>
      </c>
      <c r="G146" t="inlineStr">
        <is>
          <t>SKINNSKATTEBERG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45134</v>
      </c>
      <c r="E147" s="1" t="n">
        <v>46296</v>
      </c>
      <c r="F147" t="inlineStr">
        <is>
          <t>VÄSTMANLANDS LÄN</t>
        </is>
      </c>
      <c r="G147" t="inlineStr">
        <is>
          <t>SKINNSKATTEBERG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46296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46296</v>
      </c>
      <c r="F149" t="inlineStr">
        <is>
          <t>VÄSTMANLANDS LÄN</t>
        </is>
      </c>
      <c r="G149" t="inlineStr">
        <is>
          <t>SKINNSKATTEBERG</t>
        </is>
      </c>
      <c r="I149" t="n">
        <v>10.4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45407</v>
      </c>
      <c r="E150" s="1" t="n">
        <v>46296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46296</v>
      </c>
      <c r="F151" t="inlineStr">
        <is>
          <t>VÄSTMANLANDS LÄN</t>
        </is>
      </c>
      <c r="G151" t="inlineStr">
        <is>
          <t>SKINNSKATTEBERG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46296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46296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Kyrkan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46296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44867</v>
      </c>
      <c r="E155" s="1" t="n">
        <v>46296</v>
      </c>
      <c r="F155" t="inlineStr">
        <is>
          <t>VÄSTMANLANDS LÄN</t>
        </is>
      </c>
      <c r="G155" t="inlineStr">
        <is>
          <t>SKINNSKATTEBERG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46296</v>
      </c>
      <c r="F156" t="inlineStr">
        <is>
          <t>VÄSTMANLANDS LÄN</t>
        </is>
      </c>
      <c r="G156" t="inlineStr">
        <is>
          <t>SKINNSKATTEBERG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46296</v>
      </c>
      <c r="F157" t="inlineStr">
        <is>
          <t>VÄSTMANLANDS LÄN</t>
        </is>
      </c>
      <c r="G157" t="inlineStr">
        <is>
          <t>SKINNSKATTEBERG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46296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45128</v>
      </c>
      <c r="E159" s="1" t="n">
        <v>46296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25843-2023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45090</v>
      </c>
      <c r="E160" s="1" t="n">
        <v>46296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46296</v>
      </c>
      <c r="F161" t="inlineStr">
        <is>
          <t>VÄSTMANLANDS LÄN</t>
        </is>
      </c>
      <c r="G161" t="inlineStr">
        <is>
          <t>SKINNSKATTEBERG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46296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46296</v>
      </c>
      <c r="F163" t="inlineStr">
        <is>
          <t>VÄSTMANLANDS LÄN</t>
        </is>
      </c>
      <c r="G163" t="inlineStr">
        <is>
          <t>SKINNSKATTEBERG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45480</v>
      </c>
      <c r="E164" s="1" t="n">
        <v>46296</v>
      </c>
      <c r="F164" t="inlineStr">
        <is>
          <t>VÄSTMANLANDS LÄN</t>
        </is>
      </c>
      <c r="G164" t="inlineStr">
        <is>
          <t>SKINNSKATTEBERG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45554</v>
      </c>
      <c r="E165" s="1" t="n">
        <v>46296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46296</v>
      </c>
      <c r="F166" t="inlineStr">
        <is>
          <t>VÄSTMANLANDS LÄN</t>
        </is>
      </c>
      <c r="G166" t="inlineStr">
        <is>
          <t>SKINNSKATTEBERG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22285-2025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45786</v>
      </c>
      <c r="E167" s="1" t="n">
        <v>46296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44903</v>
      </c>
      <c r="E168" s="1" t="n">
        <v>46296</v>
      </c>
      <c r="F168" t="inlineStr">
        <is>
          <t>VÄSTMANLANDS LÄN</t>
        </is>
      </c>
      <c r="G168" t="inlineStr">
        <is>
          <t>SKINNSKATTEBERG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45617</v>
      </c>
      <c r="E169" s="1" t="n">
        <v>46296</v>
      </c>
      <c r="F169" t="inlineStr">
        <is>
          <t>VÄSTMANLANDS LÄN</t>
        </is>
      </c>
      <c r="G169" t="inlineStr">
        <is>
          <t>SKINNSKATTEBERG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44768</v>
      </c>
      <c r="E170" s="1" t="n">
        <v>46296</v>
      </c>
      <c r="F170" t="inlineStr">
        <is>
          <t>VÄSTMANLANDS LÄN</t>
        </is>
      </c>
      <c r="G170" t="inlineStr">
        <is>
          <t>SKINNSKATTEBERG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45244</v>
      </c>
      <c r="E171" s="1" t="n">
        <v>46296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16088-2024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45406</v>
      </c>
      <c r="E172" s="1" t="n">
        <v>46296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46296</v>
      </c>
      <c r="F173" t="inlineStr">
        <is>
          <t>VÄSTMANLANDS LÄN</t>
        </is>
      </c>
      <c r="G173" t="inlineStr">
        <is>
          <t>SKINNSKATTEBERG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46296</v>
      </c>
      <c r="F174" t="inlineStr">
        <is>
          <t>VÄSTMANLANDS LÄN</t>
        </is>
      </c>
      <c r="G174" t="inlineStr">
        <is>
          <t>SKINNSKATTEBERG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45114</v>
      </c>
      <c r="E175" s="1" t="n">
        <v>46296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46296</v>
      </c>
      <c r="F176" t="inlineStr">
        <is>
          <t>VÄSTMANLANDS LÄN</t>
        </is>
      </c>
      <c r="G176" t="inlineStr">
        <is>
          <t>SKINNSKATTEBERG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45527</v>
      </c>
      <c r="E177" s="1" t="n">
        <v>46296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45506</v>
      </c>
      <c r="E178" s="1" t="n">
        <v>46296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45476</v>
      </c>
      <c r="E179" s="1" t="n">
        <v>46296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44910</v>
      </c>
      <c r="E180" s="1" t="n">
        <v>46296</v>
      </c>
      <c r="F180" t="inlineStr">
        <is>
          <t>VÄSTMANLANDS LÄN</t>
        </is>
      </c>
      <c r="G180" t="inlineStr">
        <is>
          <t>SKINNSKATTEBERG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18161-2024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45420</v>
      </c>
      <c r="E181" s="1" t="n">
        <v>46296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45006</v>
      </c>
      <c r="E182" s="1" t="n">
        <v>46296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Allmännings- och besparingsskogar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44936</v>
      </c>
      <c r="E183" s="1" t="n">
        <v>46296</v>
      </c>
      <c r="F183" t="inlineStr">
        <is>
          <t>VÄSTMANLANDS LÄN</t>
        </is>
      </c>
      <c r="G183" t="inlineStr">
        <is>
          <t>SKINNSKATTEBERG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46296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46296</v>
      </c>
      <c r="F185" t="inlineStr">
        <is>
          <t>VÄSTMANLANDS LÄN</t>
        </is>
      </c>
      <c r="G185" t="inlineStr">
        <is>
          <t>SKINNSKATTEBERG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46296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46296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15561-2024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45401</v>
      </c>
      <c r="E188" s="1" t="n">
        <v>46296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45375</v>
      </c>
      <c r="E189" s="1" t="n">
        <v>46296</v>
      </c>
      <c r="F189" t="inlineStr">
        <is>
          <t>VÄSTMANLANDS LÄN</t>
        </is>
      </c>
      <c r="G189" t="inlineStr">
        <is>
          <t>SKINNSKATTEBERG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46296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46296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25846-2025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45804</v>
      </c>
      <c r="E192" s="1" t="n">
        <v>46296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46296</v>
      </c>
      <c r="F193" t="inlineStr">
        <is>
          <t>VÄSTMANLANDS LÄN</t>
        </is>
      </c>
      <c r="G193" t="inlineStr">
        <is>
          <t>SKINNSKATTEBERG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46296</v>
      </c>
      <c r="F194" t="inlineStr">
        <is>
          <t>VÄSTMANLANDS LÄN</t>
        </is>
      </c>
      <c r="G194" t="inlineStr">
        <is>
          <t>SKINNSKATTEBERG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46296</v>
      </c>
      <c r="F195" t="inlineStr">
        <is>
          <t>VÄSTMANLANDS LÄN</t>
        </is>
      </c>
      <c r="G195" t="inlineStr">
        <is>
          <t>SKINNSKATTEBERG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44995</v>
      </c>
      <c r="E196" s="1" t="n">
        <v>46296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46296</v>
      </c>
      <c r="F197" t="inlineStr">
        <is>
          <t>VÄSTMANLANDS LÄN</t>
        </is>
      </c>
      <c r="G197" t="inlineStr">
        <is>
          <t>SKINNSKATTEBERG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46296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46296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44883</v>
      </c>
      <c r="E200" s="1" t="n">
        <v>46296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46296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45554</v>
      </c>
      <c r="E202" s="1" t="n">
        <v>46296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66584-2021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44519</v>
      </c>
      <c r="E203" s="1" t="n">
        <v>46296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45480</v>
      </c>
      <c r="E204" s="1" t="n">
        <v>46296</v>
      </c>
      <c r="F204" t="inlineStr">
        <is>
          <t>VÄSTMANLANDS LÄN</t>
        </is>
      </c>
      <c r="G204" t="inlineStr">
        <is>
          <t>SKINNSKATTEBERG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45177</v>
      </c>
      <c r="E205" s="1" t="n">
        <v>46296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45156</v>
      </c>
      <c r="E206" s="1" t="n">
        <v>46296</v>
      </c>
      <c r="F206" t="inlineStr">
        <is>
          <t>VÄSTMANLANDS LÄN</t>
        </is>
      </c>
      <c r="G206" t="inlineStr">
        <is>
          <t>SKINNSKATTEBERG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45820</v>
      </c>
      <c r="E207" s="1" t="n">
        <v>46296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46296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28873-2025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45820</v>
      </c>
      <c r="E209" s="1" t="n">
        <v>46296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45504</v>
      </c>
      <c r="E210" s="1" t="n">
        <v>46296</v>
      </c>
      <c r="F210" t="inlineStr">
        <is>
          <t>VÄSTMANLANDS LÄN</t>
        </is>
      </c>
      <c r="G210" t="inlineStr">
        <is>
          <t>SKINNSKATTEBERG</t>
        </is>
      </c>
      <c r="I210" t="n">
        <v>17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29808-2025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45825</v>
      </c>
      <c r="E211" s="1" t="n">
        <v>46296</v>
      </c>
      <c r="F211" t="inlineStr">
        <is>
          <t>VÄSTMANLANDS LÄN</t>
        </is>
      </c>
      <c r="G211" t="inlineStr">
        <is>
          <t>SKINNSKATTEBERG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46296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45610</v>
      </c>
      <c r="E213" s="1" t="n">
        <v>46296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29810-2025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45825</v>
      </c>
      <c r="E214" s="1" t="n">
        <v>46296</v>
      </c>
      <c r="F214" t="inlineStr">
        <is>
          <t>VÄSTMANLANDS LÄN</t>
        </is>
      </c>
      <c r="G214" t="inlineStr">
        <is>
          <t>SKINNSKATTEBERG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55428-2021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44475</v>
      </c>
      <c r="E215" s="1" t="n">
        <v>46296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30439-2025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45827</v>
      </c>
      <c r="E216" s="1" t="n">
        <v>46296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46296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45686</v>
      </c>
      <c r="E218" s="1" t="n">
        <v>46296</v>
      </c>
      <c r="F218" t="inlineStr">
        <is>
          <t>VÄSTMANLANDS LÄN</t>
        </is>
      </c>
      <c r="G218" t="inlineStr">
        <is>
          <t>SKINNSKATTEBERG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46296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46296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46296</v>
      </c>
      <c r="F221" t="inlineStr">
        <is>
          <t>VÄSTMANLANDS LÄN</t>
        </is>
      </c>
      <c r="G221" t="inlineStr">
        <is>
          <t>SKINNSKATTEBERG</t>
        </is>
      </c>
      <c r="I221" t="n">
        <v>10.5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31234-2025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45832</v>
      </c>
      <c r="E222" s="1" t="n">
        <v>46296</v>
      </c>
      <c r="F222" t="inlineStr">
        <is>
          <t>VÄSTMANLANDS LÄN</t>
        </is>
      </c>
      <c r="G222" t="inlineStr">
        <is>
          <t>SKINNSKATTEBERG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46296</v>
      </c>
      <c r="F223" t="inlineStr">
        <is>
          <t>VÄSTMANLANDS LÄN</t>
        </is>
      </c>
      <c r="G223" t="inlineStr">
        <is>
          <t>SKINNSKATTEBERG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46296</v>
      </c>
      <c r="F224" t="inlineStr">
        <is>
          <t>VÄSTMANLANDS LÄN</t>
        </is>
      </c>
      <c r="G224" t="inlineStr">
        <is>
          <t>SKINNSKATTEBERG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46296</v>
      </c>
      <c r="F225" t="inlineStr">
        <is>
          <t>VÄSTMANLANDS LÄN</t>
        </is>
      </c>
      <c r="G225" t="inlineStr">
        <is>
          <t>SKINNSKATTEBERG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46296</v>
      </c>
      <c r="F226" t="inlineStr">
        <is>
          <t>VÄSTMANLANDS LÄN</t>
        </is>
      </c>
      <c r="G226" t="inlineStr">
        <is>
          <t>SKINNSKATTEBERG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46296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46296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45848</v>
      </c>
      <c r="E229" s="1" t="n">
        <v>46296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46296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45853</v>
      </c>
      <c r="E231" s="1" t="n">
        <v>46296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46296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35205-2025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45853</v>
      </c>
      <c r="E233" s="1" t="n">
        <v>46296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46296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43807-2024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45571</v>
      </c>
      <c r="E235" s="1" t="n">
        <v>46296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45407</v>
      </c>
      <c r="E236" s="1" t="n">
        <v>46296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46296</v>
      </c>
      <c r="F237" t="inlineStr">
        <is>
          <t>VÄSTMANLANDS LÄN</t>
        </is>
      </c>
      <c r="G237" t="inlineStr">
        <is>
          <t>SKINNSKATTEBERG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45406</v>
      </c>
      <c r="E238" s="1" t="n">
        <v>46296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46296</v>
      </c>
      <c r="F239" t="inlineStr">
        <is>
          <t>VÄSTMANLANDS LÄN</t>
        </is>
      </c>
      <c r="G239" t="inlineStr">
        <is>
          <t>SKINNSKATTEBERG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46296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46296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46296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51026-2025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45947</v>
      </c>
      <c r="E243" s="1" t="n">
        <v>46296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51028-2025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45947</v>
      </c>
      <c r="E244" s="1" t="n">
        <v>46296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46296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45947</v>
      </c>
      <c r="E246" s="1" t="n">
        <v>46296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45947</v>
      </c>
      <c r="E247" s="1" t="n">
        <v>46296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40776-2025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45897</v>
      </c>
      <c r="E248" s="1" t="n">
        <v>46296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46296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46296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40783-2025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45897</v>
      </c>
      <c r="E251" s="1" t="n">
        <v>46296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40782-2025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45897</v>
      </c>
      <c r="E252" s="1" t="n">
        <v>46296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46296</v>
      </c>
      <c r="F253" t="inlineStr">
        <is>
          <t>VÄSTMANLANDS LÄN</t>
        </is>
      </c>
      <c r="G253" t="inlineStr">
        <is>
          <t>SKINNSKATTEBERG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46296</v>
      </c>
      <c r="F254" t="inlineStr">
        <is>
          <t>VÄSTMANLANDS LÄN</t>
        </is>
      </c>
      <c r="G254" t="inlineStr">
        <is>
          <t>SKINNSKATTEBERG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46296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46296</v>
      </c>
      <c r="F256" t="inlineStr">
        <is>
          <t>VÄSTMANLANDS LÄN</t>
        </is>
      </c>
      <c r="G256" t="inlineStr">
        <is>
          <t>SKINNSKATTEBERG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46296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46296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46296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46296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44184-2025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45915</v>
      </c>
      <c r="E261" s="1" t="n">
        <v>46296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46296</v>
      </c>
      <c r="F262" t="inlineStr">
        <is>
          <t>VÄSTMANLANDS LÄN</t>
        </is>
      </c>
      <c r="G262" t="inlineStr">
        <is>
          <t>SKINNSKATTEBERG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41581-2025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45901</v>
      </c>
      <c r="E263" s="1" t="n">
        <v>46296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46296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45117-2025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46296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45919</v>
      </c>
      <c r="E266" s="1" t="n">
        <v>46296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45119-2025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46296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46296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46296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46296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46296</v>
      </c>
      <c r="F271" t="inlineStr">
        <is>
          <t>VÄSTMANLANDS LÄN</t>
        </is>
      </c>
      <c r="G271" t="inlineStr">
        <is>
          <t>SKINNSKATTEBERG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45973</v>
      </c>
      <c r="E272" s="1" t="n">
        <v>46296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46296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46296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56465-2025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45975</v>
      </c>
      <c r="E275" s="1" t="n">
        <v>46296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46296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46296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46296</v>
      </c>
      <c r="F278" t="inlineStr">
        <is>
          <t>VÄSTMANLANDS LÄN</t>
        </is>
      </c>
      <c r="G278" t="inlineStr">
        <is>
          <t>SKINNSKATTEBERG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19919-2025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45771</v>
      </c>
      <c r="E279" s="1" t="n">
        <v>46296</v>
      </c>
      <c r="F279" t="inlineStr">
        <is>
          <t>VÄSTMANLANDS LÄN</t>
        </is>
      </c>
      <c r="G279" t="inlineStr">
        <is>
          <t>SKINNSKATTEBERG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46296</v>
      </c>
      <c r="F280" t="inlineStr">
        <is>
          <t>VÄSTMANLANDS LÄN</t>
        </is>
      </c>
      <c r="G280" t="inlineStr">
        <is>
          <t>SKINNSKATTEBERG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46296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46296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46296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46296</v>
      </c>
      <c r="F284" t="inlineStr">
        <is>
          <t>VÄSTMANLANDS LÄN</t>
        </is>
      </c>
      <c r="G284" t="inlineStr">
        <is>
          <t>SKINNSKATTEBERG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46296</v>
      </c>
      <c r="F285" t="inlineStr">
        <is>
          <t>VÄSTMANLANDS LÄN</t>
        </is>
      </c>
      <c r="G285" t="inlineStr">
        <is>
          <t>SKINNSKATTEBERG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46296</v>
      </c>
      <c r="F286" t="inlineStr">
        <is>
          <t>VÄSTMANLANDS LÄN</t>
        </is>
      </c>
      <c r="G286" t="inlineStr">
        <is>
          <t>SKINNSKATTEBERG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46296</v>
      </c>
      <c r="F287" t="inlineStr">
        <is>
          <t>VÄSTMANLANDS LÄN</t>
        </is>
      </c>
      <c r="G287" t="inlineStr">
        <is>
          <t>SKINNSKATTEBERG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46296</v>
      </c>
      <c r="F288" t="inlineStr">
        <is>
          <t>VÄSTMANLANDS LÄN</t>
        </is>
      </c>
      <c r="G288" t="inlineStr">
        <is>
          <t>SKINNSKATTEBERG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46051</v>
      </c>
      <c r="E289" s="1" t="n">
        <v>46296</v>
      </c>
      <c r="F289" t="inlineStr">
        <is>
          <t>VÄSTMANLANDS LÄN</t>
        </is>
      </c>
      <c r="G289" t="inlineStr">
        <is>
          <t>SKINNSKATTEBERG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46051</v>
      </c>
      <c r="E290" s="1" t="n">
        <v>46296</v>
      </c>
      <c r="F290" t="inlineStr">
        <is>
          <t>VÄSTMANLANDS LÄN</t>
        </is>
      </c>
      <c r="G290" t="inlineStr">
        <is>
          <t>SKINNSKATTEBERG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46051</v>
      </c>
      <c r="E291" s="1" t="n">
        <v>46296</v>
      </c>
      <c r="F291" t="inlineStr">
        <is>
          <t>VÄSTMANLANDS LÄN</t>
        </is>
      </c>
      <c r="G291" t="inlineStr">
        <is>
          <t>SKINNSKATTEBERG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46296</v>
      </c>
      <c r="F292" t="inlineStr">
        <is>
          <t>VÄSTMANLANDS LÄN</t>
        </is>
      </c>
      <c r="G292" t="inlineStr">
        <is>
          <t>SKINNSKATTEBERG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46296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15955-2026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46108</v>
      </c>
      <c r="E295" s="1" t="n">
        <v>46296</v>
      </c>
      <c r="F295" t="inlineStr">
        <is>
          <t>VÄSTMANLANDS LÄN</t>
        </is>
      </c>
      <c r="G295" t="inlineStr">
        <is>
          <t>SKINNSKATTEBERG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46296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16136-2026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46108</v>
      </c>
      <c r="E297" s="1" t="n">
        <v>46296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46296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46296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46296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46296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46296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46296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46296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46296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19540-2026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46134</v>
      </c>
      <c r="E306" s="1" t="n">
        <v>46296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19541-2026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46134</v>
      </c>
      <c r="E307" s="1" t="n">
        <v>46296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19582-2026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46134</v>
      </c>
      <c r="E308" s="1" t="n">
        <v>46296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45447</v>
      </c>
      <c r="E309" s="1" t="n">
        <v>46296</v>
      </c>
      <c r="F309" t="inlineStr">
        <is>
          <t>VÄSTMANLANDS LÄN</t>
        </is>
      </c>
      <c r="G309" t="inlineStr">
        <is>
          <t>SKINNSKATTEBERG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46296</v>
      </c>
      <c r="F310" t="inlineStr">
        <is>
          <t>VÄSTMANLANDS LÄN</t>
        </is>
      </c>
      <c r="G310" t="inlineStr">
        <is>
          <t>SKINNSKATTEBERG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46296</v>
      </c>
      <c r="F311" t="inlineStr">
        <is>
          <t>VÄSTMANLANDS LÄN</t>
        </is>
      </c>
      <c r="G311" t="inlineStr">
        <is>
          <t>SKINNSKATTEBERG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19943-2026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46296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45586</v>
      </c>
      <c r="E313" s="1" t="n">
        <v>46296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46296</v>
      </c>
      <c r="F314" t="inlineStr">
        <is>
          <t>VÄSTMANLANDS LÄN</t>
        </is>
      </c>
      <c r="G314" t="inlineStr">
        <is>
          <t>SKINNSKATTEBERG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46296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20563-2026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46140</v>
      </c>
      <c r="E316" s="1" t="n">
        <v>46296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46296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46296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46296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46296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46296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46296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46296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46296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46296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46296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22779-2026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46157</v>
      </c>
      <c r="E327" s="1" t="n">
        <v>46296</v>
      </c>
      <c r="F327" t="inlineStr">
        <is>
          <t>VÄSTMANLANDS LÄN</t>
        </is>
      </c>
      <c r="G327" t="inlineStr">
        <is>
          <t>SKINNSKATTEBERG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46296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46296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46296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46296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46296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46296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46296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46296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46296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46296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46296</v>
      </c>
      <c r="F338" t="inlineStr">
        <is>
          <t>VÄSTMANLANDS LÄN</t>
        </is>
      </c>
      <c r="G338" t="inlineStr">
        <is>
          <t>SKINNSKATTEBERG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46296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46296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46177</v>
      </c>
      <c r="E341" s="1" t="n">
        <v>46296</v>
      </c>
      <c r="F341" t="inlineStr">
        <is>
          <t>VÄSTMANLANDS LÄN</t>
        </is>
      </c>
      <c r="G341" t="inlineStr">
        <is>
          <t>SKINNSKATTEBERG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46296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26356-2026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46182</v>
      </c>
      <c r="E343" s="1" t="n">
        <v>46296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46296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46296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46296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46296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46296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46296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46296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46296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46296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46296</v>
      </c>
      <c r="F353" t="inlineStr">
        <is>
          <t>VÄSTMANLANDS LÄN</t>
        </is>
      </c>
      <c r="G353" t="inlineStr">
        <is>
          <t>SKINNSKATTEBERG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46296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46197</v>
      </c>
      <c r="E355" s="1" t="n">
        <v>46296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45393</v>
      </c>
      <c r="E356" s="1" t="n">
        <v>46296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45686</v>
      </c>
      <c r="E357" s="1" t="n">
        <v>46296</v>
      </c>
      <c r="F357" t="inlineStr">
        <is>
          <t>VÄSTMANLANDS LÄN</t>
        </is>
      </c>
      <c r="G357" t="inlineStr">
        <is>
          <t>SKINNSKATTEBERG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46296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46296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46200</v>
      </c>
      <c r="E360" s="1" t="n">
        <v>46296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46200</v>
      </c>
      <c r="E361" s="1" t="n">
        <v>46296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46296</v>
      </c>
      <c r="F363" t="inlineStr">
        <is>
          <t>VÄSTMANLANDS LÄN</t>
        </is>
      </c>
      <c r="G363" t="inlineStr">
        <is>
          <t>SKINNSKATTEBERG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46296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35168-2026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46260</v>
      </c>
      <c r="E365" s="1" t="n">
        <v>46296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46262</v>
      </c>
      <c r="E366" s="1" t="n">
        <v>46296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35582-2026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46262</v>
      </c>
      <c r="E367" s="1" t="n">
        <v>46296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46262</v>
      </c>
      <c r="E368" s="1" t="n">
        <v>46296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46262</v>
      </c>
      <c r="E369" s="1" t="n">
        <v>46296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16394-2024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45407</v>
      </c>
      <c r="E370" s="1" t="n">
        <v>46296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35746-2026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46265</v>
      </c>
      <c r="E371" s="1" t="n">
        <v>46296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46268</v>
      </c>
      <c r="E372" s="1" t="n">
        <v>46296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29026-2026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46199</v>
      </c>
      <c r="E373" s="1" t="n">
        <v>46296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46274</v>
      </c>
      <c r="E374" s="1" t="n">
        <v>46296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46279</v>
      </c>
      <c r="E375" s="1" t="n">
        <v>46296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46296</v>
      </c>
      <c r="F376" t="inlineStr">
        <is>
          <t>VÄSTMANLANDS LÄN</t>
        </is>
      </c>
      <c r="G376" t="inlineStr">
        <is>
          <t>SKINNSKATTEBERG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46296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46296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46296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46244</v>
      </c>
      <c r="E380" s="1" t="n">
        <v>46296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46244</v>
      </c>
      <c r="E381" s="1" t="n">
        <v>46296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46244</v>
      </c>
      <c r="E382" s="1" t="n">
        <v>46296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46244</v>
      </c>
      <c r="E383" s="1" t="n">
        <v>46296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46285</v>
      </c>
      <c r="E384" s="1" t="n">
        <v>46296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46289</v>
      </c>
      <c r="E385" s="1" t="n">
        <v>46296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39863-2026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46290</v>
      </c>
      <c r="E386" s="1" t="n">
        <v>46296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46290</v>
      </c>
      <c r="E387" s="1" t="n">
        <v>46296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46296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33454-2026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46247</v>
      </c>
      <c r="E389" s="1" t="n">
        <v>46296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39866-2026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46290</v>
      </c>
      <c r="E390" s="1" t="n">
        <v>46296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33553-2026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46248</v>
      </c>
      <c r="E391" s="1" t="n">
        <v>46296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46296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46237</v>
      </c>
      <c r="E393" s="1" t="n">
        <v>46296</v>
      </c>
      <c r="F393" t="inlineStr">
        <is>
          <t>VÄSTMANLANDS LÄN</t>
        </is>
      </c>
      <c r="G393" t="inlineStr">
        <is>
          <t>SKINNSKATTEBERG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46296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46296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46296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46296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46296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46296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46296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46296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46296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46296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46296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46296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46296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46296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46296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2026-10-01T01:59:37Z</dcterms:created>
  <dcterms:modified xmlns:dcterms="http://purl.org/dc/terms/" xmlns:xsi="http://www.w3.org/2001/XMLSchema-instance" xsi:type="dcterms:W3CDTF">2026-10-01T01:59:38Z</dcterms:modified>
</cp:coreProperties>
</file>