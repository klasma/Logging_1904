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46256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46256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46256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46256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46256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46256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46256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Fläcknycklar
Revlummer</t>
        </is>
      </c>
      <c r="W11">
        <f>HYPERLINK("https://klasma.github.io/Logging_1904/artfynd/A 18515-2024 artfynd.xlsx", "A 18515-2024")</f>
        <v/>
      </c>
      <c r="X11">
        <f>HYPERLINK("https://klasma.github.io/Logging_1904/kartor/A 18515-2024 karta.png", "A 18515-2024")</f>
        <v/>
      </c>
      <c r="Y11">
        <f>HYPERLINK("https://klasma.github.io/Logging_1904/kartor_geotiff/A 18515-2024 georefererad karta.tif", "A 18515-2024")</f>
        <v/>
      </c>
      <c r="AA11">
        <f>HYPERLINK("https://klasma.github.io/Logging_1904/klagomål/A 18515-2024 FSC-klagomål.docx", "A 18515-2024")</f>
        <v/>
      </c>
      <c r="AB11">
        <f>HYPERLINK("https://klasma.github.io/Logging_1904/klagomålsmail/A 18515-2024 FSC-klagomål mail.docx", "A 18515-2024")</f>
        <v/>
      </c>
      <c r="AC11">
        <f>HYPERLINK("https://klasma.github.io/Logging_1904/tillsyn/A 18515-2024 tillsynsbegäran.docx", "A 18515-2024")</f>
        <v/>
      </c>
      <c r="AD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46256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Rynkskinn
Ullticka
Brandticka</t>
        </is>
      </c>
      <c r="W12">
        <f>HYPERLINK("https://klasma.github.io/Logging_1904/artfynd/A 19656-2025 artfynd.xlsx", "A 19656-2025")</f>
        <v/>
      </c>
      <c r="X12">
        <f>HYPERLINK("https://klasma.github.io/Logging_1904/kartor/A 19656-2025 karta.png", "A 19656-2025")</f>
        <v/>
      </c>
      <c r="Y12">
        <f>HYPERLINK("https://klasma.github.io/Logging_1904/kartor_geotiff/A 19656-2025 georefererad karta.tif", "A 19656-2025")</f>
        <v/>
      </c>
      <c r="AA12">
        <f>HYPERLINK("https://klasma.github.io/Logging_1904/klagomål/A 19656-2025 FSC-klagomål.docx", "A 19656-2025")</f>
        <v/>
      </c>
      <c r="AB12">
        <f>HYPERLINK("https://klasma.github.io/Logging_1904/klagomålsmail/A 19656-2025 FSC-klagomål mail.docx", "A 19656-2025")</f>
        <v/>
      </c>
      <c r="AC12">
        <f>HYPERLINK("https://klasma.github.io/Logging_1904/tillsyn/A 19656-2025 tillsynsbegäran.docx", "A 19656-2025")</f>
        <v/>
      </c>
      <c r="AD12">
        <f>HYPERLINK("https://klasma.github.io/Logging_1904/tillsynsmail/A 19656-2025 tillsynsbegäran mail.docx", "A 19656-2025")</f>
        <v/>
      </c>
    </row>
    <row r="13" ht="15" customHeight="1">
      <c r="A13" t="inlineStr">
        <is>
          <t>A 13715-2024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45390</v>
      </c>
      <c r="E13" s="1" t="n">
        <v>46256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Krusfrö
Järpe
Tjäder</t>
        </is>
      </c>
      <c r="W13">
        <f>HYPERLINK("https://klasma.github.io/Logging_1904/artfynd/A 13715-2024 artfynd.xlsx", "A 13715-2024")</f>
        <v/>
      </c>
      <c r="X13">
        <f>HYPERLINK("https://klasma.github.io/Logging_1904/kartor/A 13715-2024 karta.png", "A 13715-2024")</f>
        <v/>
      </c>
      <c r="Y13">
        <f>HYPERLINK("https://klasma.github.io/Logging_1904/kartor_geotiff/A 13715-2024 georefererad karta.tif", "A 13715-2024")</f>
        <v/>
      </c>
      <c r="AA13">
        <f>HYPERLINK("https://klasma.github.io/Logging_1904/klagomål/A 13715-2024 FSC-klagomål.docx", "A 13715-2024")</f>
        <v/>
      </c>
      <c r="AB13">
        <f>HYPERLINK("https://klasma.github.io/Logging_1904/klagomålsmail/A 13715-2024 FSC-klagomål mail.docx", "A 13715-2024")</f>
        <v/>
      </c>
      <c r="AC13">
        <f>HYPERLINK("https://klasma.github.io/Logging_1904/tillsyn/A 13715-2024 tillsynsbegäran.docx", "A 13715-2024")</f>
        <v/>
      </c>
      <c r="AD13">
        <f>HYPERLINK("https://klasma.github.io/Logging_1904/tillsynsmail/A 13715-2024 tillsynsbegäran mail.docx", "A 13715-2024")</f>
        <v/>
      </c>
      <c r="AE13">
        <f>HYPERLINK("https://klasma.github.io/Logging_1904/fåglar/A 13715-2024 prioriterade fågelarter.docx", "A 13715-2024")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46256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46256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46256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46256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46256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46256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46256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49630-2024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46256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7.3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HYPERLINK("https://klasma.github.io/Logging_1904/artfynd/A 49630-2024 artfynd.xlsx", "A 49630-2024")</f>
        <v/>
      </c>
      <c r="X21">
        <f>HYPERLINK("https://klasma.github.io/Logging_1904/kartor/A 49630-2024 karta.png", "A 49630-2024")</f>
        <v/>
      </c>
      <c r="Y21">
        <f>HYPERLINK("https://klasma.github.io/Logging_1904/kartor_geotiff/A 49630-2024 georefererad karta.tif", "A 49630-2024")</f>
        <v/>
      </c>
      <c r="AA21">
        <f>HYPERLINK("https://klasma.github.io/Logging_1904/klagomål/A 49630-2024 FSC-klagomål.docx", "A 49630-2024")</f>
        <v/>
      </c>
      <c r="AB21">
        <f>HYPERLINK("https://klasma.github.io/Logging_1904/klagomålsmail/A 49630-2024 FSC-klagomål mail.docx", "A 49630-2024")</f>
        <v/>
      </c>
      <c r="AC21">
        <f>HYPERLINK("https://klasma.github.io/Logging_1904/tillsyn/A 49630-2024 tillsynsbegäran.docx", "A 49630-2024")</f>
        <v/>
      </c>
      <c r="AD21">
        <f>HYPERLINK("https://klasma.github.io/Logging_1904/tillsynsmail/A 49630-2024 tillsynsbegäran mail.docx", "A 49630-2024")</f>
        <v/>
      </c>
    </row>
    <row r="22" ht="15" customHeight="1">
      <c r="A22" t="inlineStr">
        <is>
          <t>A 41868-2022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44829</v>
      </c>
      <c r="E22" s="1" t="n">
        <v>46256</v>
      </c>
      <c r="F22" t="inlineStr">
        <is>
          <t>VÄSTMANLANDS LÄN</t>
        </is>
      </c>
      <c r="G22" t="inlineStr">
        <is>
          <t>SKINNSKATTEBERG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HYPERLINK("https://klasma.github.io/Logging_1904/artfynd/A 41868-2022 artfynd.xlsx", "A 41868-2022")</f>
        <v/>
      </c>
      <c r="X22">
        <f>HYPERLINK("https://klasma.github.io/Logging_1904/kartor/A 41868-2022 karta.png", "A 41868-2022")</f>
        <v/>
      </c>
      <c r="Y22">
        <f>HYPERLINK("https://klasma.github.io/Logging_1904/kartor_geotiff/A 41868-2022 georefererad karta.tif", "A 41868-2022")</f>
        <v/>
      </c>
      <c r="AA22">
        <f>HYPERLINK("https://klasma.github.io/Logging_1904/klagomål/A 41868-2022 FSC-klagomål.docx", "A 41868-2022")</f>
        <v/>
      </c>
      <c r="AB22">
        <f>HYPERLINK("https://klasma.github.io/Logging_1904/klagomålsmail/A 41868-2022 FSC-klagomål mail.docx", "A 41868-2022")</f>
        <v/>
      </c>
      <c r="AC22">
        <f>HYPERLINK("https://klasma.github.io/Logging_1904/tillsyn/A 41868-2022 tillsynsbegäran.docx", "A 41868-2022")</f>
        <v/>
      </c>
      <c r="AD22">
        <f>HYPERLINK("https://klasma.github.io/Logging_1904/tillsynsmail/A 41868-2022 tillsynsbegäran mail.docx", "A 41868-2022")</f>
        <v/>
      </c>
    </row>
    <row r="23" ht="15" customHeight="1">
      <c r="A23" t="inlineStr">
        <is>
          <t>A 19205-2024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45428</v>
      </c>
      <c r="E23" s="1" t="n">
        <v>46256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Järpe</t>
        </is>
      </c>
      <c r="W23">
        <f>HYPERLINK("https://klasma.github.io/Logging_1904/artfynd/A 19205-2024 artfynd.xlsx", "A 19205-2024")</f>
        <v/>
      </c>
      <c r="X23">
        <f>HYPERLINK("https://klasma.github.io/Logging_1904/kartor/A 19205-2024 karta.png", "A 19205-2024")</f>
        <v/>
      </c>
      <c r="Y23">
        <f>HYPERLINK("https://klasma.github.io/Logging_1904/kartor_geotiff/A 19205-2024 georefererad karta.tif", "A 19205-2024")</f>
        <v/>
      </c>
      <c r="AA23">
        <f>HYPERLINK("https://klasma.github.io/Logging_1904/klagomål/A 19205-2024 FSC-klagomål.docx", "A 19205-2024")</f>
        <v/>
      </c>
      <c r="AB23">
        <f>HYPERLINK("https://klasma.github.io/Logging_1904/klagomålsmail/A 19205-2024 FSC-klagomål mail.docx", "A 19205-2024")</f>
        <v/>
      </c>
      <c r="AC23">
        <f>HYPERLINK("https://klasma.github.io/Logging_1904/tillsyn/A 19205-2024 tillsynsbegäran.docx", "A 19205-2024")</f>
        <v/>
      </c>
      <c r="AD23">
        <f>HYPERLINK("https://klasma.github.io/Logging_1904/tillsynsmail/A 19205-2024 tillsynsbegäran mail.docx", "A 19205-2024")</f>
        <v/>
      </c>
      <c r="AE23">
        <f>HYPERLINK("https://klasma.github.io/Logging_1904/fåglar/A 19205-2024 prioriterade fågelarter.docx", "A 19205-2024")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46256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46256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12887-2024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45385</v>
      </c>
      <c r="E26" s="1" t="n">
        <v>46256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Sparvuggla</t>
        </is>
      </c>
      <c r="W26">
        <f>HYPERLINK("https://klasma.github.io/Logging_1904/artfynd/A 12887-2024 artfynd.xlsx", "A 12887-2024")</f>
        <v/>
      </c>
      <c r="X26">
        <f>HYPERLINK("https://klasma.github.io/Logging_1904/kartor/A 12887-2024 karta.png", "A 12887-2024")</f>
        <v/>
      </c>
      <c r="Y26">
        <f>HYPERLINK("https://klasma.github.io/Logging_1904/kartor_geotiff/A 12887-2024 georefererad karta.tif", "A 12887-2024")</f>
        <v/>
      </c>
      <c r="AA26">
        <f>HYPERLINK("https://klasma.github.io/Logging_1904/klagomål/A 12887-2024 FSC-klagomål.docx", "A 12887-2024")</f>
        <v/>
      </c>
      <c r="AB26">
        <f>HYPERLINK("https://klasma.github.io/Logging_1904/klagomålsmail/A 12887-2024 FSC-klagomål mail.docx", "A 12887-2024")</f>
        <v/>
      </c>
      <c r="AC26">
        <f>HYPERLINK("https://klasma.github.io/Logging_1904/tillsyn/A 12887-2024 tillsynsbegäran.docx", "A 12887-2024")</f>
        <v/>
      </c>
      <c r="AD26">
        <f>HYPERLINK("https://klasma.github.io/Logging_1904/tillsynsmail/A 12887-2024 tillsynsbegäran mail.docx", "A 12887-2024")</f>
        <v/>
      </c>
      <c r="AE26">
        <f>HYPERLINK("https://klasma.github.io/Logging_1904/fåglar/A 12887-2024 prioriterade fågelarter.docx", "A 12887-2024")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46256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46256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27565-2024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45474</v>
      </c>
      <c r="E29" s="1" t="n">
        <v>46256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Mörk husmossa</t>
        </is>
      </c>
      <c r="W29">
        <f>HYPERLINK("https://klasma.github.io/Logging_1904/artfynd/A 27565-2024 artfynd.xlsx", "A 27565-2024")</f>
        <v/>
      </c>
      <c r="X29">
        <f>HYPERLINK("https://klasma.github.io/Logging_1904/kartor/A 27565-2024 karta.png", "A 27565-2024")</f>
        <v/>
      </c>
      <c r="Y29">
        <f>HYPERLINK("https://klasma.github.io/Logging_1904/kartor_geotiff/A 27565-2024 georefererad karta.tif", "A 27565-2024")</f>
        <v/>
      </c>
      <c r="AA29">
        <f>HYPERLINK("https://klasma.github.io/Logging_1904/klagomål/A 27565-2024 FSC-klagomål.docx", "A 27565-2024")</f>
        <v/>
      </c>
      <c r="AB29">
        <f>HYPERLINK("https://klasma.github.io/Logging_1904/klagomålsmail/A 27565-2024 FSC-klagomål mail.docx", "A 27565-2024")</f>
        <v/>
      </c>
      <c r="AC29">
        <f>HYPERLINK("https://klasma.github.io/Logging_1904/tillsyn/A 27565-2024 tillsynsbegäran.docx", "A 27565-2024")</f>
        <v/>
      </c>
      <c r="AD29">
        <f>HYPERLINK("https://klasma.github.io/Logging_1904/tillsynsmail/A 27565-2024 tillsynsbegäran mail.docx", "A 27565-2024")</f>
        <v/>
      </c>
    </row>
    <row r="30" ht="15" customHeight="1">
      <c r="A30" t="inlineStr">
        <is>
          <t>A 24492-2026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46256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HYPERLINK("https://klasma.github.io/Logging_1904/artfynd/A 24492-2026 artfynd.xlsx", "A 24492-2026")</f>
        <v/>
      </c>
      <c r="X30">
        <f>HYPERLINK("https://klasma.github.io/Logging_1904/kartor/A 24492-2026 karta.png", "A 24492-2026")</f>
        <v/>
      </c>
      <c r="Y30">
        <f>HYPERLINK("https://klasma.github.io/Logging_1904/kartor_geotiff/A 24492-2026 georefererad karta.tif", "A 24492-2026")</f>
        <v/>
      </c>
      <c r="AA30">
        <f>HYPERLINK("https://klasma.github.io/Logging_1904/klagomål/A 24492-2026 FSC-klagomål.docx", "A 24492-2026")</f>
        <v/>
      </c>
      <c r="AB30">
        <f>HYPERLINK("https://klasma.github.io/Logging_1904/klagomålsmail/A 24492-2026 FSC-klagomål mail.docx", "A 24492-2026")</f>
        <v/>
      </c>
      <c r="AC30">
        <f>HYPERLINK("https://klasma.github.io/Logging_1904/tillsyn/A 24492-2026 tillsynsbegäran.docx", "A 24492-2026")</f>
        <v/>
      </c>
      <c r="AD30">
        <f>HYPERLINK("https://klasma.github.io/Logging_1904/tillsynsmail/A 24492-2026 tillsynsbegäran mail.docx", "A 24492-2026")</f>
        <v/>
      </c>
      <c r="AE30">
        <f>HYPERLINK("https://klasma.github.io/Logging_1904/fåglar/A 24492-2026 prioriterade fågelarter.docx", "A 24492-2026")</f>
        <v/>
      </c>
    </row>
    <row r="31" ht="15" customHeight="1">
      <c r="A31" t="inlineStr">
        <is>
          <t>A 24944-2026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8.4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Garnlav</t>
        </is>
      </c>
      <c r="W31">
        <f>HYPERLINK("https://klasma.github.io/Logging_1904/artfynd/A 24944-2026 artfynd.xlsx", "A 24944-2026")</f>
        <v/>
      </c>
      <c r="X31">
        <f>HYPERLINK("https://klasma.github.io/Logging_1904/kartor/A 24944-2026 karta.png", "A 24944-2026")</f>
        <v/>
      </c>
      <c r="Y31">
        <f>HYPERLINK("https://klasma.github.io/Logging_1904/kartor_geotiff/A 24944-2026 georefererad karta.tif", "A 24944-2026")</f>
        <v/>
      </c>
      <c r="AA31">
        <f>HYPERLINK("https://klasma.github.io/Logging_1904/klagomål/A 24944-2026 FSC-klagomål.docx", "A 24944-2026")</f>
        <v/>
      </c>
      <c r="AB31">
        <f>HYPERLINK("https://klasma.github.io/Logging_1904/klagomålsmail/A 24944-2026 FSC-klagomål mail.docx", "A 24944-2026")</f>
        <v/>
      </c>
      <c r="AC31">
        <f>HYPERLINK("https://klasma.github.io/Logging_1904/tillsyn/A 24944-2026 tillsynsbegäran.docx", "A 24944-2026")</f>
        <v/>
      </c>
      <c r="AD31">
        <f>HYPERLINK("https://klasma.github.io/Logging_1904/tillsynsmail/A 24944-2026 tillsynsbegäran mail.docx", "A 24944-2026")</f>
        <v/>
      </c>
    </row>
    <row r="32" ht="15" customHeight="1">
      <c r="A32" t="inlineStr">
        <is>
          <t>A 9491-2024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46256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HYPERLINK("https://klasma.github.io/Logging_1904/artfynd/A 9491-2024 artfynd.xlsx", "A 9491-2024")</f>
        <v/>
      </c>
      <c r="X32">
        <f>HYPERLINK("https://klasma.github.io/Logging_1904/kartor/A 9491-2024 karta.png", "A 9491-2024")</f>
        <v/>
      </c>
      <c r="Y32">
        <f>HYPERLINK("https://klasma.github.io/Logging_1904/kartor_geotiff/A 9491-2024 georefererad karta.tif", "A 9491-2024")</f>
        <v/>
      </c>
      <c r="AA32">
        <f>HYPERLINK("https://klasma.github.io/Logging_1904/klagomål/A 9491-2024 FSC-klagomål.docx", "A 9491-2024")</f>
        <v/>
      </c>
      <c r="AB32">
        <f>HYPERLINK("https://klasma.github.io/Logging_1904/klagomålsmail/A 9491-2024 FSC-klagomål mail.docx", "A 9491-2024")</f>
        <v/>
      </c>
      <c r="AC32">
        <f>HYPERLINK("https://klasma.github.io/Logging_1904/tillsyn/A 9491-2024 tillsynsbegäran.docx", "A 9491-2024")</f>
        <v/>
      </c>
      <c r="AD32">
        <f>HYPERLINK("https://klasma.github.io/Logging_1904/tillsynsmail/A 9491-2024 tillsynsbegäran mail.docx", "A 9491-2024")</f>
        <v/>
      </c>
    </row>
    <row r="33" ht="15" customHeight="1">
      <c r="A33" t="inlineStr">
        <is>
          <t>A 26860-2026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46256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10.3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Kungsörn</t>
        </is>
      </c>
      <c r="W33">
        <f>HYPERLINK("https://klasma.github.io/Logging_1904/artfynd/A 26860-2026 artfynd.xlsx", "A 26860-2026")</f>
        <v/>
      </c>
      <c r="X33">
        <f>HYPERLINK("https://klasma.github.io/Logging_1904/kartor/A 26860-2026 karta.png", "A 26860-2026")</f>
        <v/>
      </c>
      <c r="Y33">
        <f>HYPERLINK("https://klasma.github.io/Logging_1904/kartor_geotiff/A 26860-2026 georefererad karta.tif", "A 26860-2026")</f>
        <v/>
      </c>
      <c r="AA33">
        <f>HYPERLINK("https://klasma.github.io/Logging_1904/klagomål/A 26860-2026 FSC-klagomål.docx", "A 26860-2026")</f>
        <v/>
      </c>
      <c r="AB33">
        <f>HYPERLINK("https://klasma.github.io/Logging_1904/klagomålsmail/A 26860-2026 FSC-klagomål mail.docx", "A 26860-2026")</f>
        <v/>
      </c>
      <c r="AC33">
        <f>HYPERLINK("https://klasma.github.io/Logging_1904/tillsyn/A 26860-2026 tillsynsbegäran.docx", "A 26860-2026")</f>
        <v/>
      </c>
      <c r="AD33">
        <f>HYPERLINK("https://klasma.github.io/Logging_1904/tillsynsmail/A 26860-2026 tillsynsbegäran mail.docx", "A 26860-2026")</f>
        <v/>
      </c>
      <c r="AE33">
        <f>HYPERLINK("https://klasma.github.io/Logging_1904/fåglar/A 26860-2026 prioriterade fågelarter.docx", "A 26860-2026")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46256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46256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23893-2023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46256</v>
      </c>
      <c r="F36" t="inlineStr">
        <is>
          <t>VÄSTMANLANDS LÄN</t>
        </is>
      </c>
      <c r="G36" t="inlineStr">
        <is>
          <t>SKINNSKATTEBERG</t>
        </is>
      </c>
      <c r="I36" t="n">
        <v>1.6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Knärot</t>
        </is>
      </c>
      <c r="W36">
        <f>HYPERLINK("https://klasma.github.io/Logging_1904/artfynd/A 23893-2023 artfynd.xlsx", "A 23893-2023")</f>
        <v/>
      </c>
      <c r="X36">
        <f>HYPERLINK("https://klasma.github.io/Logging_1904/kartor/A 23893-2023 karta.png", "A 23893-2023")</f>
        <v/>
      </c>
      <c r="Y36">
        <f>HYPERLINK("https://klasma.github.io/Logging_1904/kartor_geotiff/A 23893-2023 georefererad karta.tif", "A 23893-2023")</f>
        <v/>
      </c>
      <c r="Z36">
        <f>HYPERLINK("https://klasma.github.io/Logging_1904/knärot/A 23893-2023 karta knärot.png", "A 23893-2023")</f>
        <v/>
      </c>
      <c r="AA36">
        <f>HYPERLINK("https://klasma.github.io/Logging_1904/klagomål/A 23893-2023 FSC-klagomål.docx", "A 23893-2023")</f>
        <v/>
      </c>
      <c r="AB36">
        <f>HYPERLINK("https://klasma.github.io/Logging_1904/klagomålsmail/A 23893-2023 FSC-klagomål mail.docx", "A 23893-2023")</f>
        <v/>
      </c>
      <c r="AC36">
        <f>HYPERLINK("https://klasma.github.io/Logging_1904/tillsyn/A 23893-2023 tillsynsbegäran.docx", "A 23893-2023")</f>
        <v/>
      </c>
      <c r="AD36">
        <f>HYPERLINK("https://klasma.github.io/Logging_1904/tillsynsmail/A 23893-2023 tillsynsbegäran mail.docx", "A 23893-2023")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46256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33435-2024 artfynd.xlsx", "A 33435-2024")</f>
        <v/>
      </c>
      <c r="X37">
        <f>HYPERLINK("https://klasma.github.io/Logging_1904/kartor/A 33435-2024 karta.png", "A 33435-2024")</f>
        <v/>
      </c>
      <c r="Y37">
        <f>HYPERLINK("https://klasma.github.io/Logging_1904/kartor_geotiff/A 33435-2024 georefererad karta.tif", "A 33435-2024")</f>
        <v/>
      </c>
      <c r="AA37">
        <f>HYPERLINK("https://klasma.github.io/Logging_1904/klagomål/A 33435-2024 FSC-klagomål.docx", "A 33435-2024")</f>
        <v/>
      </c>
      <c r="AB37">
        <f>HYPERLINK("https://klasma.github.io/Logging_1904/klagomålsmail/A 33435-2024 FSC-klagomål mail.docx", "A 33435-2024")</f>
        <v/>
      </c>
      <c r="AC37">
        <f>HYPERLINK("https://klasma.github.io/Logging_1904/tillsyn/A 33435-2024 tillsynsbegäran.docx", "A 33435-2024")</f>
        <v/>
      </c>
      <c r="AD37">
        <f>HYPERLINK("https://klasma.github.io/Logging_1904/tillsynsmail/A 33435-2024 tillsynsbegäran mail.docx", "A 33435-2024")</f>
        <v/>
      </c>
      <c r="AE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46256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HYPERLINK("https://klasma.github.io/Logging_1904/artfynd/A 12024-2023 artfynd.xlsx", "A 12024-2023")</f>
        <v/>
      </c>
      <c r="X38">
        <f>HYPERLINK("https://klasma.github.io/Logging_1904/kartor/A 12024-2023 karta.png", "A 12024-2023")</f>
        <v/>
      </c>
      <c r="Y38">
        <f>HYPERLINK("https://klasma.github.io/Logging_1904/kartor_geotiff/A 12024-2023 georefererad karta.tif", "A 12024-2023")</f>
        <v/>
      </c>
      <c r="AA38">
        <f>HYPERLINK("https://klasma.github.io/Logging_1904/klagomål/A 12024-2023 FSC-klagomål.docx", "A 12024-2023")</f>
        <v/>
      </c>
      <c r="AB38">
        <f>HYPERLINK("https://klasma.github.io/Logging_1904/klagomålsmail/A 12024-2023 FSC-klagomål mail.docx", "A 12024-2023")</f>
        <v/>
      </c>
      <c r="AC38">
        <f>HYPERLINK("https://klasma.github.io/Logging_1904/tillsyn/A 12024-2023 tillsynsbegäran.docx", "A 12024-2023")</f>
        <v/>
      </c>
      <c r="AD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46256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34303-2026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46254</v>
      </c>
      <c r="E40" s="1" t="n">
        <v>46256</v>
      </c>
      <c r="F40" t="inlineStr">
        <is>
          <t>VÄSTMANLANDS LÄN</t>
        </is>
      </c>
      <c r="G40" t="inlineStr">
        <is>
          <t>SKINNSKATTEBERG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HYPERLINK("https://klasma.github.io/Logging_1904/artfynd/A 34303-2026 artfynd.xlsx", "A 34303-2026")</f>
        <v/>
      </c>
      <c r="X40">
        <f>HYPERLINK("https://klasma.github.io/Logging_1904/kartor/A 34303-2026 karta.png", "A 34303-2026")</f>
        <v/>
      </c>
      <c r="Y40">
        <f>HYPERLINK("https://klasma.github.io/Logging_1904/kartor_geotiff/A 34303-2026 georefererad karta.tif", "A 34303-2026")</f>
        <v/>
      </c>
      <c r="AA40">
        <f>HYPERLINK("https://klasma.github.io/Logging_1904/klagomål/A 34303-2026 FSC-klagomål.docx", "A 34303-2026")</f>
        <v/>
      </c>
      <c r="AB40">
        <f>HYPERLINK("https://klasma.github.io/Logging_1904/klagomålsmail/A 34303-2026 FSC-klagomål mail.docx", "A 34303-2026")</f>
        <v/>
      </c>
      <c r="AC40">
        <f>HYPERLINK("https://klasma.github.io/Logging_1904/tillsyn/A 34303-2026 tillsynsbegäran.docx", "A 34303-2026")</f>
        <v/>
      </c>
      <c r="AD40">
        <f>HYPERLINK("https://klasma.github.io/Logging_1904/tillsynsmail/A 34303-2026 tillsynsbegäran mail.docx", "A 34303-2026")</f>
        <v/>
      </c>
    </row>
    <row r="41" ht="15" customHeight="1">
      <c r="A41" t="inlineStr">
        <is>
          <t>A 9490-2024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46256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9490-2024 artfynd.xlsx", "A 9490-2024")</f>
        <v/>
      </c>
      <c r="X41">
        <f>HYPERLINK("https://klasma.github.io/Logging_1904/kartor/A 9490-2024 karta.png", "A 9490-2024")</f>
        <v/>
      </c>
      <c r="Y41">
        <f>HYPERLINK("https://klasma.github.io/Logging_1904/kartor_geotiff/A 9490-2024 georefererad karta.tif", "A 9490-2024")</f>
        <v/>
      </c>
      <c r="AA41">
        <f>HYPERLINK("https://klasma.github.io/Logging_1904/klagomål/A 9490-2024 FSC-klagomål.docx", "A 9490-2024")</f>
        <v/>
      </c>
      <c r="AB41">
        <f>HYPERLINK("https://klasma.github.io/Logging_1904/klagomålsmail/A 9490-2024 FSC-klagomål mail.docx", "A 9490-2024")</f>
        <v/>
      </c>
      <c r="AC41">
        <f>HYPERLINK("https://klasma.github.io/Logging_1904/tillsyn/A 9490-2024 tillsynsbegäran.docx", "A 9490-2024")</f>
        <v/>
      </c>
      <c r="AD41">
        <f>HYPERLINK("https://klasma.github.io/Logging_1904/tillsynsmail/A 9490-2024 tillsynsbegäran mail.docx", "A 9490-2024")</f>
        <v/>
      </c>
      <c r="AE41">
        <f>HYPERLINK("https://klasma.github.io/Logging_1904/fåglar/A 9490-2024 prioriterade fågelarter.docx", "A 9490-2024")</f>
        <v/>
      </c>
    </row>
    <row r="42" ht="15" customHeight="1">
      <c r="A42" t="inlineStr">
        <is>
          <t>A 4000-2024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46256</v>
      </c>
      <c r="F42" t="inlineStr">
        <is>
          <t>VÄSTMANLANDS LÄN</t>
        </is>
      </c>
      <c r="G42" t="inlineStr">
        <is>
          <t>SKINNSKATTEBERG</t>
        </is>
      </c>
      <c r="I42" t="n">
        <v>14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Klasefibbla</t>
        </is>
      </c>
      <c r="W42">
        <f>HYPERLINK("https://klasma.github.io/Logging_1904/artfynd/A 4000-2024 artfynd.xlsx", "A 4000-2024")</f>
        <v/>
      </c>
      <c r="X42">
        <f>HYPERLINK("https://klasma.github.io/Logging_1904/kartor/A 4000-2024 karta.png", "A 4000-2024")</f>
        <v/>
      </c>
      <c r="Y42">
        <f>HYPERLINK("https://klasma.github.io/Logging_1904/kartor_geotiff/A 4000-2024 georefererad karta.tif", "A 4000-2024")</f>
        <v/>
      </c>
      <c r="AA42">
        <f>HYPERLINK("https://klasma.github.io/Logging_1904/klagomål/A 4000-2024 FSC-klagomål.docx", "A 4000-2024")</f>
        <v/>
      </c>
      <c r="AB42">
        <f>HYPERLINK("https://klasma.github.io/Logging_1904/klagomålsmail/A 4000-2024 FSC-klagomål mail.docx", "A 4000-2024")</f>
        <v/>
      </c>
      <c r="AC42">
        <f>HYPERLINK("https://klasma.github.io/Logging_1904/tillsyn/A 4000-2024 tillsynsbegäran.docx", "A 4000-2024")</f>
        <v/>
      </c>
      <c r="AD42">
        <f>HYPERLINK("https://klasma.github.io/Logging_1904/tillsynsmail/A 4000-2024 tillsynsbegäran mail.docx", "A 4000-2024")</f>
        <v/>
      </c>
    </row>
    <row r="43" ht="15" customHeight="1">
      <c r="A43" t="inlineStr">
        <is>
          <t>A 20559-2026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46256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HYPERLINK("https://klasma.github.io/Logging_1904/artfynd/A 20559-2026 artfynd.xlsx", "A 20559-2026")</f>
        <v/>
      </c>
      <c r="X43">
        <f>HYPERLINK("https://klasma.github.io/Logging_1904/kartor/A 20559-2026 karta.png", "A 20559-2026")</f>
        <v/>
      </c>
      <c r="Y43">
        <f>HYPERLINK("https://klasma.github.io/Logging_1904/kartor_geotiff/A 20559-2026 georefererad karta.tif", "A 20559-2026")</f>
        <v/>
      </c>
      <c r="AA43">
        <f>HYPERLINK("https://klasma.github.io/Logging_1904/klagomål/A 20559-2026 FSC-klagomål.docx", "A 20559-2026")</f>
        <v/>
      </c>
      <c r="AB43">
        <f>HYPERLINK("https://klasma.github.io/Logging_1904/klagomålsmail/A 20559-2026 FSC-klagomål mail.docx", "A 20559-2026")</f>
        <v/>
      </c>
      <c r="AC43">
        <f>HYPERLINK("https://klasma.github.io/Logging_1904/tillsyn/A 20559-2026 tillsynsbegäran.docx", "A 20559-2026")</f>
        <v/>
      </c>
      <c r="AD43">
        <f>HYPERLINK("https://klasma.github.io/Logging_1904/tillsynsmail/A 20559-2026 tillsynsbegäran mail.docx", "A 20559-2026")</f>
        <v/>
      </c>
      <c r="AE43">
        <f>HYPERLINK("https://klasma.github.io/Logging_1904/fåglar/A 20559-2026 prioriterade fågelarter.docx", "A 20559-2026")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46256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21849-2026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46256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12.5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HYPERLINK("https://klasma.github.io/Logging_1904/artfynd/A 21849-2026 artfynd.xlsx", "A 21849-2026")</f>
        <v/>
      </c>
      <c r="X45">
        <f>HYPERLINK("https://klasma.github.io/Logging_1904/kartor/A 21849-2026 karta.png", "A 21849-2026")</f>
        <v/>
      </c>
      <c r="Y45">
        <f>HYPERLINK("https://klasma.github.io/Logging_1904/kartor_geotiff/A 21849-2026 georefererad karta.tif", "A 21849-2026")</f>
        <v/>
      </c>
      <c r="Z45">
        <f>HYPERLINK("https://klasma.github.io/Logging_1904/knärot/A 21849-2026 karta knärot.png", "A 21849-2026")</f>
        <v/>
      </c>
      <c r="AA45">
        <f>HYPERLINK("https://klasma.github.io/Logging_1904/klagomål/A 21849-2026 FSC-klagomål.docx", "A 21849-2026")</f>
        <v/>
      </c>
      <c r="AB45">
        <f>HYPERLINK("https://klasma.github.io/Logging_1904/klagomålsmail/A 21849-2026 FSC-klagomål mail.docx", "A 21849-2026")</f>
        <v/>
      </c>
      <c r="AC45">
        <f>HYPERLINK("https://klasma.github.io/Logging_1904/tillsyn/A 21849-2026 tillsynsbegäran.docx", "A 21849-2026")</f>
        <v/>
      </c>
      <c r="AD45">
        <f>HYPERLINK("https://klasma.github.io/Logging_1904/tillsynsmail/A 21849-2026 tillsynsbegäran mail.docx", "A 21849-2026")</f>
        <v/>
      </c>
    </row>
    <row r="46" ht="15" customHeight="1">
      <c r="A46" t="inlineStr">
        <is>
          <t>S 3632-2024</t>
        </is>
      </c>
      <c r="B46" t="inlineStr">
        <is>
          <t>samrådsanmälan</t>
        </is>
      </c>
      <c r="C46" t="inlineStr">
        <is>
          <t>Skogsgödsling</t>
        </is>
      </c>
      <c r="D46" s="1" t="n">
        <v>45548</v>
      </c>
      <c r="E46" s="1" t="n">
        <v>46256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196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Tjäder</t>
        </is>
      </c>
      <c r="W46">
        <f>HYPERLINK("https://klasma.github.io/Logging_1904/artfynd/S 3632-2024 artfynd.xlsx", "S 3632-2024")</f>
        <v/>
      </c>
      <c r="X46">
        <f>HYPERLINK("https://klasma.github.io/Logging_1904/kartor/S 3632-2024 karta.png", "S 3632-2024")</f>
        <v/>
      </c>
      <c r="Y46">
        <f>HYPERLINK("https://klasma.github.io/Logging_1904/kartor_geotiff/S 3632-2024 georefererad karta.tif", "S 3632-2024")</f>
        <v/>
      </c>
      <c r="AA46">
        <f>HYPERLINK("https://klasma.github.io/Logging_1904/klagomål/S 3632-2024 FSC-klagomål.docx", "S 3632-2024")</f>
        <v/>
      </c>
      <c r="AB46">
        <f>HYPERLINK("https://klasma.github.io/Logging_1904/klagomålsmail/S 3632-2024 FSC-klagomål mail.docx", "S 3632-2024")</f>
        <v/>
      </c>
      <c r="AC46">
        <f>HYPERLINK("https://klasma.github.io/Logging_1904/tillsyn/S 3632-2024 tillsynsbegäran.docx", "S 3632-2024")</f>
        <v/>
      </c>
      <c r="AD46">
        <f>HYPERLINK("https://klasma.github.io/Logging_1904/tillsynsmail/S 3632-2024 tillsynsbegäran mail.docx", "S 3632-2024")</f>
        <v/>
      </c>
      <c r="AE46">
        <f>HYPERLINK("https://klasma.github.io/Logging_1904/fåglar/S 3632-2024 prioriterade fågelarter.docx", "S 3632-2024")</f>
        <v/>
      </c>
    </row>
    <row r="47" ht="15" customHeight="1">
      <c r="A47" t="inlineStr">
        <is>
          <t>S 1982-2025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45832</v>
      </c>
      <c r="E47" s="1" t="n">
        <v>46256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HYPERLINK("https://klasma.github.io/Logging_1904/artfynd/S 1982-2025 artfynd.xlsx", "S 1982-2025")</f>
        <v/>
      </c>
      <c r="X47">
        <f>HYPERLINK("https://klasma.github.io/Logging_1904/kartor/S 1982-2025 karta.png", "S 1982-2025")</f>
        <v/>
      </c>
      <c r="Y47">
        <f>HYPERLINK("https://klasma.github.io/Logging_1904/kartor_geotiff/S 1982-2025 georefererad karta.tif", "S 1982-2025")</f>
        <v/>
      </c>
      <c r="AA47">
        <f>HYPERLINK("https://klasma.github.io/Logging_1904/klagomål/S 1982-2025 FSC-klagomål.docx", "S 1982-2025")</f>
        <v/>
      </c>
      <c r="AB47">
        <f>HYPERLINK("https://klasma.github.io/Logging_1904/klagomålsmail/S 1982-2025 FSC-klagomål mail.docx", "S 1982-2025")</f>
        <v/>
      </c>
      <c r="AC47">
        <f>HYPERLINK("https://klasma.github.io/Logging_1904/tillsyn/S 1982-2025 tillsynsbegäran.docx", "S 1982-2025")</f>
        <v/>
      </c>
      <c r="AD47">
        <f>HYPERLINK("https://klasma.github.io/Logging_1904/tillsynsmail/S 1982-2025 tillsynsbegäran mail.docx", "S 1982-2025")</f>
        <v/>
      </c>
      <c r="AE47">
        <f>HYPERLINK("https://klasma.github.io/Logging_1904/fåglar/S 1982-2025 prioriterade fågelarter.docx", "S 1982-2025")</f>
        <v/>
      </c>
    </row>
    <row r="48" ht="15" customHeight="1">
      <c r="A48" t="inlineStr">
        <is>
          <t>S 870-2026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46107</v>
      </c>
      <c r="E48" s="1" t="n">
        <v>46256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Koppartaggsvamp</t>
        </is>
      </c>
      <c r="W48">
        <f>HYPERLINK("https://klasma.github.io/Logging_1904/artfynd/S 870-2026 artfynd.xlsx", "S 870-2026")</f>
        <v/>
      </c>
      <c r="X48">
        <f>HYPERLINK("https://klasma.github.io/Logging_1904/kartor/S 870-2026 karta.png", "S 870-2026")</f>
        <v/>
      </c>
      <c r="Y48">
        <f>HYPERLINK("https://klasma.github.io/Logging_1904/kartor_geotiff/S 870-2026 georefererad karta.tif", "S 870-2026")</f>
        <v/>
      </c>
      <c r="AA48">
        <f>HYPERLINK("https://klasma.github.io/Logging_1904/klagomål/S 870-2026 FSC-klagomål.docx", "S 870-2026")</f>
        <v/>
      </c>
      <c r="AB48">
        <f>HYPERLINK("https://klasma.github.io/Logging_1904/klagomålsmail/S 870-2026 FSC-klagomål mail.docx", "S 870-2026")</f>
        <v/>
      </c>
      <c r="AC48">
        <f>HYPERLINK("https://klasma.github.io/Logging_1904/tillsyn/S 870-2026 tillsynsbegäran.docx", "S 870-2026")</f>
        <v/>
      </c>
      <c r="AD48">
        <f>HYPERLINK("https://klasma.github.io/Logging_1904/tillsynsmail/S 870-2026 tillsynsbegäran mail.docx", "S 870-2026")</f>
        <v/>
      </c>
    </row>
    <row r="49" ht="15" customHeight="1">
      <c r="A49" t="inlineStr">
        <is>
          <t>A 33600-2022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44789</v>
      </c>
      <c r="E49" s="1" t="n">
        <v>46256</v>
      </c>
      <c r="F49" t="inlineStr">
        <is>
          <t>VÄSTMANLANDS LÄN</t>
        </is>
      </c>
      <c r="G49" t="inlineStr">
        <is>
          <t>SKINNSKATTEBERG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44545</v>
      </c>
      <c r="E50" s="1" t="n">
        <v>46256</v>
      </c>
      <c r="F50" t="inlineStr">
        <is>
          <t>VÄSTMANLANDS LÄN</t>
        </is>
      </c>
      <c r="G50" t="inlineStr">
        <is>
          <t>SKINNSKATTEBERG</t>
        </is>
      </c>
      <c r="I50" t="n">
        <v>7.9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53454-2022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44879</v>
      </c>
      <c r="E51" s="1" t="n">
        <v>46256</v>
      </c>
      <c r="F51" t="inlineStr">
        <is>
          <t>VÄSTMANLANDS LÄN</t>
        </is>
      </c>
      <c r="G51" t="inlineStr">
        <is>
          <t>SKINNSKATTEBERG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46256</v>
      </c>
      <c r="F52" t="inlineStr">
        <is>
          <t>VÄSTMANLANDS LÄN</t>
        </is>
      </c>
      <c r="G52" t="inlineStr">
        <is>
          <t>SKINNSKATTEBERG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16860-2022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44674</v>
      </c>
      <c r="E53" s="1" t="n">
        <v>46256</v>
      </c>
      <c r="F53" t="inlineStr">
        <is>
          <t>VÄSTMANLANDS LÄN</t>
        </is>
      </c>
      <c r="G53" t="inlineStr">
        <is>
          <t>SKINNSKATTEBERG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46256</v>
      </c>
      <c r="F54" t="inlineStr">
        <is>
          <t>VÄSTMANLANDS LÄN</t>
        </is>
      </c>
      <c r="G54" t="inlineStr">
        <is>
          <t>SKINNSKATTEBERG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69259-2021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46256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44545</v>
      </c>
      <c r="E56" s="1" t="n">
        <v>46256</v>
      </c>
      <c r="F56" t="inlineStr">
        <is>
          <t>VÄSTMANLANDS LÄN</t>
        </is>
      </c>
      <c r="G56" t="inlineStr">
        <is>
          <t>SKINNSKATTEBERG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46256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46256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46256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71996-2021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46256</v>
      </c>
      <c r="F60" t="inlineStr">
        <is>
          <t>VÄSTMANLANDS LÄN</t>
        </is>
      </c>
      <c r="G60" t="inlineStr">
        <is>
          <t>SKINNSKATTEBERG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46256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46256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46256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46256</v>
      </c>
      <c r="F64" t="inlineStr">
        <is>
          <t>VÄSTMANLANDS LÄN</t>
        </is>
      </c>
      <c r="G64" t="inlineStr">
        <is>
          <t>SKINNSKATTEBERG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46256</v>
      </c>
      <c r="F65" t="inlineStr">
        <is>
          <t>VÄSTMANLANDS LÄN</t>
        </is>
      </c>
      <c r="G65" t="inlineStr">
        <is>
          <t>SKINNSKATTEBERG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46256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46256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46256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25846-2025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45804</v>
      </c>
      <c r="E69" s="1" t="n">
        <v>46256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46256</v>
      </c>
      <c r="F70" t="inlineStr">
        <is>
          <t>VÄSTMANLANDS LÄN</t>
        </is>
      </c>
      <c r="G70" t="inlineStr">
        <is>
          <t>SKINNSKATTEBERG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21571-2023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45063</v>
      </c>
      <c r="E71" s="1" t="n">
        <v>46256</v>
      </c>
      <c r="F71" t="inlineStr">
        <is>
          <t>VÄSTMANLANDS LÄN</t>
        </is>
      </c>
      <c r="G71" t="inlineStr">
        <is>
          <t>SKINNSKATTEBERG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46256</v>
      </c>
      <c r="F72" t="inlineStr">
        <is>
          <t>VÄSTMANLANDS LÄN</t>
        </is>
      </c>
      <c r="G72" t="inlineStr">
        <is>
          <t>SKINNSKATTEBERG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45114</v>
      </c>
      <c r="E73" s="1" t="n">
        <v>46256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46256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45480</v>
      </c>
      <c r="E75" s="1" t="n">
        <v>46256</v>
      </c>
      <c r="F75" t="inlineStr">
        <is>
          <t>VÄSTMANLANDS LÄN</t>
        </is>
      </c>
      <c r="G75" t="inlineStr">
        <is>
          <t>SKINNSKATTEBERG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45571</v>
      </c>
      <c r="E76" s="1" t="n">
        <v>46256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45571</v>
      </c>
      <c r="E77" s="1" t="n">
        <v>46256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46256</v>
      </c>
      <c r="F78" t="inlineStr">
        <is>
          <t>VÄSTMANLANDS LÄN</t>
        </is>
      </c>
      <c r="G78" t="inlineStr">
        <is>
          <t>SKINNSKATTEBERG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20248-2024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45434</v>
      </c>
      <c r="E79" s="1" t="n">
        <v>46256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46256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46256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46256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46256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40776-2025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45897</v>
      </c>
      <c r="E84" s="1" t="n">
        <v>46256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46256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46256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40783-2025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46256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40782-2025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45897</v>
      </c>
      <c r="E88" s="1" t="n">
        <v>46256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45410</v>
      </c>
      <c r="E89" s="1" t="n">
        <v>46256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46256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28831-2025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45820</v>
      </c>
      <c r="E91" s="1" t="n">
        <v>46256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33900-2023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45134</v>
      </c>
      <c r="E92" s="1" t="n">
        <v>46256</v>
      </c>
      <c r="F92" t="inlineStr">
        <is>
          <t>VÄSTMANLANDS LÄN</t>
        </is>
      </c>
      <c r="G92" t="inlineStr">
        <is>
          <t>SKINNSKATTEBERG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46256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27329-2023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46256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45820</v>
      </c>
      <c r="E95" s="1" t="n">
        <v>46256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46256</v>
      </c>
      <c r="F96" t="inlineStr">
        <is>
          <t>VÄSTMANLANDS LÄN</t>
        </is>
      </c>
      <c r="G96" t="inlineStr">
        <is>
          <t>SKINNSKATTEBERG</t>
        </is>
      </c>
      <c r="I96" t="n">
        <v>10.4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46256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46256</v>
      </c>
      <c r="F98" t="inlineStr">
        <is>
          <t>VÄSTMANLANDS LÄN</t>
        </is>
      </c>
      <c r="G98" t="inlineStr">
        <is>
          <t>SKINNSKATTEBERG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46256</v>
      </c>
      <c r="F99" t="inlineStr">
        <is>
          <t>VÄSTMANLANDS LÄN</t>
        </is>
      </c>
      <c r="G99" t="inlineStr">
        <is>
          <t>SKINNSKATTEBERG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45376</v>
      </c>
      <c r="E100" s="1" t="n">
        <v>46256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45058</v>
      </c>
      <c r="E101" s="1" t="n">
        <v>46256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29808-2025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45825</v>
      </c>
      <c r="E102" s="1" t="n">
        <v>46256</v>
      </c>
      <c r="F102" t="inlineStr">
        <is>
          <t>VÄSTMANLANDS LÄN</t>
        </is>
      </c>
      <c r="G102" t="inlineStr">
        <is>
          <t>SKINNSKATTEBERG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29810-2025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45825</v>
      </c>
      <c r="E103" s="1" t="n">
        <v>46256</v>
      </c>
      <c r="F103" t="inlineStr">
        <is>
          <t>VÄSTMANLANDS LÄN</t>
        </is>
      </c>
      <c r="G103" t="inlineStr">
        <is>
          <t>SKINNSKATTEBERG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46256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30439-2025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45827</v>
      </c>
      <c r="E105" s="1" t="n">
        <v>46256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46256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46256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45762</v>
      </c>
      <c r="E108" s="1" t="n">
        <v>46256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46256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46256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Kyrkan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46256</v>
      </c>
      <c r="F113" t="inlineStr">
        <is>
          <t>VÄSTMANLANDS LÄN</t>
        </is>
      </c>
      <c r="G113" t="inlineStr">
        <is>
          <t>SKINNSKATTEBERG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46256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46256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44184-2025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45915</v>
      </c>
      <c r="E116" s="1" t="n">
        <v>46256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41581-2025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46256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55229-2023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46256</v>
      </c>
      <c r="F118" t="inlineStr">
        <is>
          <t>VÄSTMANLANDS LÄN</t>
        </is>
      </c>
      <c r="G118" t="inlineStr">
        <is>
          <t>SKINNSKATTEBERG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31234-2025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45832</v>
      </c>
      <c r="E119" s="1" t="n">
        <v>46256</v>
      </c>
      <c r="F119" t="inlineStr">
        <is>
          <t>VÄSTMANLANDS LÄN</t>
        </is>
      </c>
      <c r="G119" t="inlineStr">
        <is>
          <t>SKINNSKATTEBERG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25843-2023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45090</v>
      </c>
      <c r="E120" s="1" t="n">
        <v>46256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46256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46256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46256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46256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46256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46256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46256</v>
      </c>
      <c r="F127" t="inlineStr">
        <is>
          <t>VÄSTMANLANDS LÄN</t>
        </is>
      </c>
      <c r="G127" t="inlineStr">
        <is>
          <t>SKINNSKATTEBERG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46256</v>
      </c>
      <c r="F128" t="inlineStr">
        <is>
          <t>VÄSTMANLANDS LÄN</t>
        </is>
      </c>
      <c r="G128" t="inlineStr">
        <is>
          <t>SKINNSKATTEBERG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46256</v>
      </c>
      <c r="F129" t="inlineStr">
        <is>
          <t>VÄSTMANLANDS LÄN</t>
        </is>
      </c>
      <c r="G129" t="inlineStr">
        <is>
          <t>SKINNSKATTEBERG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46256</v>
      </c>
      <c r="F130" t="inlineStr">
        <is>
          <t>VÄSTMANLANDS LÄN</t>
        </is>
      </c>
      <c r="G130" t="inlineStr">
        <is>
          <t>SKINNSKATTEBERG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46256</v>
      </c>
      <c r="F131" t="inlineStr">
        <is>
          <t>VÄSTMANLANDS LÄN</t>
        </is>
      </c>
      <c r="G131" t="inlineStr">
        <is>
          <t>SKINNSKATTEBERG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46256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46256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46256</v>
      </c>
      <c r="F134" t="inlineStr">
        <is>
          <t>VÄSTMANLANDS LÄN</t>
        </is>
      </c>
      <c r="G134" t="inlineStr">
        <is>
          <t>SKINNSKATTEBERG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30988-2022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44768</v>
      </c>
      <c r="E135" s="1" t="n">
        <v>46256</v>
      </c>
      <c r="F135" t="inlineStr">
        <is>
          <t>VÄSTMANLANDS LÄN</t>
        </is>
      </c>
      <c r="G135" t="inlineStr">
        <is>
          <t>SKINNSKATTEBERG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45244</v>
      </c>
      <c r="E136" s="1" t="n">
        <v>46256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16088-2024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45406</v>
      </c>
      <c r="E137" s="1" t="n">
        <v>46256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46256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46256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60185-2022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44910</v>
      </c>
      <c r="E141" s="1" t="n">
        <v>46256</v>
      </c>
      <c r="F141" t="inlineStr">
        <is>
          <t>VÄSTMANLANDS LÄN</t>
        </is>
      </c>
      <c r="G141" t="inlineStr">
        <is>
          <t>SKINNSKATTEBERG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18161-2024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45420</v>
      </c>
      <c r="E142" s="1" t="n">
        <v>46256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51026-2025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45947</v>
      </c>
      <c r="E143" s="1" t="n">
        <v>46256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45947</v>
      </c>
      <c r="E144" s="1" t="n">
        <v>46256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46256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46256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53145-2021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44468</v>
      </c>
      <c r="E148" s="1" t="n">
        <v>46256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46256</v>
      </c>
      <c r="F149" t="inlineStr">
        <is>
          <t>VÄSTMANLANDS LÄN</t>
        </is>
      </c>
      <c r="G149" t="inlineStr">
        <is>
          <t>SKINNSKATTEBERG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46256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46256</v>
      </c>
      <c r="F151" t="inlineStr">
        <is>
          <t>VÄSTMANLANDS LÄN</t>
        </is>
      </c>
      <c r="G151" t="inlineStr">
        <is>
          <t>SKINNSKATTEBERG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45216</v>
      </c>
      <c r="E152" s="1" t="n">
        <v>46256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46256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46256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55428-2021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44475</v>
      </c>
      <c r="E155" s="1" t="n">
        <v>46256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44469</v>
      </c>
      <c r="E156" s="1" t="n">
        <v>46256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44466</v>
      </c>
      <c r="E157" s="1" t="n">
        <v>46256</v>
      </c>
      <c r="F157" t="inlineStr">
        <is>
          <t>VÄSTMANLANDS LÄN</t>
        </is>
      </c>
      <c r="G157" t="inlineStr">
        <is>
          <t>SKINNSKATTEBERG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46256</v>
      </c>
      <c r="F158" t="inlineStr">
        <is>
          <t>VÄSTMANLANDS LÄN</t>
        </is>
      </c>
      <c r="G158" t="inlineStr">
        <is>
          <t>SKINNSKATTEBERG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46256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45375</v>
      </c>
      <c r="E160" s="1" t="n">
        <v>46256</v>
      </c>
      <c r="F160" t="inlineStr">
        <is>
          <t>VÄSTMANLANDS LÄN</t>
        </is>
      </c>
      <c r="G160" t="inlineStr">
        <is>
          <t>SKINNSKATTEBERG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53183-2021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44468</v>
      </c>
      <c r="E161" s="1" t="n">
        <v>46256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45420</v>
      </c>
      <c r="E162" s="1" t="n">
        <v>46256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46256</v>
      </c>
      <c r="F163" t="inlineStr">
        <is>
          <t>VÄSTMANLANDS LÄN</t>
        </is>
      </c>
      <c r="G163" t="inlineStr">
        <is>
          <t>SKINNSKATTEBERG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46256</v>
      </c>
      <c r="F164" t="inlineStr">
        <is>
          <t>VÄSTMANLANDS LÄN</t>
        </is>
      </c>
      <c r="G164" t="inlineStr">
        <is>
          <t>SKINNSKATTEBERG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20243-2024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45434</v>
      </c>
      <c r="E165" s="1" t="n">
        <v>46256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46256</v>
      </c>
      <c r="F166" t="inlineStr">
        <is>
          <t>VÄSTMANLANDS LÄN</t>
        </is>
      </c>
      <c r="G166" t="inlineStr">
        <is>
          <t>SKINNSKATTEBERG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51508-2021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44462</v>
      </c>
      <c r="E167" s="1" t="n">
        <v>46256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46256</v>
      </c>
      <c r="F168" t="inlineStr">
        <is>
          <t>VÄSTMANLANDS LÄN</t>
        </is>
      </c>
      <c r="G168" t="inlineStr">
        <is>
          <t>SKINNSKATTEBERG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46256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53142-2021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44468</v>
      </c>
      <c r="E170" s="1" t="n">
        <v>46256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46256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46256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46256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46256</v>
      </c>
      <c r="F174" t="inlineStr">
        <is>
          <t>VÄSTMANLANDS LÄN</t>
        </is>
      </c>
      <c r="G174" t="inlineStr">
        <is>
          <t>SKINNSKATTEBERG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46256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46256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46256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46256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46256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45975</v>
      </c>
      <c r="E180" s="1" t="n">
        <v>46256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46256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46256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45686</v>
      </c>
      <c r="E183" s="1" t="n">
        <v>46256</v>
      </c>
      <c r="F183" t="inlineStr">
        <is>
          <t>VÄSTMANLANDS LÄN</t>
        </is>
      </c>
      <c r="G183" t="inlineStr">
        <is>
          <t>SKINNSKATTEBERG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46256</v>
      </c>
      <c r="F184" t="inlineStr">
        <is>
          <t>VÄSTMANLANDS LÄN</t>
        </is>
      </c>
      <c r="G184" t="inlineStr">
        <is>
          <t>SKINNSKATTEBERG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46256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45848</v>
      </c>
      <c r="E186" s="1" t="n">
        <v>46256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46256</v>
      </c>
      <c r="F187" t="inlineStr">
        <is>
          <t>VÄSTMANLANDS LÄN</t>
        </is>
      </c>
      <c r="G187" t="inlineStr">
        <is>
          <t>SKINNSKATTEBERG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45770</v>
      </c>
      <c r="E188" s="1" t="n">
        <v>46256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46256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46256</v>
      </c>
      <c r="F190" t="inlineStr">
        <is>
          <t>VÄSTMANLANDS LÄN</t>
        </is>
      </c>
      <c r="G190" t="inlineStr">
        <is>
          <t>SKINNSKATTEBERG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45571</v>
      </c>
      <c r="E191" s="1" t="n">
        <v>46256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46256</v>
      </c>
      <c r="F192" t="inlineStr">
        <is>
          <t>VÄSTMANLANDS LÄN</t>
        </is>
      </c>
      <c r="G192" t="inlineStr">
        <is>
          <t>SKINNSKATTEBERG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49847-2021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44455</v>
      </c>
      <c r="E193" s="1" t="n">
        <v>46256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45853</v>
      </c>
      <c r="E194" s="1" t="n">
        <v>46256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44803</v>
      </c>
      <c r="E195" s="1" t="n">
        <v>46256</v>
      </c>
      <c r="F195" t="inlineStr">
        <is>
          <t>VÄSTMANLANDS LÄN</t>
        </is>
      </c>
      <c r="G195" t="inlineStr">
        <is>
          <t>SKINNSKATTEBERG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46256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35205-2025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45853</v>
      </c>
      <c r="E197" s="1" t="n">
        <v>46256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46256</v>
      </c>
      <c r="F198" t="inlineStr">
        <is>
          <t>VÄSTMANLANDS LÄN</t>
        </is>
      </c>
      <c r="G198" t="inlineStr">
        <is>
          <t>SKINNSKATTEBERG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46256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46256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46256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46256</v>
      </c>
      <c r="F202" t="inlineStr">
        <is>
          <t>VÄSTMANLANDS LÄN</t>
        </is>
      </c>
      <c r="G202" t="inlineStr">
        <is>
          <t>SKINNSKATTEBERG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46256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46256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46256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45054</v>
      </c>
      <c r="E206" s="1" t="n">
        <v>46256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46256</v>
      </c>
      <c r="F207" t="inlineStr">
        <is>
          <t>VÄSTMANLANDS LÄN</t>
        </is>
      </c>
      <c r="G207" t="inlineStr">
        <is>
          <t>SKINNSKATTEBERG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46256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45245</v>
      </c>
      <c r="E209" s="1" t="n">
        <v>46256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46256</v>
      </c>
      <c r="F210" t="inlineStr">
        <is>
          <t>VÄSTMANLANDS LÄN</t>
        </is>
      </c>
      <c r="G210" t="inlineStr">
        <is>
          <t>SKINNSKATTEBERG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46256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44603</v>
      </c>
      <c r="E212" s="1" t="n">
        <v>46256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Kyrkan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46256</v>
      </c>
      <c r="F213" t="inlineStr">
        <is>
          <t>VÄSTMANLANDS LÄN</t>
        </is>
      </c>
      <c r="G213" t="inlineStr">
        <is>
          <t>SKINNSKATTEBERG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46256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13713-2024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45390</v>
      </c>
      <c r="E215" s="1" t="n">
        <v>46256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46256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46256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45485</v>
      </c>
      <c r="E218" s="1" t="n">
        <v>46256</v>
      </c>
      <c r="F218" t="inlineStr">
        <is>
          <t>VÄSTMANLANDS LÄN</t>
        </is>
      </c>
      <c r="G218" t="inlineStr">
        <is>
          <t>SKINNSKATTEBERG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57747-2023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45246</v>
      </c>
      <c r="E219" s="1" t="n">
        <v>46256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46256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46256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46256</v>
      </c>
      <c r="F222" t="inlineStr">
        <is>
          <t>VÄSTMANLANDS LÄN</t>
        </is>
      </c>
      <c r="G222" t="inlineStr">
        <is>
          <t>SKINNSKATTEBERG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45401</v>
      </c>
      <c r="E223" s="1" t="n">
        <v>46256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46256</v>
      </c>
      <c r="F224" t="inlineStr">
        <is>
          <t>VÄSTMANLANDS LÄN</t>
        </is>
      </c>
      <c r="G224" t="inlineStr">
        <is>
          <t>SKINNSKATTEBERG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46256</v>
      </c>
      <c r="F225" t="inlineStr">
        <is>
          <t>VÄSTMANLANDS LÄN</t>
        </is>
      </c>
      <c r="G225" t="inlineStr">
        <is>
          <t>SKINNSKATTEBERG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46256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46256</v>
      </c>
      <c r="F227" t="inlineStr">
        <is>
          <t>VÄSTMANLANDS LÄN</t>
        </is>
      </c>
      <c r="G227" t="inlineStr">
        <is>
          <t>SKINNSKATTEBERG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46256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46163</v>
      </c>
      <c r="E229" s="1" t="n">
        <v>46256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46256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46256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46256</v>
      </c>
      <c r="F232" t="inlineStr">
        <is>
          <t>VÄSTMANLANDS LÄN</t>
        </is>
      </c>
      <c r="G232" t="inlineStr">
        <is>
          <t>SKINNSKATTEBERG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46256</v>
      </c>
      <c r="F233" t="inlineStr">
        <is>
          <t>VÄSTMANLANDS LÄN</t>
        </is>
      </c>
      <c r="G233" t="inlineStr">
        <is>
          <t>SKINNSKATTEBERG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46051</v>
      </c>
      <c r="E234" s="1" t="n">
        <v>46256</v>
      </c>
      <c r="F234" t="inlineStr">
        <is>
          <t>VÄSTMANLANDS LÄN</t>
        </is>
      </c>
      <c r="G234" t="inlineStr">
        <is>
          <t>SKINNSKATTEBERG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40545-2023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45170</v>
      </c>
      <c r="E235" s="1" t="n">
        <v>46256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46256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46256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46256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46256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46256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46256</v>
      </c>
      <c r="F241" t="inlineStr">
        <is>
          <t>VÄSTMANLANDS LÄN</t>
        </is>
      </c>
      <c r="G241" t="inlineStr">
        <is>
          <t>SKINNSKATTEBERG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46256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46256</v>
      </c>
      <c r="F243" t="inlineStr">
        <is>
          <t>VÄSTMANLANDS LÄN</t>
        </is>
      </c>
      <c r="G243" t="inlineStr">
        <is>
          <t>SKINNSKATTEBERG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46256</v>
      </c>
      <c r="F244" t="inlineStr">
        <is>
          <t>VÄSTMANLANDS LÄN</t>
        </is>
      </c>
      <c r="G244" t="inlineStr">
        <is>
          <t>SKINNSKATTEBERG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46256</v>
      </c>
      <c r="F245" t="inlineStr">
        <is>
          <t>VÄSTMANLANDS LÄN</t>
        </is>
      </c>
      <c r="G245" t="inlineStr">
        <is>
          <t>SKINNSKATTEBERG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46256</v>
      </c>
      <c r="F246" t="inlineStr">
        <is>
          <t>VÄSTMANLANDS LÄN</t>
        </is>
      </c>
      <c r="G246" t="inlineStr">
        <is>
          <t>SKINNSKATTEBERG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45082</v>
      </c>
      <c r="E247" s="1" t="n">
        <v>46256</v>
      </c>
      <c r="F247" t="inlineStr">
        <is>
          <t>VÄSTMANLANDS LÄN</t>
        </is>
      </c>
      <c r="G247" t="inlineStr">
        <is>
          <t>SKINNSKATTEBERG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46256</v>
      </c>
      <c r="F248" t="inlineStr">
        <is>
          <t>VÄSTMANLANDS LÄN</t>
        </is>
      </c>
      <c r="G248" t="inlineStr">
        <is>
          <t>SKINNSKATTEBERG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46256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46256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61181-2021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44498</v>
      </c>
      <c r="E251" s="1" t="n">
        <v>46256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45128</v>
      </c>
      <c r="E252" s="1" t="n">
        <v>46256</v>
      </c>
      <c r="F252" t="inlineStr">
        <is>
          <t>VÄSTMANLANDS LÄN</t>
        </is>
      </c>
      <c r="G252" t="inlineStr">
        <is>
          <t>SKINNSKATTEBERG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46256</v>
      </c>
      <c r="F253" t="inlineStr">
        <is>
          <t>VÄSTMANLANDS LÄN</t>
        </is>
      </c>
      <c r="G253" t="inlineStr">
        <is>
          <t>SKINNSKATTEBERG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46256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46256</v>
      </c>
      <c r="F255" t="inlineStr">
        <is>
          <t>VÄSTMANLANDS LÄN</t>
        </is>
      </c>
      <c r="G255" t="inlineStr">
        <is>
          <t>SKINNSKATTEBERG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26356-2026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46182</v>
      </c>
      <c r="E256" s="1" t="n">
        <v>46256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46256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46256</v>
      </c>
      <c r="F258" t="inlineStr">
        <is>
          <t>VÄSTMANLANDS LÄN</t>
        </is>
      </c>
      <c r="G258" t="inlineStr">
        <is>
          <t>SKINNSKATTEBERG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46256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46256</v>
      </c>
      <c r="F260" t="inlineStr">
        <is>
          <t>VÄSTMANLANDS LÄN</t>
        </is>
      </c>
      <c r="G260" t="inlineStr">
        <is>
          <t>SKINNSKATTEBERG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44965</v>
      </c>
      <c r="E261" s="1" t="n">
        <v>46256</v>
      </c>
      <c r="F261" t="inlineStr">
        <is>
          <t>VÄSTMANLANDS LÄN</t>
        </is>
      </c>
      <c r="G261" t="inlineStr">
        <is>
          <t>SKINNSKATTEBERG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46256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46256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46256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45006</v>
      </c>
      <c r="E265" s="1" t="n">
        <v>46256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Allmännings- och besparingsskogar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46256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45385</v>
      </c>
      <c r="E267" s="1" t="n">
        <v>46256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46256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46256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15561-2024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45401</v>
      </c>
      <c r="E270" s="1" t="n">
        <v>46256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44967</v>
      </c>
      <c r="E271" s="1" t="n">
        <v>46256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46256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45568</v>
      </c>
      <c r="E273" s="1" t="n">
        <v>46256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46256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45643</v>
      </c>
      <c r="E275" s="1" t="n">
        <v>46256</v>
      </c>
      <c r="F275" t="inlineStr">
        <is>
          <t>VÄSTMANLANDS LÄN</t>
        </is>
      </c>
      <c r="G275" t="inlineStr">
        <is>
          <t>SKINNSKATTEBERG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46256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45435</v>
      </c>
      <c r="E277" s="1" t="n">
        <v>46256</v>
      </c>
      <c r="F277" t="inlineStr">
        <is>
          <t>VÄSTMANLANDS LÄN</t>
        </is>
      </c>
      <c r="G277" t="inlineStr">
        <is>
          <t>SKINNSKATTEBERG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46237</v>
      </c>
      <c r="E278" s="1" t="n">
        <v>46256</v>
      </c>
      <c r="F278" t="inlineStr">
        <is>
          <t>VÄSTMANLANDS LÄN</t>
        </is>
      </c>
      <c r="G278" t="inlineStr">
        <is>
          <t>SKINNSKATTEBERG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44995</v>
      </c>
      <c r="E279" s="1" t="n">
        <v>46256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44806</v>
      </c>
      <c r="E280" s="1" t="n">
        <v>46256</v>
      </c>
      <c r="F280" t="inlineStr">
        <is>
          <t>VÄSTMANLANDS LÄN</t>
        </is>
      </c>
      <c r="G280" t="inlineStr">
        <is>
          <t>SKINNSKATTEBERG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46256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46256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15955-2026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46108</v>
      </c>
      <c r="E283" s="1" t="n">
        <v>46256</v>
      </c>
      <c r="F283" t="inlineStr">
        <is>
          <t>VÄSTMANLANDS LÄN</t>
        </is>
      </c>
      <c r="G283" t="inlineStr">
        <is>
          <t>SKINNSKATTEBERG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54657-2022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44883</v>
      </c>
      <c r="E284" s="1" t="n">
        <v>46256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46256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16136-2026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46108</v>
      </c>
      <c r="E286" s="1" t="n">
        <v>46256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46256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46256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46256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46256</v>
      </c>
      <c r="F290" t="inlineStr">
        <is>
          <t>VÄSTMANLANDS LÄN</t>
        </is>
      </c>
      <c r="G290" t="inlineStr">
        <is>
          <t>SKINNSKATTEBERG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46256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46256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46256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66584-2021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44519</v>
      </c>
      <c r="E294" s="1" t="n">
        <v>46256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46256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46256</v>
      </c>
      <c r="F296" t="inlineStr">
        <is>
          <t>VÄSTMANLANDS LÄN</t>
        </is>
      </c>
      <c r="G296" t="inlineStr">
        <is>
          <t>SKINNSKATTEBERG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46256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46256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46256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45393</v>
      </c>
      <c r="E300" s="1" t="n">
        <v>46256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46256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45686</v>
      </c>
      <c r="E302" s="1" t="n">
        <v>46256</v>
      </c>
      <c r="F302" t="inlineStr">
        <is>
          <t>VÄSTMANLANDS LÄN</t>
        </is>
      </c>
      <c r="G302" t="inlineStr">
        <is>
          <t>SKINNSKATTEBERG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45504</v>
      </c>
      <c r="E303" s="1" t="n">
        <v>46256</v>
      </c>
      <c r="F303" t="inlineStr">
        <is>
          <t>VÄSTMANLANDS LÄN</t>
        </is>
      </c>
      <c r="G303" t="inlineStr">
        <is>
          <t>SKINNSKATTEBERG</t>
        </is>
      </c>
      <c r="I303" t="n">
        <v>17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46256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46244</v>
      </c>
      <c r="E305" s="1" t="n">
        <v>46256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46256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46256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46244</v>
      </c>
      <c r="E308" s="1" t="n">
        <v>46256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46200</v>
      </c>
      <c r="E309" s="1" t="n">
        <v>46256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46244</v>
      </c>
      <c r="E310" s="1" t="n">
        <v>46256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46244</v>
      </c>
      <c r="E311" s="1" t="n">
        <v>46256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46200</v>
      </c>
      <c r="E312" s="1" t="n">
        <v>46256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46256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45306</v>
      </c>
      <c r="E314" s="1" t="n">
        <v>46256</v>
      </c>
      <c r="F314" t="inlineStr">
        <is>
          <t>VÄSTMANLANDS LÄN</t>
        </is>
      </c>
      <c r="G314" t="inlineStr">
        <is>
          <t>SKINNSKATTEBERG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46256</v>
      </c>
      <c r="F315" t="inlineStr">
        <is>
          <t>VÄSTMANLANDS LÄN</t>
        </is>
      </c>
      <c r="G315" t="inlineStr">
        <is>
          <t>SKINNSKATTEBERG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46256</v>
      </c>
      <c r="F316" t="inlineStr">
        <is>
          <t>VÄSTMANLANDS LÄN</t>
        </is>
      </c>
      <c r="G316" t="inlineStr">
        <is>
          <t>SKINNSKATTEBERG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19540-2026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46134</v>
      </c>
      <c r="E317" s="1" t="n">
        <v>46256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19541-2026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46134</v>
      </c>
      <c r="E318" s="1" t="n">
        <v>46256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19582-2026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46134</v>
      </c>
      <c r="E319" s="1" t="n">
        <v>46256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46256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29026-2026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46199</v>
      </c>
      <c r="E321" s="1" t="n">
        <v>46256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46247</v>
      </c>
      <c r="E322" s="1" t="n">
        <v>46256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45447</v>
      </c>
      <c r="E323" s="1" t="n">
        <v>46256</v>
      </c>
      <c r="F323" t="inlineStr">
        <is>
          <t>VÄSTMANLANDS LÄN</t>
        </is>
      </c>
      <c r="G323" t="inlineStr">
        <is>
          <t>SKINNSKATTEBERG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15184-2025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45744</v>
      </c>
      <c r="E324" s="1" t="n">
        <v>46256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45174</v>
      </c>
      <c r="E325" s="1" t="n">
        <v>46256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46256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46256</v>
      </c>
      <c r="F327" t="inlineStr">
        <is>
          <t>VÄSTMANLANDS LÄN</t>
        </is>
      </c>
      <c r="G327" t="inlineStr">
        <is>
          <t>SKINNSKATTEBERG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46256</v>
      </c>
      <c r="F328" t="inlineStr">
        <is>
          <t>VÄSTMANLANDS LÄN</t>
        </is>
      </c>
      <c r="G328" t="inlineStr">
        <is>
          <t>SKINNSKATTEBERG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45555</v>
      </c>
      <c r="E329" s="1" t="n">
        <v>46256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46256</v>
      </c>
      <c r="F330" t="inlineStr">
        <is>
          <t>VÄSTMANLANDS LÄN</t>
        </is>
      </c>
      <c r="G330" t="inlineStr">
        <is>
          <t>SKINNSKATTEBERG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46256</v>
      </c>
      <c r="F331" t="inlineStr">
        <is>
          <t>VÄSTMANLANDS LÄN</t>
        </is>
      </c>
      <c r="G331" t="inlineStr">
        <is>
          <t>SKINNSKATTEBERG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45520</v>
      </c>
      <c r="E332" s="1" t="n">
        <v>46256</v>
      </c>
      <c r="F332" t="inlineStr">
        <is>
          <t>VÄSTMANLANDS LÄN</t>
        </is>
      </c>
      <c r="G332" t="inlineStr">
        <is>
          <t>SKINNSKATTEBERG</t>
        </is>
      </c>
      <c r="I332" t="n">
        <v>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44713</v>
      </c>
      <c r="E333" s="1" t="n">
        <v>46256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46256</v>
      </c>
      <c r="F334" t="inlineStr">
        <is>
          <t>VÄSTMANLANDS LÄN</t>
        </is>
      </c>
      <c r="G334" t="inlineStr">
        <is>
          <t>SKINNSKATTEBERG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46256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46256</v>
      </c>
      <c r="F336" t="inlineStr">
        <is>
          <t>VÄSTMANLANDS LÄN</t>
        </is>
      </c>
      <c r="G336" t="inlineStr">
        <is>
          <t>SKINNSKATTEBERG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46256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46256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46256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46256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46256</v>
      </c>
      <c r="F341" t="inlineStr">
        <is>
          <t>VÄSTMANLANDS LÄN</t>
        </is>
      </c>
      <c r="G341" t="inlineStr">
        <is>
          <t>SKINNSKATTEBERG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47137-2024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46256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46256</v>
      </c>
      <c r="F343" t="inlineStr">
        <is>
          <t>VÄSTMANLANDS LÄN</t>
        </is>
      </c>
      <c r="G343" t="inlineStr">
        <is>
          <t>SKINNSKATTEBERG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46256</v>
      </c>
      <c r="F344" t="inlineStr">
        <is>
          <t>VÄSTMANLANDS LÄN</t>
        </is>
      </c>
      <c r="G344" t="inlineStr">
        <is>
          <t>SKINNSKATTEBERG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46256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20563-2026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46140</v>
      </c>
      <c r="E346" s="1" t="n">
        <v>46256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46256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45506</v>
      </c>
      <c r="E348" s="1" t="n">
        <v>46256</v>
      </c>
      <c r="F348" t="inlineStr">
        <is>
          <t>VÄSTMANLANDS LÄN</t>
        </is>
      </c>
      <c r="G348" t="inlineStr">
        <is>
          <t>SKINNSKATTEBERG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20848-2026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46256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20840-2026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46256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46142</v>
      </c>
      <c r="E351" s="1" t="n">
        <v>46256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46256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46256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46256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46256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45170</v>
      </c>
      <c r="E356" s="1" t="n">
        <v>46256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45252</v>
      </c>
      <c r="E357" s="1" t="n">
        <v>46256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45014</v>
      </c>
      <c r="E358" s="1" t="n">
        <v>46256</v>
      </c>
      <c r="F358" t="inlineStr">
        <is>
          <t>VÄSTMANLANDS LÄN</t>
        </is>
      </c>
      <c r="G358" t="inlineStr">
        <is>
          <t>SKINNSKATTEBERG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14736-2023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45014</v>
      </c>
      <c r="E359" s="1" t="n">
        <v>46256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46256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46256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21847-2026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46256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46150</v>
      </c>
      <c r="E363" s="1" t="n">
        <v>46256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45592</v>
      </c>
      <c r="E364" s="1" t="n">
        <v>46256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46256</v>
      </c>
      <c r="F365" t="inlineStr">
        <is>
          <t>VÄSTMANLANDS LÄN</t>
        </is>
      </c>
      <c r="G365" t="inlineStr">
        <is>
          <t>SKINNSKATTEBERG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45777</v>
      </c>
      <c r="E366" s="1" t="n">
        <v>46256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46256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22779-2026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46157</v>
      </c>
      <c r="E368" s="1" t="n">
        <v>46256</v>
      </c>
      <c r="F368" t="inlineStr">
        <is>
          <t>VÄSTMANLANDS LÄN</t>
        </is>
      </c>
      <c r="G368" t="inlineStr">
        <is>
          <t>SKINNSKATTEBERG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45377</v>
      </c>
      <c r="E369" s="1" t="n">
        <v>46256</v>
      </c>
      <c r="F369" t="inlineStr">
        <is>
          <t>VÄSTMANLANDS LÄN</t>
        </is>
      </c>
      <c r="G369" t="inlineStr">
        <is>
          <t>SKINNSKATTEBERG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46256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46256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46256</v>
      </c>
      <c r="F372" t="inlineStr">
        <is>
          <t>VÄSTMANLANDS LÄN</t>
        </is>
      </c>
      <c r="G372" t="inlineStr">
        <is>
          <t>SKINNSKATTEBERG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46256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46256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45480</v>
      </c>
      <c r="E375" s="1" t="n">
        <v>46256</v>
      </c>
      <c r="F375" t="inlineStr">
        <is>
          <t>VÄSTMANLANDS LÄN</t>
        </is>
      </c>
      <c r="G375" t="inlineStr">
        <is>
          <t>SKINNSKATTEBERG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22285-2025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45786</v>
      </c>
      <c r="E376" s="1" t="n">
        <v>46256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45443</v>
      </c>
      <c r="E377" s="1" t="n">
        <v>46256</v>
      </c>
      <c r="F377" t="inlineStr">
        <is>
          <t>VÄSTMANLANDS LÄN</t>
        </is>
      </c>
      <c r="G377" t="inlineStr">
        <is>
          <t>SKINNSKATTEBERG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45527</v>
      </c>
      <c r="E378" s="1" t="n">
        <v>46256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46256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46256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46256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46256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46256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46256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46256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46256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46256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46256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46256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46256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2026-08-22T01:51:07Z</dcterms:created>
  <dcterms:modified xmlns:dcterms="http://purl.org/dc/terms/" xmlns:xsi="http://www.w3.org/2001/XMLSchema-instance" xsi:type="dcterms:W3CDTF">2026-08-22T01:51:08Z</dcterms:modified>
</cp:coreProperties>
</file>