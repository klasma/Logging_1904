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46159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46159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46159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46159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46159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46159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46159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46159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46159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46159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46159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46159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61212-2022</t>
        </is>
      </c>
      <c r="B14" s="1" t="n">
        <v>44908</v>
      </c>
      <c r="C14" s="1" t="n">
        <v>46159</v>
      </c>
      <c r="D14" t="inlineStr">
        <is>
          <t>VÄSTMANLANDS LÄN</t>
        </is>
      </c>
      <c r="E14" t="inlineStr">
        <is>
          <t>SKINNSKATTEBERG</t>
        </is>
      </c>
      <c r="G14" t="n">
        <v>17.4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Kråka
Blåsippa</t>
        </is>
      </c>
      <c r="S14">
        <f>HYPERLINK("https://klasma.github.io/Logging_1904/artfynd/A 61212-2022 artfynd.xlsx", "A 61212-2022")</f>
        <v/>
      </c>
      <c r="T14">
        <f>HYPERLINK("https://klasma.github.io/Logging_1904/kartor/A 61212-2022 karta.png", "A 61212-2022")</f>
        <v/>
      </c>
      <c r="V14">
        <f>HYPERLINK("https://klasma.github.io/Logging_1904/klagomål/A 61212-2022 FSC-klagomål.docx", "A 61212-2022")</f>
        <v/>
      </c>
      <c r="W14">
        <f>HYPERLINK("https://klasma.github.io/Logging_1904/klagomålsmail/A 61212-2022 FSC-klagomål mail.docx", "A 61212-2022")</f>
        <v/>
      </c>
      <c r="X14">
        <f>HYPERLINK("https://klasma.github.io/Logging_1904/tillsyn/A 61212-2022 tillsynsbegäran.docx", "A 61212-2022")</f>
        <v/>
      </c>
      <c r="Y14">
        <f>HYPERLINK("https://klasma.github.io/Logging_1904/tillsynsmail/A 61212-2022 tillsynsbegäran mail.docx", "A 61212-2022")</f>
        <v/>
      </c>
      <c r="Z14">
        <f>HYPERLINK("https://klasma.github.io/Logging_1904/fåglar/A 61212-2022 prioriterade fågelarter.docx", "A 61212-2022")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46159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46159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46159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46159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46159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46159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46159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46159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45430-2025</t>
        </is>
      </c>
      <c r="B23" s="1" t="n">
        <v>45922.45571759259</v>
      </c>
      <c r="C23" s="1" t="n">
        <v>46159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45430-2025 artfynd.xlsx", "A 45430-2025")</f>
        <v/>
      </c>
      <c r="T23">
        <f>HYPERLINK("https://klasma.github.io/Logging_1904/kartor/A 45430-2025 karta.png", "A 45430-2025")</f>
        <v/>
      </c>
      <c r="U23">
        <f>HYPERLINK("https://klasma.github.io/Logging_1904/knärot/A 45430-2025 karta knärot.png", "A 45430-2025")</f>
        <v/>
      </c>
      <c r="V23">
        <f>HYPERLINK("https://klasma.github.io/Logging_1904/klagomål/A 45430-2025 FSC-klagomål.docx", "A 45430-2025")</f>
        <v/>
      </c>
      <c r="W23">
        <f>HYPERLINK("https://klasma.github.io/Logging_1904/klagomålsmail/A 45430-2025 FSC-klagomål mail.docx", "A 45430-2025")</f>
        <v/>
      </c>
      <c r="X23">
        <f>HYPERLINK("https://klasma.github.io/Logging_1904/tillsyn/A 45430-2025 tillsynsbegäran.docx", "A 45430-2025")</f>
        <v/>
      </c>
      <c r="Y23">
        <f>HYPERLINK("https://klasma.github.io/Logging_1904/tillsynsmail/A 45430-2025 tillsynsbegäran mail.docx", "A 45430-2025")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46159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46159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49630-2024</t>
        </is>
      </c>
      <c r="B26" s="1" t="n">
        <v>45596</v>
      </c>
      <c r="C26" s="1" t="n">
        <v>46159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7.3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49630-2024 artfynd.xlsx", "A 49630-2024")</f>
        <v/>
      </c>
      <c r="T26">
        <f>HYPERLINK("https://klasma.github.io/Logging_1904/kartor/A 49630-2024 karta.png", "A 49630-2024")</f>
        <v/>
      </c>
      <c r="V26">
        <f>HYPERLINK("https://klasma.github.io/Logging_1904/klagomål/A 49630-2024 FSC-klagomål.docx", "A 49630-2024")</f>
        <v/>
      </c>
      <c r="W26">
        <f>HYPERLINK("https://klasma.github.io/Logging_1904/klagomålsmail/A 49630-2024 FSC-klagomål mail.docx", "A 49630-2024")</f>
        <v/>
      </c>
      <c r="X26">
        <f>HYPERLINK("https://klasma.github.io/Logging_1904/tillsyn/A 49630-2024 tillsynsbegäran.docx", "A 49630-2024")</f>
        <v/>
      </c>
      <c r="Y26">
        <f>HYPERLINK("https://klasma.github.io/Logging_1904/tillsynsmail/A 49630-2024 tillsynsbegäran mail.docx", "A 49630-2024")</f>
        <v/>
      </c>
    </row>
    <row r="27" ht="15" customHeight="1">
      <c r="A27" t="inlineStr">
        <is>
          <t>A 43413-2024</t>
        </is>
      </c>
      <c r="B27" s="1" t="n">
        <v>45568</v>
      </c>
      <c r="C27" s="1" t="n">
        <v>46159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HYPERLINK("https://klasma.github.io/Logging_1904/artfynd/A 43413-2024 artfynd.xlsx", "A 43413-2024")</f>
        <v/>
      </c>
      <c r="T27">
        <f>HYPERLINK("https://klasma.github.io/Logging_1904/kartor/A 43413-2024 karta.png", "A 43413-2024")</f>
        <v/>
      </c>
      <c r="V27">
        <f>HYPERLINK("https://klasma.github.io/Logging_1904/klagomål/A 43413-2024 FSC-klagomål.docx", "A 43413-2024")</f>
        <v/>
      </c>
      <c r="W27">
        <f>HYPERLINK("https://klasma.github.io/Logging_1904/klagomålsmail/A 43413-2024 FSC-klagomål mail.docx", "A 43413-2024")</f>
        <v/>
      </c>
      <c r="X27">
        <f>HYPERLINK("https://klasma.github.io/Logging_1904/tillsyn/A 43413-2024 tillsynsbegäran.docx", "A 43413-2024")</f>
        <v/>
      </c>
      <c r="Y27">
        <f>HYPERLINK("https://klasma.github.io/Logging_1904/tillsynsmail/A 43413-2024 tillsynsbegäran mail.docx", "A 43413-2024")</f>
        <v/>
      </c>
    </row>
    <row r="28" ht="15" customHeight="1">
      <c r="A28" t="inlineStr">
        <is>
          <t>A 47133-2024</t>
        </is>
      </c>
      <c r="B28" s="1" t="n">
        <v>45586.57997685186</v>
      </c>
      <c r="C28" s="1" t="n">
        <v>46159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47133-2024 artfynd.xlsx", "A 47133-2024")</f>
        <v/>
      </c>
      <c r="T28">
        <f>HYPERLINK("https://klasma.github.io/Logging_1904/kartor/A 47133-2024 karta.png", "A 47133-2024")</f>
        <v/>
      </c>
      <c r="V28">
        <f>HYPERLINK("https://klasma.github.io/Logging_1904/klagomål/A 47133-2024 FSC-klagomål.docx", "A 47133-2024")</f>
        <v/>
      </c>
      <c r="W28">
        <f>HYPERLINK("https://klasma.github.io/Logging_1904/klagomålsmail/A 47133-2024 FSC-klagomål mail.docx", "A 47133-2024")</f>
        <v/>
      </c>
      <c r="X28">
        <f>HYPERLINK("https://klasma.github.io/Logging_1904/tillsyn/A 47133-2024 tillsynsbegäran.docx", "A 47133-2024")</f>
        <v/>
      </c>
      <c r="Y28">
        <f>HYPERLINK("https://klasma.github.io/Logging_1904/tillsynsmail/A 47133-2024 tillsynsbegäran mail.docx", "A 47133-2024")</f>
        <v/>
      </c>
    </row>
    <row r="29" ht="15" customHeight="1">
      <c r="A29" t="inlineStr">
        <is>
          <t>A 19205-2024</t>
        </is>
      </c>
      <c r="B29" s="1" t="n">
        <v>45428.53730324074</v>
      </c>
      <c r="C29" s="1" t="n">
        <v>46159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HYPERLINK("https://klasma.github.io/Logging_1904/artfynd/A 19205-2024 artfynd.xlsx", "A 19205-2024")</f>
        <v/>
      </c>
      <c r="T29">
        <f>HYPERLINK("https://klasma.github.io/Logging_1904/kartor/A 19205-2024 karta.png", "A 19205-2024")</f>
        <v/>
      </c>
      <c r="V29">
        <f>HYPERLINK("https://klasma.github.io/Logging_1904/klagomål/A 19205-2024 FSC-klagomål.docx", "A 19205-2024")</f>
        <v/>
      </c>
      <c r="W29">
        <f>HYPERLINK("https://klasma.github.io/Logging_1904/klagomålsmail/A 19205-2024 FSC-klagomål mail.docx", "A 19205-2024")</f>
        <v/>
      </c>
      <c r="X29">
        <f>HYPERLINK("https://klasma.github.io/Logging_1904/tillsyn/A 19205-2024 tillsynsbegäran.docx", "A 19205-2024")</f>
        <v/>
      </c>
      <c r="Y29">
        <f>HYPERLINK("https://klasma.github.io/Logging_1904/tillsynsmail/A 19205-2024 tillsynsbegäran mail.docx", "A 19205-2024")</f>
        <v/>
      </c>
      <c r="Z29">
        <f>HYPERLINK("https://klasma.github.io/Logging_1904/fåglar/A 19205-2024 prioriterade fågelarter.docx", "A 19205-2024")</f>
        <v/>
      </c>
    </row>
    <row r="30" ht="15" customHeight="1">
      <c r="A30" t="inlineStr">
        <is>
          <t>A 15734-2026</t>
        </is>
      </c>
      <c r="B30" s="1" t="n">
        <v>46107.40643518518</v>
      </c>
      <c r="C30" s="1" t="n">
        <v>46159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Koppartaggsvamp</t>
        </is>
      </c>
      <c r="S30">
        <f>HYPERLINK("https://klasma.github.io/Logging_1904/artfynd/A 15734-2026 artfynd.xlsx", "A 15734-2026")</f>
        <v/>
      </c>
      <c r="T30">
        <f>HYPERLINK("https://klasma.github.io/Logging_1904/kartor/A 15734-2026 karta.png", "A 15734-2026")</f>
        <v/>
      </c>
      <c r="V30">
        <f>HYPERLINK("https://klasma.github.io/Logging_1904/klagomål/A 15734-2026 FSC-klagomål.docx", "A 15734-2026")</f>
        <v/>
      </c>
      <c r="W30">
        <f>HYPERLINK("https://klasma.github.io/Logging_1904/klagomålsmail/A 15734-2026 FSC-klagomål mail.docx", "A 15734-2026")</f>
        <v/>
      </c>
      <c r="X30">
        <f>HYPERLINK("https://klasma.github.io/Logging_1904/tillsyn/A 15734-2026 tillsynsbegäran.docx", "A 15734-2026")</f>
        <v/>
      </c>
      <c r="Y30">
        <f>HYPERLINK("https://klasma.github.io/Logging_1904/tillsynsmail/A 15734-2026 tillsynsbegäran mail.docx", "A 15734-2026")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46159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46159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46159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46159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46159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23574-2025</t>
        </is>
      </c>
      <c r="B36" s="1" t="n">
        <v>45792.61555555555</v>
      </c>
      <c r="C36" s="1" t="n">
        <v>46159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5.4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23574-2025 artfynd.xlsx", "A 23574-2025")</f>
        <v/>
      </c>
      <c r="T36">
        <f>HYPERLINK("https://klasma.github.io/Logging_1904/kartor/A 23574-2025 karta.png", "A 23574-2025")</f>
        <v/>
      </c>
      <c r="V36">
        <f>HYPERLINK("https://klasma.github.io/Logging_1904/klagomål/A 23574-2025 FSC-klagomål.docx", "A 23574-2025")</f>
        <v/>
      </c>
      <c r="W36">
        <f>HYPERLINK("https://klasma.github.io/Logging_1904/klagomålsmail/A 23574-2025 FSC-klagomål mail.docx", "A 23574-2025")</f>
        <v/>
      </c>
      <c r="X36">
        <f>HYPERLINK("https://klasma.github.io/Logging_1904/tillsyn/A 23574-2025 tillsynsbegäran.docx", "A 23574-2025")</f>
        <v/>
      </c>
      <c r="Y36">
        <f>HYPERLINK("https://klasma.github.io/Logging_1904/tillsynsmail/A 23574-2025 tillsynsbegäran mail.docx", "A 23574-2025")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46159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46159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46159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46159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46159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46159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46159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46159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46159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46159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46159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68540-2021</t>
        </is>
      </c>
      <c r="B48" s="1" t="n">
        <v>44529</v>
      </c>
      <c r="C48" s="1" t="n">
        <v>46159</v>
      </c>
      <c r="D48" t="inlineStr">
        <is>
          <t>VÄSTMANLANDS LÄN</t>
        </is>
      </c>
      <c r="E48" t="inlineStr">
        <is>
          <t>SKINNSKATTEBERG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46159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46159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46159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46159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46159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23240-2021</t>
        </is>
      </c>
      <c r="B54" s="1" t="n">
        <v>44333.39509259259</v>
      </c>
      <c r="C54" s="1" t="n">
        <v>46159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46159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46159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46159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47658-2022</t>
        </is>
      </c>
      <c r="B58" s="1" t="n">
        <v>44852</v>
      </c>
      <c r="C58" s="1" t="n">
        <v>46159</v>
      </c>
      <c r="D58" t="inlineStr">
        <is>
          <t>VÄSTMANLANDS LÄN</t>
        </is>
      </c>
      <c r="E58" t="inlineStr">
        <is>
          <t>SKINNSKATTEBERG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69276-2021</t>
        </is>
      </c>
      <c r="B59" s="1" t="n">
        <v>44531</v>
      </c>
      <c r="C59" s="1" t="n">
        <v>46159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23795-2021</t>
        </is>
      </c>
      <c r="B60" s="1" t="n">
        <v>44335.33380787037</v>
      </c>
      <c r="C60" s="1" t="n">
        <v>46159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46469-2021</t>
        </is>
      </c>
      <c r="B61" s="1" t="n">
        <v>44445</v>
      </c>
      <c r="C61" s="1" t="n">
        <v>46159</v>
      </c>
      <c r="D61" t="inlineStr">
        <is>
          <t>VÄSTMANLANDS LÄN</t>
        </is>
      </c>
      <c r="E61" t="inlineStr">
        <is>
          <t>SKINNSKATTEBERG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46159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46159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59417-2021</t>
        </is>
      </c>
      <c r="B64" s="1" t="n">
        <v>44491</v>
      </c>
      <c r="C64" s="1" t="n">
        <v>46159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46159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54510-2024</t>
        </is>
      </c>
      <c r="B66" s="1" t="n">
        <v>45617</v>
      </c>
      <c r="C66" s="1" t="n">
        <v>46159</v>
      </c>
      <c r="D66" t="inlineStr">
        <is>
          <t>VÄSTMANLANDS LÄN</t>
        </is>
      </c>
      <c r="E66" t="inlineStr">
        <is>
          <t>SKINNSKATTEBERG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5001-2024</t>
        </is>
      </c>
      <c r="B67" s="1" t="n">
        <v>45329</v>
      </c>
      <c r="C67" s="1" t="n">
        <v>46159</v>
      </c>
      <c r="D67" t="inlineStr">
        <is>
          <t>VÄSTMANLANDS LÄN</t>
        </is>
      </c>
      <c r="E67" t="inlineStr">
        <is>
          <t>SKINNSKATTEBERG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12094-2024</t>
        </is>
      </c>
      <c r="B68" s="1" t="n">
        <v>45377.57371527778</v>
      </c>
      <c r="C68" s="1" t="n">
        <v>46159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12095-2024</t>
        </is>
      </c>
      <c r="B69" s="1" t="n">
        <v>45377.5744212963</v>
      </c>
      <c r="C69" s="1" t="n">
        <v>46159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46159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47693-2023</t>
        </is>
      </c>
      <c r="B71" s="1" t="n">
        <v>45198</v>
      </c>
      <c r="C71" s="1" t="n">
        <v>46159</v>
      </c>
      <c r="D71" t="inlineStr">
        <is>
          <t>VÄSTMANLANDS LÄN</t>
        </is>
      </c>
      <c r="E71" t="inlineStr">
        <is>
          <t>SKINNSKATTEBERG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4000-2024</t>
        </is>
      </c>
      <c r="B72" s="1" t="n">
        <v>45322</v>
      </c>
      <c r="C72" s="1" t="n">
        <v>46159</v>
      </c>
      <c r="D72" t="inlineStr">
        <is>
          <t>VÄSTMANLANDS LÄN</t>
        </is>
      </c>
      <c r="E72" t="inlineStr">
        <is>
          <t>SKINNSKATTEBERG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56921-2023</t>
        </is>
      </c>
      <c r="B73" s="1" t="n">
        <v>45244</v>
      </c>
      <c r="C73" s="1" t="n">
        <v>46159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32316-2024</t>
        </is>
      </c>
      <c r="B74" s="1" t="n">
        <v>45512.46059027778</v>
      </c>
      <c r="C74" s="1" t="n">
        <v>46159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24427-2023</t>
        </is>
      </c>
      <c r="B75" s="1" t="n">
        <v>45082.48634259259</v>
      </c>
      <c r="C75" s="1" t="n">
        <v>46159</v>
      </c>
      <c r="D75" t="inlineStr">
        <is>
          <t>VÄSTMANLANDS LÄN</t>
        </is>
      </c>
      <c r="E75" t="inlineStr">
        <is>
          <t>SKINNSKATTEBERG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20248-2024</t>
        </is>
      </c>
      <c r="B76" s="1" t="n">
        <v>45434</v>
      </c>
      <c r="C76" s="1" t="n">
        <v>46159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49847-2021</t>
        </is>
      </c>
      <c r="B77" s="1" t="n">
        <v>44455.64971064815</v>
      </c>
      <c r="C77" s="1" t="n">
        <v>46159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18518-2024</t>
        </is>
      </c>
      <c r="B78" s="1" t="n">
        <v>45425.60681712963</v>
      </c>
      <c r="C78" s="1" t="n">
        <v>46159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16393-2024</t>
        </is>
      </c>
      <c r="B79" s="1" t="n">
        <v>45407.62472222222</v>
      </c>
      <c r="C79" s="1" t="n">
        <v>46159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46159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20379-2024</t>
        </is>
      </c>
      <c r="B81" s="1" t="n">
        <v>45435</v>
      </c>
      <c r="C81" s="1" t="n">
        <v>46159</v>
      </c>
      <c r="D81" t="inlineStr">
        <is>
          <t>VÄSTMANLANDS LÄN</t>
        </is>
      </c>
      <c r="E81" t="inlineStr">
        <is>
          <t>SKINNSKATTEBERG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46159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16729-2024</t>
        </is>
      </c>
      <c r="B83" s="1" t="n">
        <v>45410.6364699074</v>
      </c>
      <c r="C83" s="1" t="n">
        <v>46159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37210-2022</t>
        </is>
      </c>
      <c r="B84" s="1" t="n">
        <v>44806.65509259259</v>
      </c>
      <c r="C84" s="1" t="n">
        <v>46159</v>
      </c>
      <c r="D84" t="inlineStr">
        <is>
          <t>VÄSTMANLANDS LÄN</t>
        </is>
      </c>
      <c r="E84" t="inlineStr">
        <is>
          <t>SKINNSKATTEBERG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22591-2024</t>
        </is>
      </c>
      <c r="B85" s="1" t="n">
        <v>45447.60587962963</v>
      </c>
      <c r="C85" s="1" t="n">
        <v>46159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9491-2024</t>
        </is>
      </c>
      <c r="B86" s="1" t="n">
        <v>45359</v>
      </c>
      <c r="C86" s="1" t="n">
        <v>46159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23625-2025</t>
        </is>
      </c>
      <c r="B87" s="1" t="n">
        <v>45792.67484953703</v>
      </c>
      <c r="C87" s="1" t="n">
        <v>46159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28941-2024</t>
        </is>
      </c>
      <c r="B88" s="1" t="n">
        <v>45480</v>
      </c>
      <c r="C88" s="1" t="n">
        <v>46159</v>
      </c>
      <c r="D88" t="inlineStr">
        <is>
          <t>VÄSTMANLANDS LÄN</t>
        </is>
      </c>
      <c r="E88" t="inlineStr">
        <is>
          <t>SKINNSKATTEBERG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22285-2025</t>
        </is>
      </c>
      <c r="B89" s="1" t="n">
        <v>45786</v>
      </c>
      <c r="C89" s="1" t="n">
        <v>46159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27653-2023</t>
        </is>
      </c>
      <c r="B90" s="1" t="n">
        <v>45097.7222337963</v>
      </c>
      <c r="C90" s="1" t="n">
        <v>46159</v>
      </c>
      <c r="D90" t="inlineStr">
        <is>
          <t>VÄSTMANLANDS LÄN</t>
        </is>
      </c>
      <c r="E90" t="inlineStr">
        <is>
          <t>SKINNSKATTEBERG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27565-2024</t>
        </is>
      </c>
      <c r="B91" s="1" t="n">
        <v>45474</v>
      </c>
      <c r="C91" s="1" t="n">
        <v>46159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46159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22079-2024</t>
        </is>
      </c>
      <c r="B93" s="1" t="n">
        <v>45443</v>
      </c>
      <c r="C93" s="1" t="n">
        <v>46159</v>
      </c>
      <c r="D93" t="inlineStr">
        <is>
          <t>VÄSTMANLANDS LÄN</t>
        </is>
      </c>
      <c r="E93" t="inlineStr">
        <is>
          <t>SKINNSKATTEBERG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57984-2023</t>
        </is>
      </c>
      <c r="B94" s="1" t="n">
        <v>45247</v>
      </c>
      <c r="C94" s="1" t="n">
        <v>46159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28058-2024</t>
        </is>
      </c>
      <c r="B95" s="1" t="n">
        <v>45476.56349537037</v>
      </c>
      <c r="C95" s="1" t="n">
        <v>46159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56929-2022</t>
        </is>
      </c>
      <c r="B96" s="1" t="n">
        <v>44894.62520833333</v>
      </c>
      <c r="C96" s="1" t="n">
        <v>46159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35051-2024</t>
        </is>
      </c>
      <c r="B97" s="1" t="n">
        <v>45527</v>
      </c>
      <c r="C97" s="1" t="n">
        <v>46159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46159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46159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29830-2024</t>
        </is>
      </c>
      <c r="B100" s="1" t="n">
        <v>45485.57519675926</v>
      </c>
      <c r="C100" s="1" t="n">
        <v>46159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40901-2021</t>
        </is>
      </c>
      <c r="B101" s="1" t="n">
        <v>44421.48729166666</v>
      </c>
      <c r="C101" s="1" t="n">
        <v>46159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36761-2024</t>
        </is>
      </c>
      <c r="B102" s="1" t="n">
        <v>45538.36081018519</v>
      </c>
      <c r="C102" s="1" t="n">
        <v>46159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39144-2025</t>
        </is>
      </c>
      <c r="B103" s="1" t="n">
        <v>45888.59943287037</v>
      </c>
      <c r="C103" s="1" t="n">
        <v>46159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39148-2025</t>
        </is>
      </c>
      <c r="B104" s="1" t="n">
        <v>45888.60707175926</v>
      </c>
      <c r="C104" s="1" t="n">
        <v>46159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44693-2024</t>
        </is>
      </c>
      <c r="B105" s="1" t="n">
        <v>45574</v>
      </c>
      <c r="C105" s="1" t="n">
        <v>46159</v>
      </c>
      <c r="D105" t="inlineStr">
        <is>
          <t>VÄSTMANLANDS LÄN</t>
        </is>
      </c>
      <c r="E105" t="inlineStr">
        <is>
          <t>SKINNSKATTEBERG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44694-2024</t>
        </is>
      </c>
      <c r="B106" s="1" t="n">
        <v>45574</v>
      </c>
      <c r="C106" s="1" t="n">
        <v>46159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44698-2024</t>
        </is>
      </c>
      <c r="B107" s="1" t="n">
        <v>45574</v>
      </c>
      <c r="C107" s="1" t="n">
        <v>46159</v>
      </c>
      <c r="D107" t="inlineStr">
        <is>
          <t>VÄSTMANLANDS LÄN</t>
        </is>
      </c>
      <c r="E107" t="inlineStr">
        <is>
          <t>SKINNSKATTEBERG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39868-2024</t>
        </is>
      </c>
      <c r="B108" s="1" t="n">
        <v>45553</v>
      </c>
      <c r="C108" s="1" t="n">
        <v>46159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Kyrkan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46159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55428-2021</t>
        </is>
      </c>
      <c r="B110" s="1" t="n">
        <v>44475</v>
      </c>
      <c r="C110" s="1" t="n">
        <v>46159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46159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39691-2025</t>
        </is>
      </c>
      <c r="B112" s="1" t="n">
        <v>45890.67935185185</v>
      </c>
      <c r="C112" s="1" t="n">
        <v>46159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25846-2025</t>
        </is>
      </c>
      <c r="B113" s="1" t="n">
        <v>45804.46195601852</v>
      </c>
      <c r="C113" s="1" t="n">
        <v>46159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25845-2025</t>
        </is>
      </c>
      <c r="B114" s="1" t="n">
        <v>45804</v>
      </c>
      <c r="C114" s="1" t="n">
        <v>46159</v>
      </c>
      <c r="D114" t="inlineStr">
        <is>
          <t>VÄSTMANLANDS LÄN</t>
        </is>
      </c>
      <c r="E114" t="inlineStr">
        <is>
          <t>SKINNSKATTEBERG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19202-2024</t>
        </is>
      </c>
      <c r="B115" s="1" t="n">
        <v>45428.5359837963</v>
      </c>
      <c r="C115" s="1" t="n">
        <v>46159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19203-2024</t>
        </is>
      </c>
      <c r="B116" s="1" t="n">
        <v>45428.53678240741</v>
      </c>
      <c r="C116" s="1" t="n">
        <v>46159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14034-2025</t>
        </is>
      </c>
      <c r="B117" s="1" t="n">
        <v>45740.3633449074</v>
      </c>
      <c r="C117" s="1" t="n">
        <v>46159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40494-2025</t>
        </is>
      </c>
      <c r="B118" s="1" t="n">
        <v>45896.31145833333</v>
      </c>
      <c r="C118" s="1" t="n">
        <v>46159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40495-2025</t>
        </is>
      </c>
      <c r="B119" s="1" t="n">
        <v>45896.31319444445</v>
      </c>
      <c r="C119" s="1" t="n">
        <v>46159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14189-2024</t>
        </is>
      </c>
      <c r="B120" s="1" t="n">
        <v>45393</v>
      </c>
      <c r="C120" s="1" t="n">
        <v>46159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20074-2023</t>
        </is>
      </c>
      <c r="B121" s="1" t="n">
        <v>45054.77178240741</v>
      </c>
      <c r="C121" s="1" t="n">
        <v>46159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40782-2025</t>
        </is>
      </c>
      <c r="B122" s="1" t="n">
        <v>45897.43640046296</v>
      </c>
      <c r="C122" s="1" t="n">
        <v>46159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40783-2025</t>
        </is>
      </c>
      <c r="B123" s="1" t="n">
        <v>45897.43825231482</v>
      </c>
      <c r="C123" s="1" t="n">
        <v>46159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40788-2025</t>
        </is>
      </c>
      <c r="B124" s="1" t="n">
        <v>45897.44625</v>
      </c>
      <c r="C124" s="1" t="n">
        <v>46159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40778-2025</t>
        </is>
      </c>
      <c r="B125" s="1" t="n">
        <v>45897.43260416666</v>
      </c>
      <c r="C125" s="1" t="n">
        <v>46159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40784-2025</t>
        </is>
      </c>
      <c r="B126" s="1" t="n">
        <v>45897.44212962963</v>
      </c>
      <c r="C126" s="1" t="n">
        <v>46159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46159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40795-2025</t>
        </is>
      </c>
      <c r="B128" s="1" t="n">
        <v>45897.44892361111</v>
      </c>
      <c r="C128" s="1" t="n">
        <v>46159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16088-2024</t>
        </is>
      </c>
      <c r="B129" s="1" t="n">
        <v>45406</v>
      </c>
      <c r="C129" s="1" t="n">
        <v>46159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17292-2025</t>
        </is>
      </c>
      <c r="B130" s="1" t="n">
        <v>45756.58886574074</v>
      </c>
      <c r="C130" s="1" t="n">
        <v>46159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46159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50407-2023</t>
        </is>
      </c>
      <c r="B132" s="1" t="n">
        <v>45216.65878472223</v>
      </c>
      <c r="C132" s="1" t="n">
        <v>46159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28940-2024</t>
        </is>
      </c>
      <c r="B133" s="1" t="n">
        <v>45480</v>
      </c>
      <c r="C133" s="1" t="n">
        <v>46159</v>
      </c>
      <c r="D133" t="inlineStr">
        <is>
          <t>VÄSTMANLANDS LÄN</t>
        </is>
      </c>
      <c r="E133" t="inlineStr">
        <is>
          <t>SKINNSKATTEBERG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41575-2025</t>
        </is>
      </c>
      <c r="B134" s="1" t="n">
        <v>45901.61650462963</v>
      </c>
      <c r="C134" s="1" t="n">
        <v>46159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25284-2024</t>
        </is>
      </c>
      <c r="B135" s="1" t="n">
        <v>45462</v>
      </c>
      <c r="C135" s="1" t="n">
        <v>46159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31629-2024</t>
        </is>
      </c>
      <c r="B136" s="1" t="n">
        <v>45506.54628472222</v>
      </c>
      <c r="C136" s="1" t="n">
        <v>46159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40176-2024</t>
        </is>
      </c>
      <c r="B137" s="1" t="n">
        <v>45554.55740740741</v>
      </c>
      <c r="C137" s="1" t="n">
        <v>46159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31302-2024</t>
        </is>
      </c>
      <c r="B138" s="1" t="n">
        <v>45504</v>
      </c>
      <c r="C138" s="1" t="n">
        <v>46159</v>
      </c>
      <c r="D138" t="inlineStr">
        <is>
          <t>VÄSTMANLANDS LÄN</t>
        </is>
      </c>
      <c r="E138" t="inlineStr">
        <is>
          <t>SKINNSKATTEBERG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40549-2024</t>
        </is>
      </c>
      <c r="B139" s="1" t="n">
        <v>45555</v>
      </c>
      <c r="C139" s="1" t="n">
        <v>46159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42309-2025</t>
        </is>
      </c>
      <c r="B140" s="1" t="n">
        <v>45904.65384259259</v>
      </c>
      <c r="C140" s="1" t="n">
        <v>46159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28614-2025</t>
        </is>
      </c>
      <c r="B141" s="1" t="n">
        <v>45819.60548611111</v>
      </c>
      <c r="C141" s="1" t="n">
        <v>46159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28605-2025</t>
        </is>
      </c>
      <c r="B142" s="1" t="n">
        <v>45819.60143518518</v>
      </c>
      <c r="C142" s="1" t="n">
        <v>46159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42429-2025</t>
        </is>
      </c>
      <c r="B143" s="1" t="n">
        <v>45905.42334490741</v>
      </c>
      <c r="C143" s="1" t="n">
        <v>46159</v>
      </c>
      <c r="D143" t="inlineStr">
        <is>
          <t>VÄSTMANLANDS LÄN</t>
        </is>
      </c>
      <c r="E143" t="inlineStr">
        <is>
          <t>SKINNSKATTEBERG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28873-2025</t>
        </is>
      </c>
      <c r="B144" s="1" t="n">
        <v>45820.61237268519</v>
      </c>
      <c r="C144" s="1" t="n">
        <v>46159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28608-2025</t>
        </is>
      </c>
      <c r="B145" s="1" t="n">
        <v>45819.60267361111</v>
      </c>
      <c r="C145" s="1" t="n">
        <v>46159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28613-2025</t>
        </is>
      </c>
      <c r="B146" s="1" t="n">
        <v>45819.60489583333</v>
      </c>
      <c r="C146" s="1" t="n">
        <v>46159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28831-2025</t>
        </is>
      </c>
      <c r="B147" s="1" t="n">
        <v>45820.55424768518</v>
      </c>
      <c r="C147" s="1" t="n">
        <v>46159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28603-2025</t>
        </is>
      </c>
      <c r="B148" s="1" t="n">
        <v>45819.59966435185</v>
      </c>
      <c r="C148" s="1" t="n">
        <v>46159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28606-2025</t>
        </is>
      </c>
      <c r="B149" s="1" t="n">
        <v>45819.60196759259</v>
      </c>
      <c r="C149" s="1" t="n">
        <v>46159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28610-2025</t>
        </is>
      </c>
      <c r="B150" s="1" t="n">
        <v>45819.6034375</v>
      </c>
      <c r="C150" s="1" t="n">
        <v>46159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42433-2025</t>
        </is>
      </c>
      <c r="B151" s="1" t="n">
        <v>45905.42670138889</v>
      </c>
      <c r="C151" s="1" t="n">
        <v>46159</v>
      </c>
      <c r="D151" t="inlineStr">
        <is>
          <t>VÄSTMANLANDS LÄN</t>
        </is>
      </c>
      <c r="E151" t="inlineStr">
        <is>
          <t>SKINNSKATTEBERG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29070-2025</t>
        </is>
      </c>
      <c r="B152" s="1" t="n">
        <v>45821.51143518519</v>
      </c>
      <c r="C152" s="1" t="n">
        <v>46159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29069-2025</t>
        </is>
      </c>
      <c r="B153" s="1" t="n">
        <v>45821.50982638889</v>
      </c>
      <c r="C153" s="1" t="n">
        <v>46159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43190-2025</t>
        </is>
      </c>
      <c r="B154" s="1" t="n">
        <v>45910.41498842592</v>
      </c>
      <c r="C154" s="1" t="n">
        <v>46159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43175-2025</t>
        </is>
      </c>
      <c r="B155" s="1" t="n">
        <v>45910.4034837963</v>
      </c>
      <c r="C155" s="1" t="n">
        <v>46159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43185-2025</t>
        </is>
      </c>
      <c r="B156" s="1" t="n">
        <v>45910.4111574074</v>
      </c>
      <c r="C156" s="1" t="n">
        <v>46159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2606-2026</t>
        </is>
      </c>
      <c r="B157" s="1" t="n">
        <v>46037.57989583333</v>
      </c>
      <c r="C157" s="1" t="n">
        <v>46159</v>
      </c>
      <c r="D157" t="inlineStr">
        <is>
          <t>VÄSTMANLANDS LÄN</t>
        </is>
      </c>
      <c r="E157" t="inlineStr">
        <is>
          <t>SKINNSKATTEBERG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29876-2025</t>
        </is>
      </c>
      <c r="B158" s="1" t="n">
        <v>45826.36166666666</v>
      </c>
      <c r="C158" s="1" t="n">
        <v>46159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2609-2026</t>
        </is>
      </c>
      <c r="B159" s="1" t="n">
        <v>46037.58167824074</v>
      </c>
      <c r="C159" s="1" t="n">
        <v>46159</v>
      </c>
      <c r="D159" t="inlineStr">
        <is>
          <t>VÄSTMANLANDS LÄN</t>
        </is>
      </c>
      <c r="E159" t="inlineStr">
        <is>
          <t>SKINNSKATTEBERG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29808-2025</t>
        </is>
      </c>
      <c r="B160" s="1" t="n">
        <v>45825.74498842593</v>
      </c>
      <c r="C160" s="1" t="n">
        <v>46159</v>
      </c>
      <c r="D160" t="inlineStr">
        <is>
          <t>VÄSTMANLANDS LÄN</t>
        </is>
      </c>
      <c r="E160" t="inlineStr">
        <is>
          <t>SKINNSKATTEBERG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29810-2025</t>
        </is>
      </c>
      <c r="B161" s="1" t="n">
        <v>45825.76006944444</v>
      </c>
      <c r="C161" s="1" t="n">
        <v>46159</v>
      </c>
      <c r="D161" t="inlineStr">
        <is>
          <t>VÄSTMANLANDS LÄN</t>
        </is>
      </c>
      <c r="E161" t="inlineStr">
        <is>
          <t>SKINNSKATTEBERG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46159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46159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46159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46159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6943-2023</t>
        </is>
      </c>
      <c r="B166" s="1" t="n">
        <v>44967</v>
      </c>
      <c r="C166" s="1" t="n">
        <v>46159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30436-2025</t>
        </is>
      </c>
      <c r="B167" s="1" t="n">
        <v>45827.639375</v>
      </c>
      <c r="C167" s="1" t="n">
        <v>46159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30439-2025</t>
        </is>
      </c>
      <c r="B168" s="1" t="n">
        <v>45827</v>
      </c>
      <c r="C168" s="1" t="n">
        <v>46159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44174-2025</t>
        </is>
      </c>
      <c r="B169" s="1" t="n">
        <v>45915.60364583333</v>
      </c>
      <c r="C169" s="1" t="n">
        <v>46159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44175-2025</t>
        </is>
      </c>
      <c r="B170" s="1" t="n">
        <v>45915.60597222222</v>
      </c>
      <c r="C170" s="1" t="n">
        <v>46159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41581-2025</t>
        </is>
      </c>
      <c r="B171" s="1" t="n">
        <v>45901.62226851852</v>
      </c>
      <c r="C171" s="1" t="n">
        <v>46159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44188-2025</t>
        </is>
      </c>
      <c r="B172" s="1" t="n">
        <v>45915.61349537037</v>
      </c>
      <c r="C172" s="1" t="n">
        <v>46159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30379-2025</t>
        </is>
      </c>
      <c r="B173" s="1" t="n">
        <v>45827.56777777777</v>
      </c>
      <c r="C173" s="1" t="n">
        <v>46159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30161-2025</t>
        </is>
      </c>
      <c r="B174" s="1" t="n">
        <v>45827.32541666667</v>
      </c>
      <c r="C174" s="1" t="n">
        <v>46159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58987-2023</t>
        </is>
      </c>
      <c r="B175" s="1" t="n">
        <v>45252.6237962963</v>
      </c>
      <c r="C175" s="1" t="n">
        <v>46159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47141-2024</t>
        </is>
      </c>
      <c r="B176" s="1" t="n">
        <v>45586.58811342593</v>
      </c>
      <c r="C176" s="1" t="n">
        <v>46159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46870-2024</t>
        </is>
      </c>
      <c r="B177" s="1" t="n">
        <v>45583.63666666667</v>
      </c>
      <c r="C177" s="1" t="n">
        <v>46159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30885-2025</t>
        </is>
      </c>
      <c r="B178" s="1" t="n">
        <v>45832.34569444445</v>
      </c>
      <c r="C178" s="1" t="n">
        <v>46159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45015-2025</t>
        </is>
      </c>
      <c r="B179" s="1" t="n">
        <v>45918.67474537037</v>
      </c>
      <c r="C179" s="1" t="n">
        <v>46159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8218-2023</t>
        </is>
      </c>
      <c r="B180" s="1" t="n">
        <v>44974.56199074074</v>
      </c>
      <c r="C180" s="1" t="n">
        <v>46159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30873-2025</t>
        </is>
      </c>
      <c r="B181" s="1" t="n">
        <v>45832.34391203704</v>
      </c>
      <c r="C181" s="1" t="n">
        <v>46159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45119-2025</t>
        </is>
      </c>
      <c r="B182" s="1" t="n">
        <v>45919.4278125</v>
      </c>
      <c r="C182" s="1" t="n">
        <v>46159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45126-2025</t>
        </is>
      </c>
      <c r="B183" s="1" t="n">
        <v>45919.43328703703</v>
      </c>
      <c r="C183" s="1" t="n">
        <v>46159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31011-2025</t>
        </is>
      </c>
      <c r="B184" s="1" t="n">
        <v>45832.50582175926</v>
      </c>
      <c r="C184" s="1" t="n">
        <v>46159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46159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45121-2025</t>
        </is>
      </c>
      <c r="B186" s="1" t="n">
        <v>45919.42916666667</v>
      </c>
      <c r="C186" s="1" t="n">
        <v>46159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46159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46159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31234-2025</t>
        </is>
      </c>
      <c r="B189" s="1" t="n">
        <v>45832.83354166667</v>
      </c>
      <c r="C189" s="1" t="n">
        <v>46159</v>
      </c>
      <c r="D189" t="inlineStr">
        <is>
          <t>VÄSTMANLANDS LÄN</t>
        </is>
      </c>
      <c r="E189" t="inlineStr">
        <is>
          <t>SKINNSKATTEBERG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45428-2025</t>
        </is>
      </c>
      <c r="B190" s="1" t="n">
        <v>45922.45440972222</v>
      </c>
      <c r="C190" s="1" t="n">
        <v>46159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54296-2023</t>
        </is>
      </c>
      <c r="B191" s="1" t="n">
        <v>45232</v>
      </c>
      <c r="C191" s="1" t="n">
        <v>46159</v>
      </c>
      <c r="D191" t="inlineStr">
        <is>
          <t>VÄSTMANLANDS LÄN</t>
        </is>
      </c>
      <c r="E191" t="inlineStr">
        <is>
          <t>SKINNSKATTEBERG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46281-2025</t>
        </is>
      </c>
      <c r="B192" s="1" t="n">
        <v>45925.37690972222</v>
      </c>
      <c r="C192" s="1" t="n">
        <v>46159</v>
      </c>
      <c r="D192" t="inlineStr">
        <is>
          <t>VÄSTMANLANDS LÄN</t>
        </is>
      </c>
      <c r="E192" t="inlineStr">
        <is>
          <t>SKINNSKATTEBERG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37342-2023</t>
        </is>
      </c>
      <c r="B193" s="1" t="n">
        <v>45156.45701388889</v>
      </c>
      <c r="C193" s="1" t="n">
        <v>46159</v>
      </c>
      <c r="D193" t="inlineStr">
        <is>
          <t>VÄSTMANLANDS LÄN</t>
        </is>
      </c>
      <c r="E193" t="inlineStr">
        <is>
          <t>SKINNSKATTEBERG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52570-2024</t>
        </is>
      </c>
      <c r="B194" s="1" t="n">
        <v>45609</v>
      </c>
      <c r="C194" s="1" t="n">
        <v>46159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5704-2026</t>
        </is>
      </c>
      <c r="B195" s="1" t="n">
        <v>46051</v>
      </c>
      <c r="C195" s="1" t="n">
        <v>46159</v>
      </c>
      <c r="D195" t="inlineStr">
        <is>
          <t>VÄSTMANLANDS LÄN</t>
        </is>
      </c>
      <c r="E195" t="inlineStr">
        <is>
          <t>SKINNSKATTEBERG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5693-2026</t>
        </is>
      </c>
      <c r="B196" s="1" t="n">
        <v>46051</v>
      </c>
      <c r="C196" s="1" t="n">
        <v>46159</v>
      </c>
      <c r="D196" t="inlineStr">
        <is>
          <t>VÄSTMANLANDS LÄN</t>
        </is>
      </c>
      <c r="E196" t="inlineStr">
        <is>
          <t>SKINNSKATTEBERG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5675-2026</t>
        </is>
      </c>
      <c r="B197" s="1" t="n">
        <v>46051</v>
      </c>
      <c r="C197" s="1" t="n">
        <v>46159</v>
      </c>
      <c r="D197" t="inlineStr">
        <is>
          <t>VÄSTMANLANDS LÄN</t>
        </is>
      </c>
      <c r="E197" t="inlineStr">
        <is>
          <t>SKINNSKATTEBERG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40998-2024</t>
        </is>
      </c>
      <c r="B198" s="1" t="n">
        <v>45558</v>
      </c>
      <c r="C198" s="1" t="n">
        <v>46159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47541-2025</t>
        </is>
      </c>
      <c r="B199" s="1" t="n">
        <v>45931.35510416667</v>
      </c>
      <c r="C199" s="1" t="n">
        <v>46159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47543-2025</t>
        </is>
      </c>
      <c r="B200" s="1" t="n">
        <v>45931.35840277778</v>
      </c>
      <c r="C200" s="1" t="n">
        <v>46159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47538-2025</t>
        </is>
      </c>
      <c r="B201" s="1" t="n">
        <v>45931.3474074074</v>
      </c>
      <c r="C201" s="1" t="n">
        <v>46159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47539-2025</t>
        </is>
      </c>
      <c r="B202" s="1" t="n">
        <v>45931.34961805555</v>
      </c>
      <c r="C202" s="1" t="n">
        <v>46159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47540-2025</t>
        </is>
      </c>
      <c r="B203" s="1" t="n">
        <v>45931.35269675926</v>
      </c>
      <c r="C203" s="1" t="n">
        <v>46159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46159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59717-2023</t>
        </is>
      </c>
      <c r="B205" s="1" t="n">
        <v>45257.33018518519</v>
      </c>
      <c r="C205" s="1" t="n">
        <v>46159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54439-2024</t>
        </is>
      </c>
      <c r="B206" s="1" t="n">
        <v>45617.50194444445</v>
      </c>
      <c r="C206" s="1" t="n">
        <v>46159</v>
      </c>
      <c r="D206" t="inlineStr">
        <is>
          <t>VÄSTMANLANDS LÄN</t>
        </is>
      </c>
      <c r="E206" t="inlineStr">
        <is>
          <t>SKINNSKATTEBERG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15184-2025</t>
        </is>
      </c>
      <c r="B207" s="1" t="n">
        <v>45744.54480324074</v>
      </c>
      <c r="C207" s="1" t="n">
        <v>46159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40174-2024</t>
        </is>
      </c>
      <c r="B208" s="1" t="n">
        <v>45554.55488425926</v>
      </c>
      <c r="C208" s="1" t="n">
        <v>46159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6601-2026</t>
        </is>
      </c>
      <c r="B209" s="1" t="n">
        <v>46056.46806712963</v>
      </c>
      <c r="C209" s="1" t="n">
        <v>46159</v>
      </c>
      <c r="D209" t="inlineStr">
        <is>
          <t>VÄSTMANLANDS LÄN</t>
        </is>
      </c>
      <c r="E209" t="inlineStr">
        <is>
          <t>SKINNSKATTEBERG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49022-2025</t>
        </is>
      </c>
      <c r="B210" s="1" t="n">
        <v>45937.61589120371</v>
      </c>
      <c r="C210" s="1" t="n">
        <v>46159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49018-2025</t>
        </is>
      </c>
      <c r="B211" s="1" t="n">
        <v>45937.61268518519</v>
      </c>
      <c r="C211" s="1" t="n">
        <v>46159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49019-2025</t>
        </is>
      </c>
      <c r="B212" s="1" t="n">
        <v>45937.61363425926</v>
      </c>
      <c r="C212" s="1" t="n">
        <v>46159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52532-2024</t>
        </is>
      </c>
      <c r="B213" s="1" t="n">
        <v>45609.61686342592</v>
      </c>
      <c r="C213" s="1" t="n">
        <v>46159</v>
      </c>
      <c r="D213" t="inlineStr">
        <is>
          <t>VÄSTMANLANDS LÄN</t>
        </is>
      </c>
      <c r="E213" t="inlineStr">
        <is>
          <t>SKINNSKATTEBERG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49013-2025</t>
        </is>
      </c>
      <c r="B214" s="1" t="n">
        <v>45937.61035879629</v>
      </c>
      <c r="C214" s="1" t="n">
        <v>46159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35204-2025</t>
        </is>
      </c>
      <c r="B215" s="1" t="n">
        <v>45853.41648148148</v>
      </c>
      <c r="C215" s="1" t="n">
        <v>46159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35205-2025</t>
        </is>
      </c>
      <c r="B216" s="1" t="n">
        <v>45853</v>
      </c>
      <c r="C216" s="1" t="n">
        <v>46159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46159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50672-2025</t>
        </is>
      </c>
      <c r="B218" s="1" t="n">
        <v>45945.72582175926</v>
      </c>
      <c r="C218" s="1" t="n">
        <v>46159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11494-2023</t>
        </is>
      </c>
      <c r="B219" s="1" t="n">
        <v>44993</v>
      </c>
      <c r="C219" s="1" t="n">
        <v>46159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38521-2023</t>
        </is>
      </c>
      <c r="B220" s="1" t="n">
        <v>45162.55780092593</v>
      </c>
      <c r="C220" s="1" t="n">
        <v>46159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52696-2024</t>
        </is>
      </c>
      <c r="B221" s="1" t="n">
        <v>45610</v>
      </c>
      <c r="C221" s="1" t="n">
        <v>46159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54441-2024</t>
        </is>
      </c>
      <c r="B222" s="1" t="n">
        <v>45617.50403935185</v>
      </c>
      <c r="C222" s="1" t="n">
        <v>46159</v>
      </c>
      <c r="D222" t="inlineStr">
        <is>
          <t>VÄSTMANLANDS LÄN</t>
        </is>
      </c>
      <c r="E222" t="inlineStr">
        <is>
          <t>SKINNSKATTEBERG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46159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51028-2025</t>
        </is>
      </c>
      <c r="B224" s="1" t="n">
        <v>45947</v>
      </c>
      <c r="C224" s="1" t="n">
        <v>46159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51023-2025</t>
        </is>
      </c>
      <c r="B225" s="1" t="n">
        <v>45947.39391203703</v>
      </c>
      <c r="C225" s="1" t="n">
        <v>46159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36597-2024</t>
        </is>
      </c>
      <c r="B226" s="1" t="n">
        <v>45537.55677083333</v>
      </c>
      <c r="C226" s="1" t="n">
        <v>46159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51025-2025</t>
        </is>
      </c>
      <c r="B227" s="1" t="n">
        <v>45947.39518518518</v>
      </c>
      <c r="C227" s="1" t="n">
        <v>46159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51026-2025</t>
        </is>
      </c>
      <c r="B228" s="1" t="n">
        <v>45947</v>
      </c>
      <c r="C228" s="1" t="n">
        <v>46159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13733-2025</t>
        </is>
      </c>
      <c r="B229" s="1" t="n">
        <v>45737.39099537037</v>
      </c>
      <c r="C229" s="1" t="n">
        <v>46159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42093-2023</t>
        </is>
      </c>
      <c r="B230" s="1" t="n">
        <v>45177</v>
      </c>
      <c r="C230" s="1" t="n">
        <v>46159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36731-2025</t>
        </is>
      </c>
      <c r="B231" s="1" t="n">
        <v>45873.50177083333</v>
      </c>
      <c r="C231" s="1" t="n">
        <v>46159</v>
      </c>
      <c r="D231" t="inlineStr">
        <is>
          <t>VÄSTMANLANDS LÄN</t>
        </is>
      </c>
      <c r="E231" t="inlineStr">
        <is>
          <t>SKINNSKATTEBERG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24777-2022</t>
        </is>
      </c>
      <c r="B232" s="1" t="n">
        <v>44728.36739583333</v>
      </c>
      <c r="C232" s="1" t="n">
        <v>46159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52018-2025</t>
        </is>
      </c>
      <c r="B233" s="1" t="n">
        <v>45952</v>
      </c>
      <c r="C233" s="1" t="n">
        <v>46159</v>
      </c>
      <c r="D233" t="inlineStr">
        <is>
          <t>VÄSTMANLANDS LÄN</t>
        </is>
      </c>
      <c r="E233" t="inlineStr">
        <is>
          <t>SKINNSKATTEBERG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30988-2022</t>
        </is>
      </c>
      <c r="B234" s="1" t="n">
        <v>44768</v>
      </c>
      <c r="C234" s="1" t="n">
        <v>46159</v>
      </c>
      <c r="D234" t="inlineStr">
        <is>
          <t>VÄSTMANLANDS LÄN</t>
        </is>
      </c>
      <c r="E234" t="inlineStr">
        <is>
          <t>SKINNSKATTEBERG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16653-2025</t>
        </is>
      </c>
      <c r="B235" s="1" t="n">
        <v>45754.3925</v>
      </c>
      <c r="C235" s="1" t="n">
        <v>46159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36817-2025</t>
        </is>
      </c>
      <c r="B236" s="1" t="n">
        <v>45873.77577546296</v>
      </c>
      <c r="C236" s="1" t="n">
        <v>46159</v>
      </c>
      <c r="D236" t="inlineStr">
        <is>
          <t>VÄSTMANLANDS LÄN</t>
        </is>
      </c>
      <c r="E236" t="inlineStr">
        <is>
          <t>SKINNSKATTEBERG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36786-2025</t>
        </is>
      </c>
      <c r="B237" s="1" t="n">
        <v>45873.63013888889</v>
      </c>
      <c r="C237" s="1" t="n">
        <v>46159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35370-2024</t>
        </is>
      </c>
      <c r="B238" s="1" t="n">
        <v>45531.35479166666</v>
      </c>
      <c r="C238" s="1" t="n">
        <v>46159</v>
      </c>
      <c r="D238" t="inlineStr">
        <is>
          <t>VÄSTMANLANDS LÄN</t>
        </is>
      </c>
      <c r="E238" t="inlineStr">
        <is>
          <t>SKINNSKATTEBERG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52728-2025</t>
        </is>
      </c>
      <c r="B239" s="1" t="n">
        <v>45957.35716435185</v>
      </c>
      <c r="C239" s="1" t="n">
        <v>46159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46159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5505-2025</t>
        </is>
      </c>
      <c r="B241" s="1" t="n">
        <v>45693.38986111111</v>
      </c>
      <c r="C241" s="1" t="n">
        <v>46159</v>
      </c>
      <c r="D241" t="inlineStr">
        <is>
          <t>VÄSTMANLANDS LÄN</t>
        </is>
      </c>
      <c r="E241" t="inlineStr">
        <is>
          <t>SKINNSKATTEBERG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29829-2024</t>
        </is>
      </c>
      <c r="B242" s="1" t="n">
        <v>45485</v>
      </c>
      <c r="C242" s="1" t="n">
        <v>46159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29831-2024</t>
        </is>
      </c>
      <c r="B243" s="1" t="n">
        <v>45485.57574074074</v>
      </c>
      <c r="C243" s="1" t="n">
        <v>46159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52951-2025</t>
        </is>
      </c>
      <c r="B244" s="1" t="n">
        <v>45957.6533449074</v>
      </c>
      <c r="C244" s="1" t="n">
        <v>46159</v>
      </c>
      <c r="D244" t="inlineStr">
        <is>
          <t>VÄSTMANLANDS LÄN</t>
        </is>
      </c>
      <c r="E244" t="inlineStr">
        <is>
          <t>SKINNSKATTEBERG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37763-2025</t>
        </is>
      </c>
      <c r="B245" s="1" t="n">
        <v>45880.70201388889</v>
      </c>
      <c r="C245" s="1" t="n">
        <v>46159</v>
      </c>
      <c r="D245" t="inlineStr">
        <is>
          <t>VÄSTMANLANDS LÄN</t>
        </is>
      </c>
      <c r="E245" t="inlineStr">
        <is>
          <t>SKINNSKATTEBERG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53761-2025</t>
        </is>
      </c>
      <c r="B246" s="1" t="n">
        <v>45960.67104166667</v>
      </c>
      <c r="C246" s="1" t="n">
        <v>46159</v>
      </c>
      <c r="D246" t="inlineStr">
        <is>
          <t>VÄSTMANLANDS LÄN</t>
        </is>
      </c>
      <c r="E246" t="inlineStr">
        <is>
          <t>SKINNSKATTEBERG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53539-2025</t>
        </is>
      </c>
      <c r="B247" s="1" t="n">
        <v>45960.37422453704</v>
      </c>
      <c r="C247" s="1" t="n">
        <v>46159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53471-2025</t>
        </is>
      </c>
      <c r="B248" s="1" t="n">
        <v>45959.71185185185</v>
      </c>
      <c r="C248" s="1" t="n">
        <v>46159</v>
      </c>
      <c r="D248" t="inlineStr">
        <is>
          <t>VÄSTMANLANDS LÄN</t>
        </is>
      </c>
      <c r="E248" t="inlineStr">
        <is>
          <t>SKINNSKATTEBERG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28278-2024</t>
        </is>
      </c>
      <c r="B249" s="1" t="n">
        <v>45477</v>
      </c>
      <c r="C249" s="1" t="n">
        <v>46159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16647-2025</t>
        </is>
      </c>
      <c r="B250" s="1" t="n">
        <v>45754.38666666667</v>
      </c>
      <c r="C250" s="1" t="n">
        <v>46159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13676-2022</t>
        </is>
      </c>
      <c r="B251" s="1" t="n">
        <v>44648.67829861111</v>
      </c>
      <c r="C251" s="1" t="n">
        <v>46159</v>
      </c>
      <c r="D251" t="inlineStr">
        <is>
          <t>VÄSTMANLANDS LÄN</t>
        </is>
      </c>
      <c r="E251" t="inlineStr">
        <is>
          <t>SKINNSKATTEBERG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54499-2025</t>
        </is>
      </c>
      <c r="B252" s="1" t="n">
        <v>45965.6058912037</v>
      </c>
      <c r="C252" s="1" t="n">
        <v>46159</v>
      </c>
      <c r="D252" t="inlineStr">
        <is>
          <t>VÄSTMANLANDS LÄN</t>
        </is>
      </c>
      <c r="E252" t="inlineStr">
        <is>
          <t>SKINNSKATTEBERG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38738-2021</t>
        </is>
      </c>
      <c r="B253" s="1" t="n">
        <v>44410.59598379629</v>
      </c>
      <c r="C253" s="1" t="n">
        <v>46159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29708-2024</t>
        </is>
      </c>
      <c r="B254" s="1" t="n">
        <v>45485</v>
      </c>
      <c r="C254" s="1" t="n">
        <v>46159</v>
      </c>
      <c r="D254" t="inlineStr">
        <is>
          <t>VÄSTMANLANDS LÄN</t>
        </is>
      </c>
      <c r="E254" t="inlineStr">
        <is>
          <t>SKINNSKATTEBERG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55007-2025</t>
        </is>
      </c>
      <c r="B255" s="1" t="n">
        <v>45967.6133449074</v>
      </c>
      <c r="C255" s="1" t="n">
        <v>46159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55005-2025</t>
        </is>
      </c>
      <c r="B256" s="1" t="n">
        <v>45967.61164351852</v>
      </c>
      <c r="C256" s="1" t="n">
        <v>46159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55002-2025</t>
        </is>
      </c>
      <c r="B257" s="1" t="n">
        <v>45967.60951388889</v>
      </c>
      <c r="C257" s="1" t="n">
        <v>46159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14041-2025</t>
        </is>
      </c>
      <c r="B258" s="1" t="n">
        <v>45740.36778935185</v>
      </c>
      <c r="C258" s="1" t="n">
        <v>46159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56227-2025</t>
        </is>
      </c>
      <c r="B259" s="1" t="n">
        <v>45974.51658564815</v>
      </c>
      <c r="C259" s="1" t="n">
        <v>46159</v>
      </c>
      <c r="D259" t="inlineStr">
        <is>
          <t>VÄSTMANLANDS LÄN</t>
        </is>
      </c>
      <c r="E259" t="inlineStr">
        <is>
          <t>SKINNSKATTEBERG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55952-2025</t>
        </is>
      </c>
      <c r="B260" s="1" t="n">
        <v>45973.4725462963</v>
      </c>
      <c r="C260" s="1" t="n">
        <v>46159</v>
      </c>
      <c r="D260" t="inlineStr">
        <is>
          <t>VÄSTMANLANDS LÄN</t>
        </is>
      </c>
      <c r="E260" t="inlineStr">
        <is>
          <t>SKINNSKATTEBERG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55885-2025</t>
        </is>
      </c>
      <c r="B261" s="1" t="n">
        <v>45973.36837962963</v>
      </c>
      <c r="C261" s="1" t="n">
        <v>46159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55889-2025</t>
        </is>
      </c>
      <c r="B262" s="1" t="n">
        <v>45973.37315972222</v>
      </c>
      <c r="C262" s="1" t="n">
        <v>46159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55887-2025</t>
        </is>
      </c>
      <c r="B263" s="1" t="n">
        <v>45973.37097222222</v>
      </c>
      <c r="C263" s="1" t="n">
        <v>46159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4385-2025</t>
        </is>
      </c>
      <c r="B264" s="1" t="n">
        <v>45686</v>
      </c>
      <c r="C264" s="1" t="n">
        <v>46159</v>
      </c>
      <c r="D264" t="inlineStr">
        <is>
          <t>VÄSTMANLANDS LÄN</t>
        </is>
      </c>
      <c r="E264" t="inlineStr">
        <is>
          <t>SKINNSKATTEBERG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10232-2025</t>
        </is>
      </c>
      <c r="B265" s="1" t="n">
        <v>45720.33230324074</v>
      </c>
      <c r="C265" s="1" t="n">
        <v>46159</v>
      </c>
      <c r="D265" t="inlineStr">
        <is>
          <t>VÄSTMANLANDS LÄN</t>
        </is>
      </c>
      <c r="E265" t="inlineStr">
        <is>
          <t>SKINNSKATTEBERG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56465-2025</t>
        </is>
      </c>
      <c r="B266" s="1" t="n">
        <v>45975</v>
      </c>
      <c r="C266" s="1" t="n">
        <v>46159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57282-2025</t>
        </is>
      </c>
      <c r="B267" s="1" t="n">
        <v>45979.71456018519</v>
      </c>
      <c r="C267" s="1" t="n">
        <v>46159</v>
      </c>
      <c r="D267" t="inlineStr">
        <is>
          <t>VÄSTMANLANDS LÄN</t>
        </is>
      </c>
      <c r="E267" t="inlineStr">
        <is>
          <t>SKINNSKATTEBERG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57395-2025</t>
        </is>
      </c>
      <c r="B268" s="1" t="n">
        <v>45980.42792824074</v>
      </c>
      <c r="C268" s="1" t="n">
        <v>46159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57398-2025</t>
        </is>
      </c>
      <c r="B269" s="1" t="n">
        <v>45980.43162037037</v>
      </c>
      <c r="C269" s="1" t="n">
        <v>46159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57399-2025</t>
        </is>
      </c>
      <c r="B270" s="1" t="n">
        <v>45980.43300925926</v>
      </c>
      <c r="C270" s="1" t="n">
        <v>46159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58246-2023</t>
        </is>
      </c>
      <c r="B271" s="1" t="n">
        <v>45250.47649305555</v>
      </c>
      <c r="C271" s="1" t="n">
        <v>46159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57652-2025</t>
        </is>
      </c>
      <c r="B272" s="1" t="n">
        <v>45981.39396990741</v>
      </c>
      <c r="C272" s="1" t="n">
        <v>46159</v>
      </c>
      <c r="D272" t="inlineStr">
        <is>
          <t>VÄSTMANLANDS LÄN</t>
        </is>
      </c>
      <c r="E272" t="inlineStr">
        <is>
          <t>SKINNSKATTEBERG</t>
        </is>
      </c>
      <c r="G272" t="n">
        <v>17.6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17344-2026</t>
        </is>
      </c>
      <c r="B273" s="1" t="n">
        <v>46119.64706018518</v>
      </c>
      <c r="C273" s="1" t="n">
        <v>46159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53183-2021</t>
        </is>
      </c>
      <c r="B274" s="1" t="n">
        <v>44468</v>
      </c>
      <c r="C274" s="1" t="n">
        <v>46159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58882-2025</t>
        </is>
      </c>
      <c r="B275" s="1" t="n">
        <v>45987.47481481481</v>
      </c>
      <c r="C275" s="1" t="n">
        <v>46159</v>
      </c>
      <c r="D275" t="inlineStr">
        <is>
          <t>VÄSTMANLANDS LÄN</t>
        </is>
      </c>
      <c r="E275" t="inlineStr">
        <is>
          <t>SKINNSKATTEBERG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19919-2025</t>
        </is>
      </c>
      <c r="B276" s="1" t="n">
        <v>45771</v>
      </c>
      <c r="C276" s="1" t="n">
        <v>46159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52600-2021</t>
        </is>
      </c>
      <c r="B277" s="1" t="n">
        <v>44466.58774305556</v>
      </c>
      <c r="C277" s="1" t="n">
        <v>46159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16089-2024</t>
        </is>
      </c>
      <c r="B278" s="1" t="n">
        <v>45406.39024305555</v>
      </c>
      <c r="C278" s="1" t="n">
        <v>46159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59711-2025</t>
        </is>
      </c>
      <c r="B279" s="1" t="n">
        <v>45992.5246412037</v>
      </c>
      <c r="C279" s="1" t="n">
        <v>46159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59710-2025</t>
        </is>
      </c>
      <c r="B280" s="1" t="n">
        <v>45992.52398148148</v>
      </c>
      <c r="C280" s="1" t="n">
        <v>46159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61424-2023</t>
        </is>
      </c>
      <c r="B281" s="1" t="n">
        <v>45264.6962037037</v>
      </c>
      <c r="C281" s="1" t="n">
        <v>46159</v>
      </c>
      <c r="D281" t="inlineStr">
        <is>
          <t>VÄSTMANLANDS LÄN</t>
        </is>
      </c>
      <c r="E281" t="inlineStr">
        <is>
          <t>SKINNSKATTEBERG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21576-2023</t>
        </is>
      </c>
      <c r="B282" s="1" t="n">
        <v>45063.59221064814</v>
      </c>
      <c r="C282" s="1" t="n">
        <v>46159</v>
      </c>
      <c r="D282" t="inlineStr">
        <is>
          <t>VÄSTMANLANDS LÄN</t>
        </is>
      </c>
      <c r="E282" t="inlineStr">
        <is>
          <t>SKINNSKATTEBERG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58834-2022</t>
        </is>
      </c>
      <c r="B283" s="1" t="n">
        <v>44903.48206018518</v>
      </c>
      <c r="C283" s="1" t="n">
        <v>46159</v>
      </c>
      <c r="D283" t="inlineStr">
        <is>
          <t>VÄSTMANLANDS LÄN</t>
        </is>
      </c>
      <c r="E283" t="inlineStr">
        <is>
          <t>SKINNSKATTEBERG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40551-2024</t>
        </is>
      </c>
      <c r="B284" s="1" t="n">
        <v>45555</v>
      </c>
      <c r="C284" s="1" t="n">
        <v>46159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40554-2024</t>
        </is>
      </c>
      <c r="B285" s="1" t="n">
        <v>45555</v>
      </c>
      <c r="C285" s="1" t="n">
        <v>46159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46159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61895-2025</t>
        </is>
      </c>
      <c r="B287" s="1" t="n">
        <v>46003.45998842592</v>
      </c>
      <c r="C287" s="1" t="n">
        <v>46159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17997-2026</t>
        </is>
      </c>
      <c r="B288" s="1" t="n">
        <v>46124.89864583333</v>
      </c>
      <c r="C288" s="1" t="n">
        <v>46159</v>
      </c>
      <c r="D288" t="inlineStr">
        <is>
          <t>VÄSTMANLANDS LÄN</t>
        </is>
      </c>
      <c r="E288" t="inlineStr">
        <is>
          <t>SKINNSKATTEBERG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17933-2026</t>
        </is>
      </c>
      <c r="B289" s="1" t="n">
        <v>46122.63136574074</v>
      </c>
      <c r="C289" s="1" t="n">
        <v>46159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49884-2024</t>
        </is>
      </c>
      <c r="B290" s="1" t="n">
        <v>45597</v>
      </c>
      <c r="C290" s="1" t="n">
        <v>46159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41594-2025</t>
        </is>
      </c>
      <c r="B291" s="1" t="n">
        <v>45901.64753472222</v>
      </c>
      <c r="C291" s="1" t="n">
        <v>46159</v>
      </c>
      <c r="D291" t="inlineStr">
        <is>
          <t>VÄSTMANLANDS LÄN</t>
        </is>
      </c>
      <c r="E291" t="inlineStr">
        <is>
          <t>SKINNSKATTEBERG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11800-2024</t>
        </is>
      </c>
      <c r="B292" s="1" t="n">
        <v>45375.47375</v>
      </c>
      <c r="C292" s="1" t="n">
        <v>46159</v>
      </c>
      <c r="D292" t="inlineStr">
        <is>
          <t>VÄSTMANLANDS LÄN</t>
        </is>
      </c>
      <c r="E292" t="inlineStr">
        <is>
          <t>SKINNSKATTEBERG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6298-2023</t>
        </is>
      </c>
      <c r="B293" s="1" t="n">
        <v>44965</v>
      </c>
      <c r="C293" s="1" t="n">
        <v>46159</v>
      </c>
      <c r="D293" t="inlineStr">
        <is>
          <t>VÄSTMANLANDS LÄN</t>
        </is>
      </c>
      <c r="E293" t="inlineStr">
        <is>
          <t>SKINNSKATTEBERG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43400-2024</t>
        </is>
      </c>
      <c r="B294" s="1" t="n">
        <v>45568</v>
      </c>
      <c r="C294" s="1" t="n">
        <v>46159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62934-2025</t>
        </is>
      </c>
      <c r="B295" s="1" t="n">
        <v>46009.40707175926</v>
      </c>
      <c r="C295" s="1" t="n">
        <v>46159</v>
      </c>
      <c r="D295" t="inlineStr">
        <is>
          <t>VÄSTMANLANDS LÄN</t>
        </is>
      </c>
      <c r="E295" t="inlineStr">
        <is>
          <t>SKINNSKATTEBERG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62933-2025</t>
        </is>
      </c>
      <c r="B296" s="1" t="n">
        <v>46009.40394675926</v>
      </c>
      <c r="C296" s="1" t="n">
        <v>46159</v>
      </c>
      <c r="D296" t="inlineStr">
        <is>
          <t>VÄSTMANLANDS LÄN</t>
        </is>
      </c>
      <c r="E296" t="inlineStr">
        <is>
          <t>SKINNSKATTEBERG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46159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46159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15737-2024</t>
        </is>
      </c>
      <c r="B299" s="1" t="n">
        <v>45404.54581018518</v>
      </c>
      <c r="C299" s="1" t="n">
        <v>46159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35059-2024</t>
        </is>
      </c>
      <c r="B300" s="1" t="n">
        <v>45527.65517361111</v>
      </c>
      <c r="C300" s="1" t="n">
        <v>46159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20243-2024</t>
        </is>
      </c>
      <c r="B301" s="1" t="n">
        <v>45434</v>
      </c>
      <c r="C301" s="1" t="n">
        <v>46159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20247-2024</t>
        </is>
      </c>
      <c r="B302" s="1" t="n">
        <v>45434.84836805556</v>
      </c>
      <c r="C302" s="1" t="n">
        <v>46159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52556-2024</t>
        </is>
      </c>
      <c r="B303" s="1" t="n">
        <v>45609</v>
      </c>
      <c r="C303" s="1" t="n">
        <v>46159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22605-2024</t>
        </is>
      </c>
      <c r="B304" s="1" t="n">
        <v>45447.63224537037</v>
      </c>
      <c r="C304" s="1" t="n">
        <v>46159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62679-2025</t>
        </is>
      </c>
      <c r="B305" s="1" t="n">
        <v>46008.45440972222</v>
      </c>
      <c r="C305" s="1" t="n">
        <v>46159</v>
      </c>
      <c r="D305" t="inlineStr">
        <is>
          <t>VÄSTMANLANDS LÄN</t>
        </is>
      </c>
      <c r="E305" t="inlineStr">
        <is>
          <t>SKINNSKATTEBERG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46159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18948-2026</t>
        </is>
      </c>
      <c r="B307" s="1" t="n">
        <v>46129.58471064815</v>
      </c>
      <c r="C307" s="1" t="n">
        <v>46159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19398-2024</t>
        </is>
      </c>
      <c r="B308" s="1" t="n">
        <v>45429</v>
      </c>
      <c r="C308" s="1" t="n">
        <v>46159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66584-2021</t>
        </is>
      </c>
      <c r="B309" s="1" t="n">
        <v>44519.46189814815</v>
      </c>
      <c r="C309" s="1" t="n">
        <v>46159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19582-2026</t>
        </is>
      </c>
      <c r="B310" s="1" t="n">
        <v>46134.46325231482</v>
      </c>
      <c r="C310" s="1" t="n">
        <v>46159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11992-2023</t>
        </is>
      </c>
      <c r="B311" s="1" t="n">
        <v>44995</v>
      </c>
      <c r="C311" s="1" t="n">
        <v>46159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19540-2026</t>
        </is>
      </c>
      <c r="B312" s="1" t="n">
        <v>46134.3790625</v>
      </c>
      <c r="C312" s="1" t="n">
        <v>46159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46159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15540-2024</t>
        </is>
      </c>
      <c r="B314" s="1" t="n">
        <v>45401</v>
      </c>
      <c r="C314" s="1" t="n">
        <v>46159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18161-2024</t>
        </is>
      </c>
      <c r="B315" s="1" t="n">
        <v>45420</v>
      </c>
      <c r="C315" s="1" t="n">
        <v>46159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19541-2026</t>
        </is>
      </c>
      <c r="B316" s="1" t="n">
        <v>46134.37996527777</v>
      </c>
      <c r="C316" s="1" t="n">
        <v>46159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14719-2023</t>
        </is>
      </c>
      <c r="B317" s="1" t="n">
        <v>45014</v>
      </c>
      <c r="C317" s="1" t="n">
        <v>46159</v>
      </c>
      <c r="D317" t="inlineStr">
        <is>
          <t>VÄSTMANLANDS LÄN</t>
        </is>
      </c>
      <c r="E317" t="inlineStr">
        <is>
          <t>SKINNSKATTEBERG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14736-2023</t>
        </is>
      </c>
      <c r="B318" s="1" t="n">
        <v>45014</v>
      </c>
      <c r="C318" s="1" t="n">
        <v>46159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19939-2026</t>
        </is>
      </c>
      <c r="B319" s="1" t="n">
        <v>46136.38057870371</v>
      </c>
      <c r="C319" s="1" t="n">
        <v>46159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19943-2026</t>
        </is>
      </c>
      <c r="B320" s="1" t="n">
        <v>46136.38221064815</v>
      </c>
      <c r="C320" s="1" t="n">
        <v>46159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17374-2024</t>
        </is>
      </c>
      <c r="B321" s="1" t="n">
        <v>45414</v>
      </c>
      <c r="C321" s="1" t="n">
        <v>46159</v>
      </c>
      <c r="D321" t="inlineStr">
        <is>
          <t>VÄSTMANLANDS LÄN</t>
        </is>
      </c>
      <c r="E321" t="inlineStr">
        <is>
          <t>SKINNSKATTEBERG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60355-2024</t>
        </is>
      </c>
      <c r="B322" s="1" t="n">
        <v>45643</v>
      </c>
      <c r="C322" s="1" t="n">
        <v>46159</v>
      </c>
      <c r="D322" t="inlineStr">
        <is>
          <t>VÄSTMANLANDS LÄN</t>
        </is>
      </c>
      <c r="E322" t="inlineStr">
        <is>
          <t>SKINNSKATTEBERG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19928-2026</t>
        </is>
      </c>
      <c r="B323" s="1" t="n">
        <v>46136.37377314815</v>
      </c>
      <c r="C323" s="1" t="n">
        <v>46159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13353-2026</t>
        </is>
      </c>
      <c r="B324" s="1" t="n">
        <v>46094.38707175926</v>
      </c>
      <c r="C324" s="1" t="n">
        <v>46159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13355-2026</t>
        </is>
      </c>
      <c r="B325" s="1" t="n">
        <v>46094.3887962963</v>
      </c>
      <c r="C325" s="1" t="n">
        <v>46159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13350-2026</t>
        </is>
      </c>
      <c r="B326" s="1" t="n">
        <v>46094.38527777778</v>
      </c>
      <c r="C326" s="1" t="n">
        <v>46159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47689-2023</t>
        </is>
      </c>
      <c r="B327" s="1" t="n">
        <v>45198</v>
      </c>
      <c r="C327" s="1" t="n">
        <v>46159</v>
      </c>
      <c r="D327" t="inlineStr">
        <is>
          <t>VÄSTMANLANDS LÄN</t>
        </is>
      </c>
      <c r="E327" t="inlineStr">
        <is>
          <t>SKINNSKATTEBERG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20559-2026</t>
        </is>
      </c>
      <c r="B328" s="1" t="n">
        <v>46140.59929398148</v>
      </c>
      <c r="C328" s="1" t="n">
        <v>46159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20556-2026</t>
        </is>
      </c>
      <c r="B329" s="1" t="n">
        <v>46140.59488425926</v>
      </c>
      <c r="C329" s="1" t="n">
        <v>46159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20563-2026</t>
        </is>
      </c>
      <c r="B330" s="1" t="n">
        <v>46140.60135416667</v>
      </c>
      <c r="C330" s="1" t="n">
        <v>46159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15562-2025</t>
        </is>
      </c>
      <c r="B331" s="1" t="n">
        <v>45747.69229166667</v>
      </c>
      <c r="C331" s="1" t="n">
        <v>46159</v>
      </c>
      <c r="D331" t="inlineStr">
        <is>
          <t>VÄSTMANLANDS LÄN</t>
        </is>
      </c>
      <c r="E331" t="inlineStr">
        <is>
          <t>SKINNSKATTEBERG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14541-2025</t>
        </is>
      </c>
      <c r="B332" s="1" t="n">
        <v>45741</v>
      </c>
      <c r="C332" s="1" t="n">
        <v>46159</v>
      </c>
      <c r="D332" t="inlineStr">
        <is>
          <t>VÄSTMANLANDS LÄN</t>
        </is>
      </c>
      <c r="E332" t="inlineStr">
        <is>
          <t>SKINNSKATTEBERG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20840-2026</t>
        </is>
      </c>
      <c r="B333" s="1" t="n">
        <v>46142.34415509259</v>
      </c>
      <c r="C333" s="1" t="n">
        <v>46159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20848-2026</t>
        </is>
      </c>
      <c r="B334" s="1" t="n">
        <v>46142.3462037037</v>
      </c>
      <c r="C334" s="1" t="n">
        <v>46159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20852-2026</t>
        </is>
      </c>
      <c r="B335" s="1" t="n">
        <v>46142.34798611111</v>
      </c>
      <c r="C335" s="1" t="n">
        <v>46159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20850-2026</t>
        </is>
      </c>
      <c r="B336" s="1" t="n">
        <v>46142.34679398148</v>
      </c>
      <c r="C336" s="1" t="n">
        <v>46159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20853-2026</t>
        </is>
      </c>
      <c r="B337" s="1" t="n">
        <v>46142.34956018518</v>
      </c>
      <c r="C337" s="1" t="n">
        <v>46159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20854-2026</t>
        </is>
      </c>
      <c r="B338" s="1" t="n">
        <v>46142.35050925926</v>
      </c>
      <c r="C338" s="1" t="n">
        <v>46159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16400-2024</t>
        </is>
      </c>
      <c r="B339" s="1" t="n">
        <v>45407</v>
      </c>
      <c r="C339" s="1" t="n">
        <v>46159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16523-2024</t>
        </is>
      </c>
      <c r="B340" s="1" t="n">
        <v>45408.41509259259</v>
      </c>
      <c r="C340" s="1" t="n">
        <v>46159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20856-2026</t>
        </is>
      </c>
      <c r="B341" s="1" t="n">
        <v>46142.35354166666</v>
      </c>
      <c r="C341" s="1" t="n">
        <v>46159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40497-2023</t>
        </is>
      </c>
      <c r="B342" s="1" t="n">
        <v>45170.3894212963</v>
      </c>
      <c r="C342" s="1" t="n">
        <v>46159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31268-2023</t>
        </is>
      </c>
      <c r="B343" s="1" t="n">
        <v>45114</v>
      </c>
      <c r="C343" s="1" t="n">
        <v>46159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15094-2026</t>
        </is>
      </c>
      <c r="B344" s="1" t="n">
        <v>46105.34099537037</v>
      </c>
      <c r="C344" s="1" t="n">
        <v>46159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15732-2026</t>
        </is>
      </c>
      <c r="B345" s="1" t="n">
        <v>46107.4019675926</v>
      </c>
      <c r="C345" s="1" t="n">
        <v>46159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15730-2026</t>
        </is>
      </c>
      <c r="B346" s="1" t="n">
        <v>46107.39805555555</v>
      </c>
      <c r="C346" s="1" t="n">
        <v>46159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15731-2026</t>
        </is>
      </c>
      <c r="B347" s="1" t="n">
        <v>46107.39982638889</v>
      </c>
      <c r="C347" s="1" t="n">
        <v>46159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19655-2025</t>
        </is>
      </c>
      <c r="B348" s="1" t="n">
        <v>45770.67399305556</v>
      </c>
      <c r="C348" s="1" t="n">
        <v>46159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20623-2026</t>
        </is>
      </c>
      <c r="B349" s="1" t="n">
        <v>46141.31083333334</v>
      </c>
      <c r="C349" s="1" t="n">
        <v>46159</v>
      </c>
      <c r="D349" t="inlineStr">
        <is>
          <t>VÄSTMANLANDS LÄN</t>
        </is>
      </c>
      <c r="E349" t="inlineStr">
        <is>
          <t>SKINNSKATTEBERG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16136-2026</t>
        </is>
      </c>
      <c r="B350" s="1" t="n">
        <v>46108.65162037037</v>
      </c>
      <c r="C350" s="1" t="n">
        <v>46159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21848-2026</t>
        </is>
      </c>
      <c r="B351" s="1" t="n">
        <v>46150.51841435185</v>
      </c>
      <c r="C351" s="1" t="n">
        <v>46159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21847-2026</t>
        </is>
      </c>
      <c r="B352" s="1" t="n">
        <v>46150.51711805556</v>
      </c>
      <c r="C352" s="1" t="n">
        <v>46159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21849-2026</t>
        </is>
      </c>
      <c r="B353" s="1" t="n">
        <v>46150.52005787037</v>
      </c>
      <c r="C353" s="1" t="n">
        <v>46159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HYPERLINK("https://klasma.github.io/Logging_1904/knärot/A 21849-2026 karta knärot.png", "A 21849-2026")</f>
        <v/>
      </c>
      <c r="V353">
        <f>HYPERLINK("https://klasma.github.io/Logging_1904/klagomål/A 21849-2026 FSC-klagomål.docx", "A 21849-2026")</f>
        <v/>
      </c>
      <c r="W353">
        <f>HYPERLINK("https://klasma.github.io/Logging_1904/klagomålsmail/A 21849-2026 FSC-klagomål mail.docx", "A 21849-2026")</f>
        <v/>
      </c>
      <c r="X353">
        <f>HYPERLINK("https://klasma.github.io/Logging_1904/tillsyn/A 21849-2026 tillsynsbegäran.docx", "A 21849-2026")</f>
        <v/>
      </c>
      <c r="Y353">
        <f>HYPERLINK("https://klasma.github.io/Logging_1904/tillsynsmail/A 21849-2026 tillsynsbegäran mail.docx", "A 21849-2026")</f>
        <v/>
      </c>
    </row>
    <row r="354" ht="15" customHeight="1">
      <c r="A354" t="inlineStr">
        <is>
          <t>A 41332-2023</t>
        </is>
      </c>
      <c r="B354" s="1" t="n">
        <v>45174</v>
      </c>
      <c r="C354" s="1" t="n">
        <v>46159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15955-2026</t>
        </is>
      </c>
      <c r="B355" s="1" t="n">
        <v>46108.28761574074</v>
      </c>
      <c r="C355" s="1" t="n">
        <v>46159</v>
      </c>
      <c r="D355" t="inlineStr">
        <is>
          <t>VÄSTMANLANDS LÄN</t>
        </is>
      </c>
      <c r="E355" t="inlineStr">
        <is>
          <t>SKINNSKATTEBERG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16299-2026</t>
        </is>
      </c>
      <c r="B356" s="1" t="n">
        <v>46111.53788194444</v>
      </c>
      <c r="C356" s="1" t="n">
        <v>46159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24884-2023</t>
        </is>
      </c>
      <c r="B357" s="1" t="n">
        <v>45085.45267361111</v>
      </c>
      <c r="C357" s="1" t="n">
        <v>46159</v>
      </c>
      <c r="D357" t="inlineStr">
        <is>
          <t>VÄSTMANLANDS LÄN</t>
        </is>
      </c>
      <c r="E357" t="inlineStr">
        <is>
          <t>SKINNSKATTEBERG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46875-2024</t>
        </is>
      </c>
      <c r="B358" s="1" t="n">
        <v>45583.64113425926</v>
      </c>
      <c r="C358" s="1" t="n">
        <v>46159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21845-2026</t>
        </is>
      </c>
      <c r="B359" s="1" t="n">
        <v>46150.51387731481</v>
      </c>
      <c r="C359" s="1" t="n">
        <v>46159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21846-2026</t>
        </is>
      </c>
      <c r="B360" s="1" t="n">
        <v>46150.51530092592</v>
      </c>
      <c r="C360" s="1" t="n">
        <v>46159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57343-2023</t>
        </is>
      </c>
      <c r="B361" s="1" t="n">
        <v>45245</v>
      </c>
      <c r="C361" s="1" t="n">
        <v>46159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16301-2026</t>
        </is>
      </c>
      <c r="B362" s="1" t="n">
        <v>46111.53922453704</v>
      </c>
      <c r="C362" s="1" t="n">
        <v>46159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16304-2026</t>
        </is>
      </c>
      <c r="B363" s="1" t="n">
        <v>46111.54101851852</v>
      </c>
      <c r="C363" s="1" t="n">
        <v>46159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24793-2022</t>
        </is>
      </c>
      <c r="B364" s="1" t="n">
        <v>44728</v>
      </c>
      <c r="C364" s="1" t="n">
        <v>46159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22260-2026</t>
        </is>
      </c>
      <c r="B365" s="1" t="n">
        <v>46154.36989583333</v>
      </c>
      <c r="C365" s="1" t="n">
        <v>46159</v>
      </c>
      <c r="D365" t="inlineStr">
        <is>
          <t>VÄSTMANLANDS LÄN</t>
        </is>
      </c>
      <c r="E365" t="inlineStr">
        <is>
          <t>SKINNSKATTEBERG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16397-2024</t>
        </is>
      </c>
      <c r="B366" s="1" t="n">
        <v>45407.62880787037</v>
      </c>
      <c r="C366" s="1" t="n">
        <v>46159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27328-2023</t>
        </is>
      </c>
      <c r="B367" s="1" t="n">
        <v>45096.67375</v>
      </c>
      <c r="C367" s="1" t="n">
        <v>46159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41333-2023</t>
        </is>
      </c>
      <c r="B368" s="1" t="n">
        <v>45174</v>
      </c>
      <c r="C368" s="1" t="n">
        <v>46159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40320-2023</t>
        </is>
      </c>
      <c r="B369" s="1" t="n">
        <v>45169</v>
      </c>
      <c r="C369" s="1" t="n">
        <v>46159</v>
      </c>
      <c r="D369" t="inlineStr">
        <is>
          <t>VÄSTMANLANDS LÄN</t>
        </is>
      </c>
      <c r="E369" t="inlineStr">
        <is>
          <t>SKINNSKATTEBERG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18163-2024</t>
        </is>
      </c>
      <c r="B370" s="1" t="n">
        <v>45420</v>
      </c>
      <c r="C370" s="1" t="n">
        <v>46159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17098-2026</t>
        </is>
      </c>
      <c r="B371" s="1" t="n">
        <v>46114.59438657408</v>
      </c>
      <c r="C371" s="1" t="n">
        <v>46159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22779-2026</t>
        </is>
      </c>
      <c r="B372" s="1" t="n">
        <v>46157.59079861111</v>
      </c>
      <c r="C372" s="1" t="n">
        <v>46159</v>
      </c>
      <c r="D372" t="inlineStr">
        <is>
          <t>VÄSTMANLANDS LÄN</t>
        </is>
      </c>
      <c r="E372" t="inlineStr">
        <is>
          <t>SKINNSKATTEBERG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17838-2025</t>
        </is>
      </c>
      <c r="B373" s="1" t="n">
        <v>45758.58688657408</v>
      </c>
      <c r="C373" s="1" t="n">
        <v>46159</v>
      </c>
      <c r="D373" t="inlineStr">
        <is>
          <t>VÄSTMANLANDS LÄN</t>
        </is>
      </c>
      <c r="E373" t="inlineStr">
        <is>
          <t>SKINNSKATTEBERG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40546-2023</t>
        </is>
      </c>
      <c r="B374" s="1" t="n">
        <v>45170.44954861111</v>
      </c>
      <c r="C374" s="1" t="n">
        <v>46159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1611-2024</t>
        </is>
      </c>
      <c r="B375" s="1" t="n">
        <v>45306.62385416667</v>
      </c>
      <c r="C375" s="1" t="n">
        <v>46159</v>
      </c>
      <c r="D375" t="inlineStr">
        <is>
          <t>VÄSTMANLANDS LÄN</t>
        </is>
      </c>
      <c r="E375" t="inlineStr">
        <is>
          <t>SKINNSKATTEBERG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1619-2024</t>
        </is>
      </c>
      <c r="B376" s="1" t="n">
        <v>45306.63797453704</v>
      </c>
      <c r="C376" s="1" t="n">
        <v>46159</v>
      </c>
      <c r="D376" t="inlineStr">
        <is>
          <t>VÄSTMANLANDS LÄN</t>
        </is>
      </c>
      <c r="E376" t="inlineStr">
        <is>
          <t>SKINNSKATTEBERG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1620-2024</t>
        </is>
      </c>
      <c r="B377" s="1" t="n">
        <v>45306.64103009259</v>
      </c>
      <c r="C377" s="1" t="n">
        <v>46159</v>
      </c>
      <c r="D377" t="inlineStr">
        <is>
          <t>VÄSTMANLANDS LÄN</t>
        </is>
      </c>
      <c r="E377" t="inlineStr">
        <is>
          <t>SKINNSKATTEBERG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55210-2023</t>
        </is>
      </c>
      <c r="B378" s="1" t="n">
        <v>45237.59635416666</v>
      </c>
      <c r="C378" s="1" t="n">
        <v>46159</v>
      </c>
      <c r="D378" t="inlineStr">
        <is>
          <t>VÄSTMANLANDS LÄN</t>
        </is>
      </c>
      <c r="E378" t="inlineStr">
        <is>
          <t>SKINNSKATTEBERG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8199-2023</t>
        </is>
      </c>
      <c r="B379" s="1" t="n">
        <v>44974</v>
      </c>
      <c r="C379" s="1" t="n">
        <v>46159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61181-2021</t>
        </is>
      </c>
      <c r="B380" s="1" t="n">
        <v>44498.46020833333</v>
      </c>
      <c r="C380" s="1" t="n">
        <v>46159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35831-2024</t>
        </is>
      </c>
      <c r="B381" s="1" t="n">
        <v>45532</v>
      </c>
      <c r="C381" s="1" t="n">
        <v>46159</v>
      </c>
      <c r="D381" t="inlineStr">
        <is>
          <t>VÄSTMANLANDS LÄN</t>
        </is>
      </c>
      <c r="E381" t="inlineStr">
        <is>
          <t>SKINNSKATTEBERG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35834-2024</t>
        </is>
      </c>
      <c r="B382" s="1" t="n">
        <v>45532</v>
      </c>
      <c r="C382" s="1" t="n">
        <v>46159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51508-2021</t>
        </is>
      </c>
      <c r="B383" s="1" t="n">
        <v>44462</v>
      </c>
      <c r="C383" s="1" t="n">
        <v>46159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21571-2023</t>
        </is>
      </c>
      <c r="B384" s="1" t="n">
        <v>45063.58920138889</v>
      </c>
      <c r="C384" s="1" t="n">
        <v>46159</v>
      </c>
      <c r="D384" t="inlineStr">
        <is>
          <t>VÄSTMANLANDS LÄN</t>
        </is>
      </c>
      <c r="E384" t="inlineStr">
        <is>
          <t>SKINNSKATTEBERG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21579-2023</t>
        </is>
      </c>
      <c r="B385" s="1" t="n">
        <v>45063.59385416667</v>
      </c>
      <c r="C385" s="1" t="n">
        <v>46159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14044-2025</t>
        </is>
      </c>
      <c r="B386" s="1" t="n">
        <v>45740.37228009259</v>
      </c>
      <c r="C386" s="1" t="n">
        <v>46159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14049-2025</t>
        </is>
      </c>
      <c r="B387" s="1" t="n">
        <v>45740.38309027778</v>
      </c>
      <c r="C387" s="1" t="n">
        <v>46159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35683-2024</t>
        </is>
      </c>
      <c r="B388" s="1" t="n">
        <v>45532.41152777777</v>
      </c>
      <c r="C388" s="1" t="n">
        <v>46159</v>
      </c>
      <c r="D388" t="inlineStr">
        <is>
          <t>VÄSTMANLANDS LÄN</t>
        </is>
      </c>
      <c r="E388" t="inlineStr">
        <is>
          <t>SKINNSKATTEBERG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48825-2022</t>
        </is>
      </c>
      <c r="B389" s="1" t="n">
        <v>44859</v>
      </c>
      <c r="C389" s="1" t="n">
        <v>46159</v>
      </c>
      <c r="D389" t="inlineStr">
        <is>
          <t>VÄSTMANLANDS LÄN</t>
        </is>
      </c>
      <c r="E389" t="inlineStr">
        <is>
          <t>SKINNSKATTEBERG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53142-2021</t>
        </is>
      </c>
      <c r="B390" s="1" t="n">
        <v>44468.32285879629</v>
      </c>
      <c r="C390" s="1" t="n">
        <v>46159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53145-2021</t>
        </is>
      </c>
      <c r="B391" s="1" t="n">
        <v>44468.32862268519</v>
      </c>
      <c r="C391" s="1" t="n">
        <v>46159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18109-2023</t>
        </is>
      </c>
      <c r="B392" s="1" t="n">
        <v>45040</v>
      </c>
      <c r="C392" s="1" t="n">
        <v>46159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28312-2023</t>
        </is>
      </c>
      <c r="B393" s="1" t="n">
        <v>45099</v>
      </c>
      <c r="C393" s="1" t="n">
        <v>46159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11826-2024</t>
        </is>
      </c>
      <c r="B394" s="1" t="n">
        <v>45376.34787037037</v>
      </c>
      <c r="C394" s="1" t="n">
        <v>46159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20816-2023</t>
        </is>
      </c>
      <c r="B395" s="1" t="n">
        <v>45058</v>
      </c>
      <c r="C395" s="1" t="n">
        <v>46159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19093-2023</t>
        </is>
      </c>
      <c r="B396" s="1" t="n">
        <v>45048.42040509259</v>
      </c>
      <c r="C396" s="1" t="n">
        <v>46159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46874-2024</t>
        </is>
      </c>
      <c r="B397" s="1" t="n">
        <v>45583.64019675926</v>
      </c>
      <c r="C397" s="1" t="n">
        <v>46159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58317-2023</t>
        </is>
      </c>
      <c r="B398" s="1" t="n">
        <v>45250.57809027778</v>
      </c>
      <c r="C398" s="1" t="n">
        <v>46159</v>
      </c>
      <c r="D398" t="inlineStr">
        <is>
          <t>VÄSTMANLANDS LÄN</t>
        </is>
      </c>
      <c r="E398" t="inlineStr">
        <is>
          <t>SKINNSKATTEBERG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57747-2023</t>
        </is>
      </c>
      <c r="B399" s="1" t="n">
        <v>45246</v>
      </c>
      <c r="C399" s="1" t="n">
        <v>46159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14626-2024</t>
        </is>
      </c>
      <c r="B400" s="1" t="n">
        <v>45397</v>
      </c>
      <c r="C400" s="1" t="n">
        <v>46159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7103-2022</t>
        </is>
      </c>
      <c r="B401" s="1" t="n">
        <v>44603</v>
      </c>
      <c r="C401" s="1" t="n">
        <v>46159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Kyrkan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18516-2024</t>
        </is>
      </c>
      <c r="B402" s="1" t="n">
        <v>45425.6054050926</v>
      </c>
      <c r="C402" s="1" t="n">
        <v>46159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18517-2024</t>
        </is>
      </c>
      <c r="B403" s="1" t="n">
        <v>45425.60623842593</v>
      </c>
      <c r="C403" s="1" t="n">
        <v>46159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22611-2024</t>
        </is>
      </c>
      <c r="B404" s="1" t="n">
        <v>45447.64212962963</v>
      </c>
      <c r="C404" s="1" t="n">
        <v>46159</v>
      </c>
      <c r="D404" t="inlineStr">
        <is>
          <t>VÄSTMANLANDS LÄN</t>
        </is>
      </c>
      <c r="E404" t="inlineStr">
        <is>
          <t>SKINNSKATTEBERG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33571-2024</t>
        </is>
      </c>
      <c r="B405" s="1" t="n">
        <v>45520</v>
      </c>
      <c r="C405" s="1" t="n">
        <v>46159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30353-2023</t>
        </is>
      </c>
      <c r="B406" s="1" t="n">
        <v>45111</v>
      </c>
      <c r="C406" s="1" t="n">
        <v>46159</v>
      </c>
      <c r="D406" t="inlineStr">
        <is>
          <t>VÄSTMANLANDS LÄN</t>
        </is>
      </c>
      <c r="E406" t="inlineStr">
        <is>
          <t>SKINNSKATTEBERG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58979-2023</t>
        </is>
      </c>
      <c r="B407" s="1" t="n">
        <v>45252.62059027778</v>
      </c>
      <c r="C407" s="1" t="n">
        <v>46159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13385-2024</t>
        </is>
      </c>
      <c r="B408" s="1" t="n">
        <v>45387.39675925926</v>
      </c>
      <c r="C408" s="1" t="n">
        <v>46159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47137-2024</t>
        </is>
      </c>
      <c r="B409" s="1" t="n">
        <v>45586</v>
      </c>
      <c r="C409" s="1" t="n">
        <v>46159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31262-2023</t>
        </is>
      </c>
      <c r="B410" s="1" t="n">
        <v>45114</v>
      </c>
      <c r="C410" s="1" t="n">
        <v>46159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6183-2023</t>
        </is>
      </c>
      <c r="B411" s="1" t="n">
        <v>44964</v>
      </c>
      <c r="C411" s="1" t="n">
        <v>46159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13713-2024</t>
        </is>
      </c>
      <c r="B412" s="1" t="n">
        <v>45390</v>
      </c>
      <c r="C412" s="1" t="n">
        <v>46159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53880-2021</t>
        </is>
      </c>
      <c r="B413" s="1" t="n">
        <v>44469.68425925926</v>
      </c>
      <c r="C413" s="1" t="n">
        <v>46159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25843-2023</t>
        </is>
      </c>
      <c r="B414" s="1" t="n">
        <v>45090</v>
      </c>
      <c r="C414" s="1" t="n">
        <v>46159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18409-2025</t>
        </is>
      </c>
      <c r="B415" s="1" t="n">
        <v>45762.61232638889</v>
      </c>
      <c r="C415" s="1" t="n">
        <v>46159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4379-2025</t>
        </is>
      </c>
      <c r="B416" s="1" t="n">
        <v>45686.39192129629</v>
      </c>
      <c r="C416" s="1" t="n">
        <v>46159</v>
      </c>
      <c r="D416" t="inlineStr">
        <is>
          <t>VÄSTMANLANDS LÄN</t>
        </is>
      </c>
      <c r="E416" t="inlineStr">
        <is>
          <t>SKINNSKATTEBERG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18417-2025</t>
        </is>
      </c>
      <c r="B417" s="1" t="n">
        <v>45762.61646990741</v>
      </c>
      <c r="C417" s="1" t="n">
        <v>46159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59578-2024</t>
        </is>
      </c>
      <c r="B418" s="1" t="n">
        <v>45637</v>
      </c>
      <c r="C418" s="1" t="n">
        <v>46159</v>
      </c>
      <c r="D418" t="inlineStr">
        <is>
          <t>VÄSTMANLANDS LÄN</t>
        </is>
      </c>
      <c r="E418" t="inlineStr">
        <is>
          <t>SKINNSKATTEBERG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14627-2024</t>
        </is>
      </c>
      <c r="B419" s="1" t="n">
        <v>45397</v>
      </c>
      <c r="C419" s="1" t="n">
        <v>46159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13553-2023</t>
        </is>
      </c>
      <c r="B420" s="1" t="n">
        <v>45006.46628472222</v>
      </c>
      <c r="C420" s="1" t="n">
        <v>46159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Allmännings- och besparingsskogar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54576-2024</t>
        </is>
      </c>
      <c r="B421" s="1" t="n">
        <v>45617.65555555555</v>
      </c>
      <c r="C421" s="1" t="n">
        <v>46159</v>
      </c>
      <c r="D421" t="inlineStr">
        <is>
          <t>VÄSTMANLANDS LÄN</t>
        </is>
      </c>
      <c r="E421" t="inlineStr">
        <is>
          <t>SKINNSKATTEBERG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20430-2023</t>
        </is>
      </c>
      <c r="B422" s="1" t="n">
        <v>45056.70799768518</v>
      </c>
      <c r="C422" s="1" t="n">
        <v>46159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31407-2024</t>
        </is>
      </c>
      <c r="B423" s="1" t="n">
        <v>45505.57873842592</v>
      </c>
      <c r="C423" s="1" t="n">
        <v>46159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33789-2024</t>
        </is>
      </c>
      <c r="B424" s="1" t="n">
        <v>45520</v>
      </c>
      <c r="C424" s="1" t="n">
        <v>46159</v>
      </c>
      <c r="D424" t="inlineStr">
        <is>
          <t>VÄSTMANLANDS LÄN</t>
        </is>
      </c>
      <c r="E424" t="inlineStr">
        <is>
          <t>SKINNSKATTEBERG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54657-2022</t>
        </is>
      </c>
      <c r="B425" s="1" t="n">
        <v>44883</v>
      </c>
      <c r="C425" s="1" t="n">
        <v>46159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36288-2022</t>
        </is>
      </c>
      <c r="B426" s="1" t="n">
        <v>44803</v>
      </c>
      <c r="C426" s="1" t="n">
        <v>46159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52566-2024</t>
        </is>
      </c>
      <c r="B427" s="1" t="n">
        <v>45609</v>
      </c>
      <c r="C427" s="1" t="n">
        <v>46159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60185-2022</t>
        </is>
      </c>
      <c r="B428" s="1" t="n">
        <v>44910.36125</v>
      </c>
      <c r="C428" s="1" t="n">
        <v>46159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33900-2023</t>
        </is>
      </c>
      <c r="B429" s="1" t="n">
        <v>45134.37332175926</v>
      </c>
      <c r="C429" s="1" t="n">
        <v>46159</v>
      </c>
      <c r="D429" t="inlineStr">
        <is>
          <t>VÄSTMANLANDS LÄN</t>
        </is>
      </c>
      <c r="E429" t="inlineStr">
        <is>
          <t>SKINNSKATTEBERG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15561-2024</t>
        </is>
      </c>
      <c r="B430" s="1" t="n">
        <v>45401.64908564815</v>
      </c>
      <c r="C430" s="1" t="n">
        <v>46159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31260-2023</t>
        </is>
      </c>
      <c r="B431" s="1" t="n">
        <v>45114</v>
      </c>
      <c r="C431" s="1" t="n">
        <v>46159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21908-2023</t>
        </is>
      </c>
      <c r="B432" s="1" t="n">
        <v>45068.53958333333</v>
      </c>
      <c r="C432" s="1" t="n">
        <v>46159</v>
      </c>
      <c r="D432" t="inlineStr">
        <is>
          <t>VÄSTMANLANDS LÄN</t>
        </is>
      </c>
      <c r="E432" t="inlineStr">
        <is>
          <t>SKINNSKATTEBERG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22394-2022</t>
        </is>
      </c>
      <c r="B433" s="1" t="n">
        <v>44713</v>
      </c>
      <c r="C433" s="1" t="n">
        <v>46159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48492-2024</t>
        </is>
      </c>
      <c r="B434" s="1" t="n">
        <v>45592</v>
      </c>
      <c r="C434" s="1" t="n">
        <v>46159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43805-2024</t>
        </is>
      </c>
      <c r="B435" s="1" t="n">
        <v>45571</v>
      </c>
      <c r="C435" s="1" t="n">
        <v>46159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43806-2024</t>
        </is>
      </c>
      <c r="B436" s="1" t="n">
        <v>45571</v>
      </c>
      <c r="C436" s="1" t="n">
        <v>46159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54501-2024</t>
        </is>
      </c>
      <c r="B437" s="1" t="n">
        <v>45617.58048611111</v>
      </c>
      <c r="C437" s="1" t="n">
        <v>46159</v>
      </c>
      <c r="D437" t="inlineStr">
        <is>
          <t>VÄSTMANLANDS LÄN</t>
        </is>
      </c>
      <c r="E437" t="inlineStr">
        <is>
          <t>SKINNSKATTEBERG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31617-2024</t>
        </is>
      </c>
      <c r="B438" s="1" t="n">
        <v>45506</v>
      </c>
      <c r="C438" s="1" t="n">
        <v>46159</v>
      </c>
      <c r="D438" t="inlineStr">
        <is>
          <t>VÄSTMANLANDS LÄN</t>
        </is>
      </c>
      <c r="E438" t="inlineStr">
        <is>
          <t>SKINNSKATTEBERG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40545-2023</t>
        </is>
      </c>
      <c r="B439" s="1" t="n">
        <v>45170</v>
      </c>
      <c r="C439" s="1" t="n">
        <v>46159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51472-2024</t>
        </is>
      </c>
      <c r="B440" s="1" t="n">
        <v>45604</v>
      </c>
      <c r="C440" s="1" t="n">
        <v>46159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1069-2023</t>
        </is>
      </c>
      <c r="B441" s="1" t="n">
        <v>44935.52166666667</v>
      </c>
      <c r="C441" s="1" t="n">
        <v>46159</v>
      </c>
      <c r="D441" t="inlineStr">
        <is>
          <t>VÄSTMANLANDS LÄN</t>
        </is>
      </c>
      <c r="E441" t="inlineStr">
        <is>
          <t>SKINNSKATTEBERG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54483-2024</t>
        </is>
      </c>
      <c r="B442" s="1" t="n">
        <v>45617.56130787037</v>
      </c>
      <c r="C442" s="1" t="n">
        <v>46159</v>
      </c>
      <c r="D442" t="inlineStr">
        <is>
          <t>VÄSTMANLANDS LÄN</t>
        </is>
      </c>
      <c r="E442" t="inlineStr">
        <is>
          <t>SKINNSKATTEBERG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55229-2023</t>
        </is>
      </c>
      <c r="B443" s="1" t="n">
        <v>45237.620625</v>
      </c>
      <c r="C443" s="1" t="n">
        <v>46159</v>
      </c>
      <c r="D443" t="inlineStr">
        <is>
          <t>VÄSTMANLANDS LÄN</t>
        </is>
      </c>
      <c r="E443" t="inlineStr">
        <is>
          <t>SKINNSKATTEBERG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37432-2023</t>
        </is>
      </c>
      <c r="B444" s="1" t="n">
        <v>45156</v>
      </c>
      <c r="C444" s="1" t="n">
        <v>46159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43411-2024</t>
        </is>
      </c>
      <c r="B445" s="1" t="n">
        <v>45568.62128472222</v>
      </c>
      <c r="C445" s="1" t="n">
        <v>46159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12888-2024</t>
        </is>
      </c>
      <c r="B446" s="1" t="n">
        <v>45385</v>
      </c>
      <c r="C446" s="1" t="n">
        <v>46159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43807-2024</t>
        </is>
      </c>
      <c r="B447" s="1" t="n">
        <v>45571</v>
      </c>
      <c r="C447" s="1" t="n">
        <v>46159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14237-2025</t>
        </is>
      </c>
      <c r="B448" s="1" t="n">
        <v>45740.60653935185</v>
      </c>
      <c r="C448" s="1" t="n">
        <v>46159</v>
      </c>
      <c r="D448" t="inlineStr">
        <is>
          <t>VÄSTMANLANDS LÄN</t>
        </is>
      </c>
      <c r="E448" t="inlineStr">
        <is>
          <t>SKINNSKATTEBERG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27329-2023</t>
        </is>
      </c>
      <c r="B449" s="1" t="n">
        <v>45096.67586805556</v>
      </c>
      <c r="C449" s="1" t="n">
        <v>46159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18416-2025</t>
        </is>
      </c>
      <c r="B450" s="1" t="n">
        <v>45762.61513888889</v>
      </c>
      <c r="C450" s="1" t="n">
        <v>46159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40167-2024</t>
        </is>
      </c>
      <c r="B451" s="1" t="n">
        <v>45554</v>
      </c>
      <c r="C451" s="1" t="n">
        <v>46159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40169-2024</t>
        </is>
      </c>
      <c r="B452" s="1" t="n">
        <v>45554.54996527778</v>
      </c>
      <c r="C452" s="1" t="n">
        <v>46159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54589-2024</t>
        </is>
      </c>
      <c r="B453" s="1" t="n">
        <v>45617</v>
      </c>
      <c r="C453" s="1" t="n">
        <v>46159</v>
      </c>
      <c r="D453" t="inlineStr">
        <is>
          <t>VÄSTMANLANDS LÄN</t>
        </is>
      </c>
      <c r="E453" t="inlineStr">
        <is>
          <t>SKINNSKATTEBERG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36248-2024</t>
        </is>
      </c>
      <c r="B454" s="1" t="n">
        <v>45534</v>
      </c>
      <c r="C454" s="1" t="n">
        <v>46159</v>
      </c>
      <c r="D454" t="inlineStr">
        <is>
          <t>VÄSTMANLANDS LÄN</t>
        </is>
      </c>
      <c r="E454" t="inlineStr">
        <is>
          <t>SKINNSKATTEBERG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20947-2025</t>
        </is>
      </c>
      <c r="B455" s="1" t="n">
        <v>45777.43487268518</v>
      </c>
      <c r="C455" s="1" t="n">
        <v>46159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20949-2025</t>
        </is>
      </c>
      <c r="B456" s="1" t="n">
        <v>45777</v>
      </c>
      <c r="C456" s="1" t="n">
        <v>46159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50980-2022</t>
        </is>
      </c>
      <c r="B457" s="1" t="n">
        <v>44867.84059027778</v>
      </c>
      <c r="C457" s="1" t="n">
        <v>46159</v>
      </c>
      <c r="D457" t="inlineStr">
        <is>
          <t>VÄSTMANLANDS LÄN</t>
        </is>
      </c>
      <c r="E457" t="inlineStr">
        <is>
          <t>SKINNSKATTEBERG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12158-2024</t>
        </is>
      </c>
      <c r="B458" s="1" t="n">
        <v>45377</v>
      </c>
      <c r="C458" s="1" t="n">
        <v>46159</v>
      </c>
      <c r="D458" t="inlineStr">
        <is>
          <t>VÄSTMANLANDS LÄN</t>
        </is>
      </c>
      <c r="E458" t="inlineStr">
        <is>
          <t>SKINNSKATTEBERG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22296-2025</t>
        </is>
      </c>
      <c r="B459" s="1" t="n">
        <v>45786.35171296296</v>
      </c>
      <c r="C459" s="1" t="n">
        <v>46159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22299-2025</t>
        </is>
      </c>
      <c r="B460" s="1" t="n">
        <v>45786.35387731482</v>
      </c>
      <c r="C460" s="1" t="n">
        <v>46159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37730-2024</t>
        </is>
      </c>
      <c r="B461" s="1" t="n">
        <v>45541.66181712963</v>
      </c>
      <c r="C461" s="1" t="n">
        <v>46159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22280-2025</t>
        </is>
      </c>
      <c r="B462" s="1" t="n">
        <v>45786.33869212963</v>
      </c>
      <c r="C462" s="1" t="n">
        <v>46159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22301-2025</t>
        </is>
      </c>
      <c r="B463" s="1" t="n">
        <v>45786.3565162037</v>
      </c>
      <c r="C463" s="1" t="n">
        <v>46159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38783-2024</t>
        </is>
      </c>
      <c r="B464" s="1" t="n">
        <v>45547.47407407407</v>
      </c>
      <c r="C464" s="1" t="n">
        <v>46159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23131-2025</t>
        </is>
      </c>
      <c r="B465" s="1" t="n">
        <v>45791.38737268518</v>
      </c>
      <c r="C465" s="1" t="n">
        <v>46159</v>
      </c>
      <c r="D465" t="inlineStr">
        <is>
          <t>VÄSTMANLANDS LÄN</t>
        </is>
      </c>
      <c r="E465" t="inlineStr">
        <is>
          <t>SKINNSKATTEBERG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23624-2025</t>
        </is>
      </c>
      <c r="B466" s="1" t="n">
        <v>45792.6740162037</v>
      </c>
      <c r="C466" s="1" t="n">
        <v>46159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23611-2025</t>
        </is>
      </c>
      <c r="B467" s="1" t="n">
        <v>45792.66241898148</v>
      </c>
      <c r="C467" s="1" t="n">
        <v>46159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23621-2025</t>
        </is>
      </c>
      <c r="B468" s="1" t="n">
        <v>45792.67262731482</v>
      </c>
      <c r="C468" s="1" t="n">
        <v>46159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2026-05-17T14:04:12Z</dcterms:created>
  <dcterms:modified xmlns:dcterms="http://purl.org/dc/terms/" xmlns:xsi="http://www.w3.org/2001/XMLSchema-instance" xsi:type="dcterms:W3CDTF">2026-05-17T14:04:13Z</dcterms:modified>
</cp:coreProperties>
</file>