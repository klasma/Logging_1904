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46251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46251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46251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t="n">
        <v>7</v>
      </c>
      <c r="V6" s="2" t="inlineStr">
        <is>
          <t>Brunpudrad nållav
Vedtrappmossa
Gullgröppa
Vanlig flatbagge
Timmerticka</t>
        </is>
      </c>
      <c r="W6">
        <f>HYPERLINK("https://klasma.github.io/Logging_1904/artfynd/A 21845-2026 artfynd.xlsx", "A 21845-2026")</f>
        <v/>
      </c>
      <c r="X6">
        <f>HYPERLINK("https://klasma.github.io/Logging_1904/kartor/A 21845-2026 karta.png", "A 21845-2026")</f>
        <v/>
      </c>
      <c r="Y6">
        <f>HYPERLINK("https://klasma.github.io/Logging_1904/kartor_geotiff/A 21845-2026 georefererad karta.tif", "A 21845-2026")</f>
        <v/>
      </c>
      <c r="AA6">
        <f>HYPERLINK("https://klasma.github.io/Logging_1904/klagomål/A 21845-2026 FSC-klagomål.docx", "A 21845-2026")</f>
        <v/>
      </c>
      <c r="AB6">
        <f>HYPERLINK("https://klasma.github.io/Logging_1904/klagomålsmail/A 21845-2026 FSC-klagomål mail.docx", "A 21845-2026")</f>
        <v/>
      </c>
      <c r="AC6">
        <f>HYPERLINK("https://klasma.github.io/Logging_1904/tillsyn/A 21845-2026 tillsynsbegäran.docx", "A 21845-2026")</f>
        <v/>
      </c>
      <c r="AD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46251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36595-2024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45537</v>
      </c>
      <c r="E8" s="1" t="n">
        <v>46251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1</v>
      </c>
      <c r="K8" t="n">
        <v>0</v>
      </c>
      <c r="L8" t="n">
        <v>1</v>
      </c>
      <c r="M8" t="n">
        <v>3</v>
      </c>
      <c r="N8" t="n">
        <v>0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4</v>
      </c>
      <c r="U8" t="n">
        <v>4</v>
      </c>
      <c r="V8" s="2" t="inlineStr">
        <is>
          <t>Knärot
Lakritsmusseron
Lammticka
Skarp dropptaggsvamp</t>
        </is>
      </c>
      <c r="W8">
        <f>HYPERLINK("https://klasma.github.io/Logging_1904/artfynd/A 36595-2024 artfynd.xlsx", "A 36595-2024")</f>
        <v/>
      </c>
      <c r="X8">
        <f>HYPERLINK("https://klasma.github.io/Logging_1904/kartor/A 36595-2024 karta.png", "A 36595-2024")</f>
        <v/>
      </c>
      <c r="Y8">
        <f>HYPERLINK("https://klasma.github.io/Logging_1904/kartor_geotiff/A 36595-2024 georefererad karta.tif", "A 36595-2024")</f>
        <v/>
      </c>
      <c r="Z8">
        <f>HYPERLINK("https://klasma.github.io/Logging_1904/knärot/A 36595-2024 karta knärot.png", "A 36595-2024")</f>
        <v/>
      </c>
      <c r="AA8">
        <f>HYPERLINK("https://klasma.github.io/Logging_1904/klagomål/A 36595-2024 FSC-klagomål.docx", "A 36595-2024")</f>
        <v/>
      </c>
      <c r="AB8">
        <f>HYPERLINK("https://klasma.github.io/Logging_1904/klagomålsmail/A 36595-2024 FSC-klagomål mail.docx", "A 36595-2024")</f>
        <v/>
      </c>
      <c r="AC8">
        <f>HYPERLINK("https://klasma.github.io/Logging_1904/tillsyn/A 36595-2024 tillsynsbegäran.docx", "A 36595-2024")</f>
        <v/>
      </c>
      <c r="AD8">
        <f>HYPERLINK("https://klasma.github.io/Logging_1904/tillsynsmail/A 36595-2024 tillsynsbegäran mail.docx", "A 36595-2024")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46251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13715-2024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45390</v>
      </c>
      <c r="E10" s="1" t="n">
        <v>46251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4</v>
      </c>
      <c r="V10" s="2" t="inlineStr">
        <is>
          <t>Krusfrö
Järpe
Tjäder</t>
        </is>
      </c>
      <c r="W10">
        <f>HYPERLINK("https://klasma.github.io/Logging_1904/artfynd/A 13715-2024 artfynd.xlsx", "A 13715-2024")</f>
        <v/>
      </c>
      <c r="X10">
        <f>HYPERLINK("https://klasma.github.io/Logging_1904/kartor/A 13715-2024 karta.png", "A 13715-2024")</f>
        <v/>
      </c>
      <c r="Y10">
        <f>HYPERLINK("https://klasma.github.io/Logging_1904/kartor_geotiff/A 13715-2024 georefererad karta.tif", "A 13715-2024")</f>
        <v/>
      </c>
      <c r="AA10">
        <f>HYPERLINK("https://klasma.github.io/Logging_1904/klagomål/A 13715-2024 FSC-klagomål.docx", "A 13715-2024")</f>
        <v/>
      </c>
      <c r="AB10">
        <f>HYPERLINK("https://klasma.github.io/Logging_1904/klagomålsmail/A 13715-2024 FSC-klagomål mail.docx", "A 13715-2024")</f>
        <v/>
      </c>
      <c r="AC10">
        <f>HYPERLINK("https://klasma.github.io/Logging_1904/tillsyn/A 13715-2024 tillsynsbegäran.docx", "A 13715-2024")</f>
        <v/>
      </c>
      <c r="AD10">
        <f>HYPERLINK("https://klasma.github.io/Logging_1904/tillsynsmail/A 13715-2024 tillsynsbegäran mail.docx", "A 13715-2024")</f>
        <v/>
      </c>
      <c r="AE10">
        <f>HYPERLINK("https://klasma.github.io/Logging_1904/fåglar/A 13715-2024 prioriterade fågelarter.docx", "A 13715-2024")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46251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46251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46251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46251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46251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46251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46251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46251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46251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46251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12887-2024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45385</v>
      </c>
      <c r="E21" s="1" t="n">
        <v>46251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Sparvuggla</t>
        </is>
      </c>
      <c r="W21">
        <f>HYPERLINK("https://klasma.github.io/Logging_1904/artfynd/A 12887-2024 artfynd.xlsx", "A 12887-2024")</f>
        <v/>
      </c>
      <c r="X21">
        <f>HYPERLINK("https://klasma.github.io/Logging_1904/kartor/A 12887-2024 karta.png", "A 12887-2024")</f>
        <v/>
      </c>
      <c r="Y21">
        <f>HYPERLINK("https://klasma.github.io/Logging_1904/kartor_geotiff/A 12887-2024 georefererad karta.tif", "A 12887-2024")</f>
        <v/>
      </c>
      <c r="AA21">
        <f>HYPERLINK("https://klasma.github.io/Logging_1904/klagomål/A 12887-2024 FSC-klagomål.docx", "A 12887-2024")</f>
        <v/>
      </c>
      <c r="AB21">
        <f>HYPERLINK("https://klasma.github.io/Logging_1904/klagomålsmail/A 12887-2024 FSC-klagomål mail.docx", "A 12887-2024")</f>
        <v/>
      </c>
      <c r="AC21">
        <f>HYPERLINK("https://klasma.github.io/Logging_1904/tillsyn/A 12887-2024 tillsynsbegäran.docx", "A 12887-2024")</f>
        <v/>
      </c>
      <c r="AD21">
        <f>HYPERLINK("https://klasma.github.io/Logging_1904/tillsynsmail/A 12887-2024 tillsynsbegäran mail.docx", "A 12887-2024")</f>
        <v/>
      </c>
      <c r="AE21">
        <f>HYPERLINK("https://klasma.github.io/Logging_1904/fåglar/A 12887-2024 prioriterade fågelarter.docx", "A 12887-2024")</f>
        <v/>
      </c>
    </row>
    <row r="22" ht="15" customHeight="1">
      <c r="A22" t="inlineStr">
        <is>
          <t>A 23893-2023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46251</v>
      </c>
      <c r="F22" t="inlineStr">
        <is>
          <t>VÄSTMANLANDS LÄN</t>
        </is>
      </c>
      <c r="G22" t="inlineStr">
        <is>
          <t>SKINNSKATTEBERG</t>
        </is>
      </c>
      <c r="I22" t="n">
        <v>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Knärot</t>
        </is>
      </c>
      <c r="W22">
        <f>HYPERLINK("https://klasma.github.io/Logging_1904/artfynd/A 23893-2023 artfynd.xlsx", "A 23893-2023")</f>
        <v/>
      </c>
      <c r="X22">
        <f>HYPERLINK("https://klasma.github.io/Logging_1904/kartor/A 23893-2023 karta.png", "A 23893-2023")</f>
        <v/>
      </c>
      <c r="Y22">
        <f>HYPERLINK("https://klasma.github.io/Logging_1904/kartor_geotiff/A 23893-2023 georefererad karta.tif", "A 23893-2023")</f>
        <v/>
      </c>
      <c r="Z22">
        <f>HYPERLINK("https://klasma.github.io/Logging_1904/knärot/A 23893-2023 karta knärot.png", "A 23893-2023")</f>
        <v/>
      </c>
      <c r="AA22">
        <f>HYPERLINK("https://klasma.github.io/Logging_1904/klagomål/A 23893-2023 FSC-klagomål.docx", "A 23893-2023")</f>
        <v/>
      </c>
      <c r="AB22">
        <f>HYPERLINK("https://klasma.github.io/Logging_1904/klagomålsmail/A 23893-2023 FSC-klagomål mail.docx", "A 23893-2023")</f>
        <v/>
      </c>
      <c r="AC22">
        <f>HYPERLINK("https://klasma.github.io/Logging_1904/tillsyn/A 23893-2023 tillsynsbegäran.docx", "A 23893-2023")</f>
        <v/>
      </c>
      <c r="AD22">
        <f>HYPERLINK("https://klasma.github.io/Logging_1904/tillsynsmail/A 23893-2023 tillsynsbegäran mail.docx", "A 23893-2023")</f>
        <v/>
      </c>
    </row>
    <row r="23" ht="15" customHeight="1">
      <c r="A23" t="inlineStr">
        <is>
          <t>A 9491-2024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46251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Skogshare</t>
        </is>
      </c>
      <c r="W23">
        <f>HYPERLINK("https://klasma.github.io/Logging_1904/artfynd/A 9491-2024 artfynd.xlsx", "A 9491-2024")</f>
        <v/>
      </c>
      <c r="X23">
        <f>HYPERLINK("https://klasma.github.io/Logging_1904/kartor/A 9491-2024 karta.png", "A 9491-2024")</f>
        <v/>
      </c>
      <c r="Y23">
        <f>HYPERLINK("https://klasma.github.io/Logging_1904/kartor_geotiff/A 9491-2024 georefererad karta.tif", "A 9491-2024")</f>
        <v/>
      </c>
      <c r="AA23">
        <f>HYPERLINK("https://klasma.github.io/Logging_1904/klagomål/A 9491-2024 FSC-klagomål.docx", "A 9491-2024")</f>
        <v/>
      </c>
      <c r="AB23">
        <f>HYPERLINK("https://klasma.github.io/Logging_1904/klagomålsmail/A 9491-2024 FSC-klagomål mail.docx", "A 9491-2024")</f>
        <v/>
      </c>
      <c r="AC23">
        <f>HYPERLINK("https://klasma.github.io/Logging_1904/tillsyn/A 9491-2024 tillsynsbegäran.docx", "A 9491-2024")</f>
        <v/>
      </c>
      <c r="AD23">
        <f>HYPERLINK("https://klasma.github.io/Logging_1904/tillsynsmail/A 9491-2024 tillsynsbegäran mail.docx", "A 9491-2024")</f>
        <v/>
      </c>
    </row>
    <row r="24" ht="15" customHeight="1">
      <c r="A24" t="inlineStr">
        <is>
          <t>A 27565-2024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45474</v>
      </c>
      <c r="E24" s="1" t="n">
        <v>46251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HYPERLINK("https://klasma.github.io/Logging_1904/artfynd/A 27565-2024 artfynd.xlsx", "A 27565-2024")</f>
        <v/>
      </c>
      <c r="X24">
        <f>HYPERLINK("https://klasma.github.io/Logging_1904/kartor/A 27565-2024 karta.png", "A 27565-2024")</f>
        <v/>
      </c>
      <c r="Y24">
        <f>HYPERLINK("https://klasma.github.io/Logging_1904/kartor_geotiff/A 27565-2024 georefererad karta.tif", "A 27565-2024")</f>
        <v/>
      </c>
      <c r="AA24">
        <f>HYPERLINK("https://klasma.github.io/Logging_1904/klagomål/A 27565-2024 FSC-klagomål.docx", "A 27565-2024")</f>
        <v/>
      </c>
      <c r="AB24">
        <f>HYPERLINK("https://klasma.github.io/Logging_1904/klagomålsmail/A 27565-2024 FSC-klagomål mail.docx", "A 27565-2024")</f>
        <v/>
      </c>
      <c r="AC24">
        <f>HYPERLINK("https://klasma.github.io/Logging_1904/tillsyn/A 27565-2024 tillsynsbegäran.docx", "A 27565-2024")</f>
        <v/>
      </c>
      <c r="AD24">
        <f>HYPERLINK("https://klasma.github.io/Logging_1904/tillsynsmail/A 27565-2024 tillsynsbegäran mail.docx", "A 27565-2024")</f>
        <v/>
      </c>
    </row>
    <row r="25" ht="15" customHeight="1">
      <c r="A25" t="inlineStr">
        <is>
          <t>A 41868-2022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44829</v>
      </c>
      <c r="E25" s="1" t="n">
        <v>46251</v>
      </c>
      <c r="F25" t="inlineStr">
        <is>
          <t>VÄSTMANLANDS LÄN</t>
        </is>
      </c>
      <c r="G25" t="inlineStr">
        <is>
          <t>SKINNSKATTEBERG</t>
        </is>
      </c>
      <c r="I25" t="n">
        <v>0.9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HYPERLINK("https://klasma.github.io/Logging_1904/artfynd/A 41868-2022 artfynd.xlsx", "A 41868-2022")</f>
        <v/>
      </c>
      <c r="X25">
        <f>HYPERLINK("https://klasma.github.io/Logging_1904/kartor/A 41868-2022 karta.png", "A 41868-2022")</f>
        <v/>
      </c>
      <c r="Y25">
        <f>HYPERLINK("https://klasma.github.io/Logging_1904/kartor_geotiff/A 41868-2022 georefererad karta.tif", "A 41868-2022")</f>
        <v/>
      </c>
      <c r="AA25">
        <f>HYPERLINK("https://klasma.github.io/Logging_1904/klagomål/A 41868-2022 FSC-klagomål.docx", "A 41868-2022")</f>
        <v/>
      </c>
      <c r="AB25">
        <f>HYPERLINK("https://klasma.github.io/Logging_1904/klagomålsmail/A 41868-2022 FSC-klagomål mail.docx", "A 41868-2022")</f>
        <v/>
      </c>
      <c r="AC25">
        <f>HYPERLINK("https://klasma.github.io/Logging_1904/tillsyn/A 41868-2022 tillsynsbegäran.docx", "A 41868-2022")</f>
        <v/>
      </c>
      <c r="AD25">
        <f>HYPERLINK("https://klasma.github.io/Logging_1904/tillsynsmail/A 41868-2022 tillsynsbegäran mail.docx", "A 41868-2022")</f>
        <v/>
      </c>
    </row>
    <row r="26" ht="15" customHeight="1">
      <c r="A26" t="inlineStr">
        <is>
          <t>A 4000-2024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46251</v>
      </c>
      <c r="F26" t="inlineStr">
        <is>
          <t>VÄSTMANLANDS LÄN</t>
        </is>
      </c>
      <c r="G26" t="inlineStr">
        <is>
          <t>SKINNSKATTEBERG</t>
        </is>
      </c>
      <c r="I26" t="n">
        <v>14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Klasefibbla</t>
        </is>
      </c>
      <c r="W26">
        <f>HYPERLINK("https://klasma.github.io/Logging_1904/artfynd/A 4000-2024 artfynd.xlsx", "A 4000-2024")</f>
        <v/>
      </c>
      <c r="X26">
        <f>HYPERLINK("https://klasma.github.io/Logging_1904/kartor/A 4000-2024 karta.png", "A 4000-2024")</f>
        <v/>
      </c>
      <c r="Y26">
        <f>HYPERLINK("https://klasma.github.io/Logging_1904/kartor_geotiff/A 4000-2024 georefererad karta.tif", "A 4000-2024")</f>
        <v/>
      </c>
      <c r="AA26">
        <f>HYPERLINK("https://klasma.github.io/Logging_1904/klagomål/A 4000-2024 FSC-klagomål.docx", "A 4000-2024")</f>
        <v/>
      </c>
      <c r="AB26">
        <f>HYPERLINK("https://klasma.github.io/Logging_1904/klagomålsmail/A 4000-2024 FSC-klagomål mail.docx", "A 4000-2024")</f>
        <v/>
      </c>
      <c r="AC26">
        <f>HYPERLINK("https://klasma.github.io/Logging_1904/tillsyn/A 4000-2024 tillsynsbegäran.docx", "A 4000-2024")</f>
        <v/>
      </c>
      <c r="AD26">
        <f>HYPERLINK("https://klasma.github.io/Logging_1904/tillsynsmail/A 4000-2024 tillsynsbegäran mail.docx", "A 4000-2024")</f>
        <v/>
      </c>
    </row>
    <row r="27" ht="15" customHeight="1">
      <c r="A27" t="inlineStr">
        <is>
          <t>A 47538-2025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46251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HYPERLINK("https://klasma.github.io/Logging_1904/artfynd/A 47538-2025 artfynd.xlsx", "A 47538-2025")</f>
        <v/>
      </c>
      <c r="X27">
        <f>HYPERLINK("https://klasma.github.io/Logging_1904/kartor/A 47538-2025 karta.png", "A 47538-2025")</f>
        <v/>
      </c>
      <c r="Y27">
        <f>HYPERLINK("https://klasma.github.io/Logging_1904/kartor_geotiff/A 47538-2025 georefererad karta.tif", "A 47538-2025")</f>
        <v/>
      </c>
      <c r="AA27">
        <f>HYPERLINK("https://klasma.github.io/Logging_1904/klagomål/A 47538-2025 FSC-klagomål.docx", "A 47538-2025")</f>
        <v/>
      </c>
      <c r="AB27">
        <f>HYPERLINK("https://klasma.github.io/Logging_1904/klagomålsmail/A 47538-2025 FSC-klagomål mail.docx", "A 47538-2025")</f>
        <v/>
      </c>
      <c r="AC27">
        <f>HYPERLINK("https://klasma.github.io/Logging_1904/tillsyn/A 47538-2025 tillsynsbegäran.docx", "A 47538-2025")</f>
        <v/>
      </c>
      <c r="AD27">
        <f>HYPERLINK("https://klasma.github.io/Logging_1904/tillsynsmail/A 47538-2025 tillsynsbegäran mail.docx", "A 47538-2025")</f>
        <v/>
      </c>
    </row>
    <row r="28" ht="15" customHeight="1">
      <c r="A28" t="inlineStr">
        <is>
          <t>A 15734-2026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46107</v>
      </c>
      <c r="E28" s="1" t="n">
        <v>46251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Koppartaggsvamp</t>
        </is>
      </c>
      <c r="W28">
        <f>HYPERLINK("https://klasma.github.io/Logging_1904/artfynd/A 15734-2026 artfynd.xlsx", "A 15734-2026")</f>
        <v/>
      </c>
      <c r="X28">
        <f>HYPERLINK("https://klasma.github.io/Logging_1904/kartor/A 15734-2026 karta.png", "A 15734-2026")</f>
        <v/>
      </c>
      <c r="Y28">
        <f>HYPERLINK("https://klasma.github.io/Logging_1904/kartor_geotiff/A 15734-2026 georefererad karta.tif", "A 15734-2026")</f>
        <v/>
      </c>
      <c r="AA28">
        <f>HYPERLINK("https://klasma.github.io/Logging_1904/klagomål/A 15734-2026 FSC-klagomål.docx", "A 15734-2026")</f>
        <v/>
      </c>
      <c r="AB28">
        <f>HYPERLINK("https://klasma.github.io/Logging_1904/klagomålsmail/A 15734-2026 FSC-klagomål mail.docx", "A 15734-2026")</f>
        <v/>
      </c>
      <c r="AC28">
        <f>HYPERLINK("https://klasma.github.io/Logging_1904/tillsyn/A 15734-2026 tillsynsbegäran.docx", "A 15734-2026")</f>
        <v/>
      </c>
      <c r="AD28">
        <f>HYPERLINK("https://klasma.github.io/Logging_1904/tillsynsmail/A 15734-2026 tillsynsbegäran mail.docx", "A 15734-2026")</f>
        <v/>
      </c>
    </row>
    <row r="29" ht="15" customHeight="1">
      <c r="A29" t="inlineStr">
        <is>
          <t>A 9490-2024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46251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9490-2024 artfynd.xlsx", "A 9490-2024")</f>
        <v/>
      </c>
      <c r="X29">
        <f>HYPERLINK("https://klasma.github.io/Logging_1904/kartor/A 9490-2024 karta.png", "A 9490-2024")</f>
        <v/>
      </c>
      <c r="Y29">
        <f>HYPERLINK("https://klasma.github.io/Logging_1904/kartor_geotiff/A 9490-2024 georefererad karta.tif", "A 9490-2024")</f>
        <v/>
      </c>
      <c r="AA29">
        <f>HYPERLINK("https://klasma.github.io/Logging_1904/klagomål/A 9490-2024 FSC-klagomål.docx", "A 9490-2024")</f>
        <v/>
      </c>
      <c r="AB29">
        <f>HYPERLINK("https://klasma.github.io/Logging_1904/klagomålsmail/A 9490-2024 FSC-klagomål mail.docx", "A 9490-2024")</f>
        <v/>
      </c>
      <c r="AC29">
        <f>HYPERLINK("https://klasma.github.io/Logging_1904/tillsyn/A 9490-2024 tillsynsbegäran.docx", "A 9490-2024")</f>
        <v/>
      </c>
      <c r="AD29">
        <f>HYPERLINK("https://klasma.github.io/Logging_1904/tillsynsmail/A 9490-2024 tillsynsbegäran mail.docx", "A 9490-2024")</f>
        <v/>
      </c>
      <c r="AE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46251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46251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28312-2023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46251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Skrovlig taggsvamp</t>
        </is>
      </c>
      <c r="W32">
        <f>HYPERLINK("https://klasma.github.io/Logging_1904/artfynd/A 28312-2023 artfynd.xlsx", "A 28312-2023")</f>
        <v/>
      </c>
      <c r="X32">
        <f>HYPERLINK("https://klasma.github.io/Logging_1904/kartor/A 28312-2023 karta.png", "A 28312-2023")</f>
        <v/>
      </c>
      <c r="Y32">
        <f>HYPERLINK("https://klasma.github.io/Logging_1904/kartor_geotiff/A 28312-2023 georefererad karta.tif", "A 28312-2023")</f>
        <v/>
      </c>
      <c r="AA32">
        <f>HYPERLINK("https://klasma.github.io/Logging_1904/klagomål/A 28312-2023 FSC-klagomål.docx", "A 28312-2023")</f>
        <v/>
      </c>
      <c r="AB32">
        <f>HYPERLINK("https://klasma.github.io/Logging_1904/klagomålsmail/A 28312-2023 FSC-klagomål mail.docx", "A 28312-2023")</f>
        <v/>
      </c>
      <c r="AC32">
        <f>HYPERLINK("https://klasma.github.io/Logging_1904/tillsyn/A 28312-2023 tillsynsbegäran.docx", "A 28312-2023")</f>
        <v/>
      </c>
      <c r="AD32">
        <f>HYPERLINK("https://klasma.github.io/Logging_1904/tillsynsmail/A 28312-2023 tillsynsbegäran mail.docx", "A 28312-2023")</f>
        <v/>
      </c>
    </row>
    <row r="33" ht="15" customHeight="1">
      <c r="A33" t="inlineStr">
        <is>
          <t>A 20559-2026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46251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20559-2026 artfynd.xlsx", "A 20559-2026")</f>
        <v/>
      </c>
      <c r="X33">
        <f>HYPERLINK("https://klasma.github.io/Logging_1904/kartor/A 20559-2026 karta.png", "A 20559-2026")</f>
        <v/>
      </c>
      <c r="Y33">
        <f>HYPERLINK("https://klasma.github.io/Logging_1904/kartor_geotiff/A 20559-2026 georefererad karta.tif", "A 20559-2026")</f>
        <v/>
      </c>
      <c r="AA33">
        <f>HYPERLINK("https://klasma.github.io/Logging_1904/klagomål/A 20559-2026 FSC-klagomål.docx", "A 20559-2026")</f>
        <v/>
      </c>
      <c r="AB33">
        <f>HYPERLINK("https://klasma.github.io/Logging_1904/klagomålsmail/A 20559-2026 FSC-klagomål mail.docx", "A 20559-2026")</f>
        <v/>
      </c>
      <c r="AC33">
        <f>HYPERLINK("https://klasma.github.io/Logging_1904/tillsyn/A 20559-2026 tillsynsbegäran.docx", "A 20559-2026")</f>
        <v/>
      </c>
      <c r="AD33">
        <f>HYPERLINK("https://klasma.github.io/Logging_1904/tillsynsmail/A 20559-2026 tillsynsbegäran mail.docx", "A 20559-2026")</f>
        <v/>
      </c>
      <c r="AE33">
        <f>HYPERLINK("https://klasma.github.io/Logging_1904/fåglar/A 20559-2026 prioriterade fågelarter.docx", "A 20559-2026")</f>
        <v/>
      </c>
    </row>
    <row r="34" ht="15" customHeight="1">
      <c r="A34" t="inlineStr">
        <is>
          <t>A 49630-2024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46251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7.3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HYPERLINK("https://klasma.github.io/Logging_1904/artfynd/A 49630-2024 artfynd.xlsx", "A 49630-2024")</f>
        <v/>
      </c>
      <c r="X34">
        <f>HYPERLINK("https://klasma.github.io/Logging_1904/kartor/A 49630-2024 karta.png", "A 49630-2024")</f>
        <v/>
      </c>
      <c r="Y34">
        <f>HYPERLINK("https://klasma.github.io/Logging_1904/kartor_geotiff/A 49630-2024 georefererad karta.tif", "A 49630-2024")</f>
        <v/>
      </c>
      <c r="AA34">
        <f>HYPERLINK("https://klasma.github.io/Logging_1904/klagomål/A 49630-2024 FSC-klagomål.docx", "A 49630-2024")</f>
        <v/>
      </c>
      <c r="AB34">
        <f>HYPERLINK("https://klasma.github.io/Logging_1904/klagomålsmail/A 49630-2024 FSC-klagomål mail.docx", "A 49630-2024")</f>
        <v/>
      </c>
      <c r="AC34">
        <f>HYPERLINK("https://klasma.github.io/Logging_1904/tillsyn/A 49630-2024 tillsynsbegäran.docx", "A 49630-2024")</f>
        <v/>
      </c>
      <c r="AD34">
        <f>HYPERLINK("https://klasma.github.io/Logging_1904/tillsynsmail/A 49630-2024 tillsynsbegäran mail.docx", "A 49630-2024")</f>
        <v/>
      </c>
    </row>
    <row r="35" ht="15" customHeight="1">
      <c r="A35" t="inlineStr">
        <is>
          <t>A 21849-2026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46251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12.5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HYPERLINK("https://klasma.github.io/Logging_1904/artfynd/A 21849-2026 artfynd.xlsx", "A 21849-2026")</f>
        <v/>
      </c>
      <c r="X35">
        <f>HYPERLINK("https://klasma.github.io/Logging_1904/kartor/A 21849-2026 karta.png", "A 21849-2026")</f>
        <v/>
      </c>
      <c r="Y35">
        <f>HYPERLINK("https://klasma.github.io/Logging_1904/kartor_geotiff/A 21849-2026 georefererad karta.tif", "A 21849-2026")</f>
        <v/>
      </c>
      <c r="Z35">
        <f>HYPERLINK("https://klasma.github.io/Logging_1904/knärot/A 21849-2026 karta knärot.png", "A 21849-2026")</f>
        <v/>
      </c>
      <c r="AA35">
        <f>HYPERLINK("https://klasma.github.io/Logging_1904/klagomål/A 21849-2026 FSC-klagomål.docx", "A 21849-2026")</f>
        <v/>
      </c>
      <c r="AB35">
        <f>HYPERLINK("https://klasma.github.io/Logging_1904/klagomålsmail/A 21849-2026 FSC-klagomål mail.docx", "A 21849-2026")</f>
        <v/>
      </c>
      <c r="AC35">
        <f>HYPERLINK("https://klasma.github.io/Logging_1904/tillsyn/A 21849-2026 tillsynsbegäran.docx", "A 21849-2026")</f>
        <v/>
      </c>
      <c r="AD35">
        <f>HYPERLINK("https://klasma.github.io/Logging_1904/tillsynsmail/A 21849-2026 tillsynsbegäran mail.docx", "A 21849-2026")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46251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46251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46251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19205-2024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46251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Järpe</t>
        </is>
      </c>
      <c r="W41">
        <f>HYPERLINK("https://klasma.github.io/Logging_1904/artfynd/A 19205-2024 artfynd.xlsx", "A 19205-2024")</f>
        <v/>
      </c>
      <c r="X41">
        <f>HYPERLINK("https://klasma.github.io/Logging_1904/kartor/A 19205-2024 karta.png", "A 19205-2024")</f>
        <v/>
      </c>
      <c r="Y41">
        <f>HYPERLINK("https://klasma.github.io/Logging_1904/kartor_geotiff/A 19205-2024 georefererad karta.tif", "A 19205-2024")</f>
        <v/>
      </c>
      <c r="AA41">
        <f>HYPERLINK("https://klasma.github.io/Logging_1904/klagomål/A 19205-2024 FSC-klagomål.docx", "A 19205-2024")</f>
        <v/>
      </c>
      <c r="AB41">
        <f>HYPERLINK("https://klasma.github.io/Logging_1904/klagomålsmail/A 19205-2024 FSC-klagomål mail.docx", "A 19205-2024")</f>
        <v/>
      </c>
      <c r="AC41">
        <f>HYPERLINK("https://klasma.github.io/Logging_1904/tillsyn/A 19205-2024 tillsynsbegäran.docx", "A 19205-2024")</f>
        <v/>
      </c>
      <c r="AD41">
        <f>HYPERLINK("https://klasma.github.io/Logging_1904/tillsynsmail/A 19205-2024 tillsynsbegäran mail.docx", "A 19205-2024")</f>
        <v/>
      </c>
      <c r="AE41">
        <f>HYPERLINK("https://klasma.github.io/Logging_1904/fåglar/A 19205-2024 prioriterade fågelarter.docx", "A 19205-2024")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46251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31006-2025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45832</v>
      </c>
      <c r="E44" s="1" t="n">
        <v>46251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HYPERLINK("https://klasma.github.io/Logging_1904/artfynd/A 31006-2025 artfynd.xlsx", "A 31006-2025")</f>
        <v/>
      </c>
      <c r="X44">
        <f>HYPERLINK("https://klasma.github.io/Logging_1904/kartor/A 31006-2025 karta.png", "A 31006-2025")</f>
        <v/>
      </c>
      <c r="Y44">
        <f>HYPERLINK("https://klasma.github.io/Logging_1904/kartor_geotiff/A 31006-2025 georefererad karta.tif", "A 31006-2025")</f>
        <v/>
      </c>
      <c r="AA44">
        <f>HYPERLINK("https://klasma.github.io/Logging_1904/klagomål/A 31006-2025 FSC-klagomål.docx", "A 31006-2025")</f>
        <v/>
      </c>
      <c r="AB44">
        <f>HYPERLINK("https://klasma.github.io/Logging_1904/klagomålsmail/A 31006-2025 FSC-klagomål mail.docx", "A 31006-2025")</f>
        <v/>
      </c>
      <c r="AC44">
        <f>HYPERLINK("https://klasma.github.io/Logging_1904/tillsyn/A 31006-2025 tillsynsbegäran.docx", "A 31006-2025")</f>
        <v/>
      </c>
      <c r="AD44">
        <f>HYPERLINK("https://klasma.github.io/Logging_1904/tillsynsmail/A 31006-2025 tillsynsbegäran mail.docx", "A 31006-2025")</f>
        <v/>
      </c>
      <c r="AE44">
        <f>HYPERLINK("https://klasma.github.io/Logging_1904/fåglar/A 31006-2025 prioriterade fågelarter.docx", "A 31006-2025")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46251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46251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46251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46251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46251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46251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46251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46251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46251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46251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46251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46251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46251</v>
      </c>
      <c r="F57" t="inlineStr">
        <is>
          <t>VÄSTMANLANDS LÄN</t>
        </is>
      </c>
      <c r="G57" t="inlineStr">
        <is>
          <t>SKINNSKATTEBERG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71996-2021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46251</v>
      </c>
      <c r="F58" t="inlineStr">
        <is>
          <t>VÄSTMANLANDS LÄN</t>
        </is>
      </c>
      <c r="G58" t="inlineStr">
        <is>
          <t>SKINNSKATTEBERG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46251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46251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46251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46251</v>
      </c>
      <c r="F62" t="inlineStr">
        <is>
          <t>VÄSTMANLANDS LÄN</t>
        </is>
      </c>
      <c r="G62" t="inlineStr">
        <is>
          <t>SKINNSKATTEBERG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46251</v>
      </c>
      <c r="F63" t="inlineStr">
        <is>
          <t>VÄSTMANLANDS LÄN</t>
        </is>
      </c>
      <c r="G63" t="inlineStr">
        <is>
          <t>SKINNSKATTEBERG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46251</v>
      </c>
      <c r="F64" t="inlineStr">
        <is>
          <t>VÄSTMANLANDS LÄN</t>
        </is>
      </c>
      <c r="G64" t="inlineStr">
        <is>
          <t>SKINNSKATTEBERG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46251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46251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46251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20248-2024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45434</v>
      </c>
      <c r="E68" s="1" t="n">
        <v>46251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46251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45407</v>
      </c>
      <c r="E70" s="1" t="n">
        <v>46251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45407</v>
      </c>
      <c r="E71" s="1" t="n">
        <v>46251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46251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46251</v>
      </c>
      <c r="F73" t="inlineStr">
        <is>
          <t>VÄSTMANLANDS LÄN</t>
        </is>
      </c>
      <c r="G73" t="inlineStr">
        <is>
          <t>SKINNSKATTEBERG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46251</v>
      </c>
      <c r="F74" t="inlineStr">
        <is>
          <t>VÄSTMANLANDS LÄN</t>
        </is>
      </c>
      <c r="G74" t="inlineStr">
        <is>
          <t>SKINNSKATTEBERG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46251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46251</v>
      </c>
      <c r="F76" t="inlineStr">
        <is>
          <t>VÄSTMANLANDS LÄN</t>
        </is>
      </c>
      <c r="G76" t="inlineStr">
        <is>
          <t>SKINNSKATTEBERG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46251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16729-2024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45410</v>
      </c>
      <c r="E78" s="1" t="n">
        <v>46251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46251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46251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46251</v>
      </c>
      <c r="F81" t="inlineStr">
        <is>
          <t>VÄSTMANLANDS LÄN</t>
        </is>
      </c>
      <c r="G81" t="inlineStr">
        <is>
          <t>SKINNSKATTEBERG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45170</v>
      </c>
      <c r="E82" s="1" t="n">
        <v>46251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46251</v>
      </c>
      <c r="F83" t="inlineStr">
        <is>
          <t>VÄSTMANLANDS LÄN</t>
        </is>
      </c>
      <c r="G83" t="inlineStr">
        <is>
          <t>SKINNSKATTEBERG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46251</v>
      </c>
      <c r="F84" t="inlineStr">
        <is>
          <t>VÄSTMANLANDS LÄN</t>
        </is>
      </c>
      <c r="G84" t="inlineStr">
        <is>
          <t>SKINNSKATTEBERG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46251</v>
      </c>
      <c r="F85" t="inlineStr">
        <is>
          <t>VÄSTMANLANDS LÄN</t>
        </is>
      </c>
      <c r="G85" t="inlineStr">
        <is>
          <t>SKINNSKATTEBERG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46251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46251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46251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45247</v>
      </c>
      <c r="E89" s="1" t="n">
        <v>46251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46251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46251</v>
      </c>
      <c r="F91" t="inlineStr">
        <is>
          <t>VÄSTMANLANDS LÄN</t>
        </is>
      </c>
      <c r="G91" t="inlineStr">
        <is>
          <t>SKINNSKATTEBERG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46251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46251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46251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40782-2025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45897</v>
      </c>
      <c r="E95" s="1" t="n">
        <v>46251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40783-2025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45897</v>
      </c>
      <c r="E96" s="1" t="n">
        <v>46251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46251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46251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45897</v>
      </c>
      <c r="E100" s="1" t="n">
        <v>46251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46251</v>
      </c>
      <c r="F101" t="inlineStr">
        <is>
          <t>VÄSTMANLANDS LÄN</t>
        </is>
      </c>
      <c r="G101" t="inlineStr">
        <is>
          <t>SKINNSKATTEBERG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46251</v>
      </c>
      <c r="F102" t="inlineStr">
        <is>
          <t>VÄSTMANLANDS LÄN</t>
        </is>
      </c>
      <c r="G102" t="inlineStr">
        <is>
          <t>SKINNSKATTEBERG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46251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46251</v>
      </c>
      <c r="F104" t="inlineStr">
        <is>
          <t>VÄSTMANLANDS LÄN</t>
        </is>
      </c>
      <c r="G104" t="inlineStr">
        <is>
          <t>SKINNSKATTEBERG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55428-2021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44475</v>
      </c>
      <c r="E105" s="1" t="n">
        <v>46251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46251</v>
      </c>
      <c r="F106" t="inlineStr">
        <is>
          <t>VÄSTMANLANDS LÄN</t>
        </is>
      </c>
      <c r="G106" t="inlineStr">
        <is>
          <t>SKINNSKATTEBERG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46251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46251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46251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46251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44184-2025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45915</v>
      </c>
      <c r="E111" s="1" t="n">
        <v>46251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41581-2025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46251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46251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46251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46251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46251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46251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45054</v>
      </c>
      <c r="E118" s="1" t="n">
        <v>46251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46251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46251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46251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45406</v>
      </c>
      <c r="E122" s="1" t="n">
        <v>46251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46251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46251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46251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46251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46251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44498</v>
      </c>
      <c r="E128" s="1" t="n">
        <v>46251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45504</v>
      </c>
      <c r="E129" s="1" t="n">
        <v>46251</v>
      </c>
      <c r="F129" t="inlineStr">
        <is>
          <t>VÄSTMANLANDS LÄN</t>
        </is>
      </c>
      <c r="G129" t="inlineStr">
        <is>
          <t>SKINNSKATTEBERG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46251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46251</v>
      </c>
      <c r="F131" t="inlineStr">
        <is>
          <t>VÄSTMANLANDS LÄN</t>
        </is>
      </c>
      <c r="G131" t="inlineStr">
        <is>
          <t>SKINNSKATTEBERG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46251</v>
      </c>
      <c r="F132" t="inlineStr">
        <is>
          <t>VÄSTMANLANDS LÄN</t>
        </is>
      </c>
      <c r="G132" t="inlineStr">
        <is>
          <t>SKINNSKATTEBERG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46251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46251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46251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46251</v>
      </c>
      <c r="F136" t="inlineStr">
        <is>
          <t>VÄSTMANLANDS LÄN</t>
        </is>
      </c>
      <c r="G136" t="inlineStr">
        <is>
          <t>SKINNSKATTEBERG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46251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46251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46251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45947</v>
      </c>
      <c r="E140" s="1" t="n">
        <v>46251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46251</v>
      </c>
      <c r="F141" t="inlineStr">
        <is>
          <t>VÄSTMANLANDS LÄN</t>
        </is>
      </c>
      <c r="G141" t="inlineStr">
        <is>
          <t>SKINNSKATTEBERG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46251</v>
      </c>
      <c r="F142" t="inlineStr">
        <is>
          <t>VÄSTMANLANDS LÄN</t>
        </is>
      </c>
      <c r="G142" t="inlineStr">
        <is>
          <t>SKINNSKATTEBERG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46251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46251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46251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46251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15094-2026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46251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46251</v>
      </c>
      <c r="F148" t="inlineStr">
        <is>
          <t>VÄSTMANLANDS LÄN</t>
        </is>
      </c>
      <c r="G148" t="inlineStr">
        <is>
          <t>SKINNSKATTEBERG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46251</v>
      </c>
      <c r="F149" t="inlineStr">
        <is>
          <t>VÄSTMANLANDS LÄN</t>
        </is>
      </c>
      <c r="G149" t="inlineStr">
        <is>
          <t>SKINNSKATTEBERG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46251</v>
      </c>
      <c r="F150" t="inlineStr">
        <is>
          <t>VÄSTMANLANDS LÄN</t>
        </is>
      </c>
      <c r="G150" t="inlineStr">
        <is>
          <t>SKINNSKATTEBERG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46251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46251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Kyrkan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46251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46251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46251</v>
      </c>
      <c r="F155" t="inlineStr">
        <is>
          <t>VÄSTMANLANDS LÄN</t>
        </is>
      </c>
      <c r="G155" t="inlineStr">
        <is>
          <t>SKINNSKATTEBERG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16136-2026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46108</v>
      </c>
      <c r="E156" s="1" t="n">
        <v>46251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15955-2026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46108</v>
      </c>
      <c r="E157" s="1" t="n">
        <v>46251</v>
      </c>
      <c r="F157" t="inlineStr">
        <is>
          <t>VÄSTMANLANDS LÄN</t>
        </is>
      </c>
      <c r="G157" t="inlineStr">
        <is>
          <t>SKINNSKATTEBERG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46251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46251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46251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46251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53142-2021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44468</v>
      </c>
      <c r="E163" s="1" t="n">
        <v>46251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46251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46251</v>
      </c>
      <c r="F165" t="inlineStr">
        <is>
          <t>VÄSTMANLANDS LÄN</t>
        </is>
      </c>
      <c r="G165" t="inlineStr">
        <is>
          <t>SKINNSKATTEBERG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53145-2021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44468</v>
      </c>
      <c r="E166" s="1" t="n">
        <v>46251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46251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46251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46251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46251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46251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46251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45975</v>
      </c>
      <c r="E175" s="1" t="n">
        <v>46251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46251</v>
      </c>
      <c r="F176" t="inlineStr">
        <is>
          <t>VÄSTMANLANDS LÄN</t>
        </is>
      </c>
      <c r="G176" t="inlineStr">
        <is>
          <t>SKINNSKATTEBERG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46251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46251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46251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46251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46251</v>
      </c>
      <c r="F181" t="inlineStr">
        <is>
          <t>VÄSTMANLANDS LÄN</t>
        </is>
      </c>
      <c r="G181" t="inlineStr">
        <is>
          <t>SKINNSKATTEBERG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46251</v>
      </c>
      <c r="F182" t="inlineStr">
        <is>
          <t>VÄSTMANLANDS LÄN</t>
        </is>
      </c>
      <c r="G182" t="inlineStr">
        <is>
          <t>SKINNSKATTEBERG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45744</v>
      </c>
      <c r="E183" s="1" t="n">
        <v>46251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46251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46251</v>
      </c>
      <c r="F185" t="inlineStr">
        <is>
          <t>VÄSTMANLANDS LÄN</t>
        </is>
      </c>
      <c r="G185" t="inlineStr">
        <is>
          <t>SKINNSKATTEBERG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46251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46251</v>
      </c>
      <c r="F187" t="inlineStr">
        <is>
          <t>VÄSTMANLANDS LÄN</t>
        </is>
      </c>
      <c r="G187" t="inlineStr">
        <is>
          <t>SKINNSKATTEBERG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46251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57747-2023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45246</v>
      </c>
      <c r="E189" s="1" t="n">
        <v>46251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46251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46251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46251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46251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19582-2026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46134</v>
      </c>
      <c r="E194" s="1" t="n">
        <v>46251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46251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19541-2026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46134</v>
      </c>
      <c r="E196" s="1" t="n">
        <v>46251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19540-2026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46134</v>
      </c>
      <c r="E197" s="1" t="n">
        <v>46251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46251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Kyrkan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46251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46251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46251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46251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46251</v>
      </c>
      <c r="F203" t="inlineStr">
        <is>
          <t>VÄSTMANLANDS LÄN</t>
        </is>
      </c>
      <c r="G203" t="inlineStr">
        <is>
          <t>SKINNSKATTEBERG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46251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45177</v>
      </c>
      <c r="E205" s="1" t="n">
        <v>46251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46251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44728</v>
      </c>
      <c r="E207" s="1" t="n">
        <v>46251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44768</v>
      </c>
      <c r="E208" s="1" t="n">
        <v>46251</v>
      </c>
      <c r="F208" t="inlineStr">
        <is>
          <t>VÄSTMANLANDS LÄN</t>
        </is>
      </c>
      <c r="G208" t="inlineStr">
        <is>
          <t>SKINNSKATTEBERG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46251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46251</v>
      </c>
      <c r="F210" t="inlineStr">
        <is>
          <t>VÄSTMANLANDS LÄN</t>
        </is>
      </c>
      <c r="G210" t="inlineStr">
        <is>
          <t>SKINNSKATTEBERG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46251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46251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46251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46251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46251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46251</v>
      </c>
      <c r="F216" t="inlineStr">
        <is>
          <t>VÄSTMANLANDS LÄN</t>
        </is>
      </c>
      <c r="G216" t="inlineStr">
        <is>
          <t>SKINNSKATTEBERG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45390</v>
      </c>
      <c r="E217" s="1" t="n">
        <v>46251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46251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46251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25843-2023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45090</v>
      </c>
      <c r="E220" s="1" t="n">
        <v>46251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46251</v>
      </c>
      <c r="F221" t="inlineStr">
        <is>
          <t>VÄSTMANLANDS LÄN</t>
        </is>
      </c>
      <c r="G221" t="inlineStr">
        <is>
          <t>SKINNSKATTEBERG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46251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20563-2026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46140</v>
      </c>
      <c r="E223" s="1" t="n">
        <v>46251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46251</v>
      </c>
      <c r="F224" t="inlineStr">
        <is>
          <t>VÄSTMANLANDS LÄN</t>
        </is>
      </c>
      <c r="G224" t="inlineStr">
        <is>
          <t>SKINNSKATTEBERG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46251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46251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46251</v>
      </c>
      <c r="F227" t="inlineStr">
        <is>
          <t>VÄSTMANLANDS LÄN</t>
        </is>
      </c>
      <c r="G227" t="inlineStr">
        <is>
          <t>SKINNSKATTEBERG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45447</v>
      </c>
      <c r="E228" s="1" t="n">
        <v>46251</v>
      </c>
      <c r="F228" t="inlineStr">
        <is>
          <t>VÄSTMANLANDS LÄN</t>
        </is>
      </c>
      <c r="G228" t="inlineStr">
        <is>
          <t>SKINNSKATTEBERG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46251</v>
      </c>
      <c r="F229" t="inlineStr">
        <is>
          <t>VÄSTMANLANDS LÄN</t>
        </is>
      </c>
      <c r="G229" t="inlineStr">
        <is>
          <t>SKINNSKATTEBERG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46051</v>
      </c>
      <c r="E230" s="1" t="n">
        <v>46251</v>
      </c>
      <c r="F230" t="inlineStr">
        <is>
          <t>VÄSTMANLANDS LÄN</t>
        </is>
      </c>
      <c r="G230" t="inlineStr">
        <is>
          <t>SKINNSKATTEBERG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5693-2026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46051</v>
      </c>
      <c r="E231" s="1" t="n">
        <v>46251</v>
      </c>
      <c r="F231" t="inlineStr">
        <is>
          <t>VÄSTMANLANDS LÄN</t>
        </is>
      </c>
      <c r="G231" t="inlineStr">
        <is>
          <t>SKINNSKATTEBERG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46251</v>
      </c>
      <c r="F232" t="inlineStr">
        <is>
          <t>VÄSTMANLANDS LÄN</t>
        </is>
      </c>
      <c r="G232" t="inlineStr">
        <is>
          <t>SKINNSKATTEBERG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46251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Allmännings- och besparingsskogar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46251</v>
      </c>
      <c r="F234" t="inlineStr">
        <is>
          <t>VÄSTMANLANDS LÄN</t>
        </is>
      </c>
      <c r="G234" t="inlineStr">
        <is>
          <t>SKINNSKATTEBERG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46251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45686</v>
      </c>
      <c r="E236" s="1" t="n">
        <v>46251</v>
      </c>
      <c r="F236" t="inlineStr">
        <is>
          <t>VÄSTMANLANDS LÄN</t>
        </is>
      </c>
      <c r="G236" t="inlineStr">
        <is>
          <t>SKINNSKATTEBERG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45520</v>
      </c>
      <c r="E237" s="1" t="n">
        <v>46251</v>
      </c>
      <c r="F237" t="inlineStr">
        <is>
          <t>VÄSTMANLANDS LÄN</t>
        </is>
      </c>
      <c r="G237" t="inlineStr">
        <is>
          <t>SKINNSKATTEBERG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45720</v>
      </c>
      <c r="E238" s="1" t="n">
        <v>46251</v>
      </c>
      <c r="F238" t="inlineStr">
        <is>
          <t>VÄSTMANLANDS LÄN</t>
        </is>
      </c>
      <c r="G238" t="inlineStr">
        <is>
          <t>SKINNSKATTEBERG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44883</v>
      </c>
      <c r="E239" s="1" t="n">
        <v>46251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46251</v>
      </c>
      <c r="F240" t="inlineStr">
        <is>
          <t>VÄSTMANLANDS LÄN</t>
        </is>
      </c>
      <c r="G240" t="inlineStr">
        <is>
          <t>SKINNSKATTEBERG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46251</v>
      </c>
      <c r="F241" t="inlineStr">
        <is>
          <t>VÄSTMANLANDS LÄN</t>
        </is>
      </c>
      <c r="G241" t="inlineStr">
        <is>
          <t>SKINNSKATTEBERG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46251</v>
      </c>
      <c r="F242" t="inlineStr">
        <is>
          <t>VÄSTMANLANDS LÄN</t>
        </is>
      </c>
      <c r="G242" t="inlineStr">
        <is>
          <t>SKINNSKATTEBERG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15561-2024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45401</v>
      </c>
      <c r="E243" s="1" t="n">
        <v>46251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46251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7.9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46251</v>
      </c>
      <c r="F245" t="inlineStr">
        <is>
          <t>VÄSTMANLANDS LÄN</t>
        </is>
      </c>
      <c r="G245" t="inlineStr">
        <is>
          <t>SKINNSKATTEBERG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46251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46251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53183-2021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44468</v>
      </c>
      <c r="E248" s="1" t="n">
        <v>46251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46251</v>
      </c>
      <c r="F249" t="inlineStr">
        <is>
          <t>VÄSTMANLANDS LÄN</t>
        </is>
      </c>
      <c r="G249" t="inlineStr">
        <is>
          <t>SKINNSKATTEBERG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45571</v>
      </c>
      <c r="E250" s="1" t="n">
        <v>46251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46251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46251</v>
      </c>
      <c r="F252" t="inlineStr">
        <is>
          <t>VÄSTMANLANDS LÄN</t>
        </is>
      </c>
      <c r="G252" t="inlineStr">
        <is>
          <t>SKINNSKATTEBERG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45506</v>
      </c>
      <c r="E253" s="1" t="n">
        <v>46251</v>
      </c>
      <c r="F253" t="inlineStr">
        <is>
          <t>VÄSTMANLANDS LÄN</t>
        </is>
      </c>
      <c r="G253" t="inlineStr">
        <is>
          <t>SKINNSKATTEBERG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40545-2023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46251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46251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46251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52600-2021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44466</v>
      </c>
      <c r="E257" s="1" t="n">
        <v>46251</v>
      </c>
      <c r="F257" t="inlineStr">
        <is>
          <t>VÄSTMANLANDS LÄN</t>
        </is>
      </c>
      <c r="G257" t="inlineStr">
        <is>
          <t>SKINNSKATTEBERG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45406</v>
      </c>
      <c r="E258" s="1" t="n">
        <v>46251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46251</v>
      </c>
      <c r="F259" t="inlineStr">
        <is>
          <t>VÄSTMANLANDS LÄN</t>
        </is>
      </c>
      <c r="G259" t="inlineStr">
        <is>
          <t>SKINNSKATTEBERG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46251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46251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46251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46251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46251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46251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46251</v>
      </c>
      <c r="F266" t="inlineStr">
        <is>
          <t>VÄSTMANLANDS LÄN</t>
        </is>
      </c>
      <c r="G266" t="inlineStr">
        <is>
          <t>SKINNSKATTEBERG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46251</v>
      </c>
      <c r="F267" t="inlineStr">
        <is>
          <t>VÄSTMANLANDS LÄN</t>
        </is>
      </c>
      <c r="G267" t="inlineStr">
        <is>
          <t>SKINNSKATTEBERG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46251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46251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46251</v>
      </c>
      <c r="F270" t="inlineStr">
        <is>
          <t>VÄSTMANLANDS LÄN</t>
        </is>
      </c>
      <c r="G270" t="inlineStr">
        <is>
          <t>SKINNSKATTEBERG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46251</v>
      </c>
      <c r="F271" t="inlineStr">
        <is>
          <t>VÄSTMANLANDS LÄN</t>
        </is>
      </c>
      <c r="G271" t="inlineStr">
        <is>
          <t>SKINNSKATTEBERG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46251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46251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46251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45555</v>
      </c>
      <c r="E275" s="1" t="n">
        <v>46251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46251</v>
      </c>
      <c r="F276" t="inlineStr">
        <is>
          <t>VÄSTMANLANDS LÄN</t>
        </is>
      </c>
      <c r="G276" t="inlineStr">
        <is>
          <t>SKINNSKATTEBERG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46251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46251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45571</v>
      </c>
      <c r="E279" s="1" t="n">
        <v>46251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46251</v>
      </c>
      <c r="F280" t="inlineStr">
        <is>
          <t>VÄSTMANLANDS LÄN</t>
        </is>
      </c>
      <c r="G280" t="inlineStr">
        <is>
          <t>SKINNSKATTEBERG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22779-2026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46157</v>
      </c>
      <c r="E281" s="1" t="n">
        <v>46251</v>
      </c>
      <c r="F281" t="inlineStr">
        <is>
          <t>VÄSTMANLANDS LÄN</t>
        </is>
      </c>
      <c r="G281" t="inlineStr">
        <is>
          <t>SKINNSKATTEBERG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46251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45375</v>
      </c>
      <c r="E283" s="1" t="n">
        <v>46251</v>
      </c>
      <c r="F283" t="inlineStr">
        <is>
          <t>VÄSTMANLANDS LÄN</t>
        </is>
      </c>
      <c r="G283" t="inlineStr">
        <is>
          <t>SKINNSKATTEBERG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46251</v>
      </c>
      <c r="F284" t="inlineStr">
        <is>
          <t>VÄSTMANLANDS LÄN</t>
        </is>
      </c>
      <c r="G284" t="inlineStr">
        <is>
          <t>SKINNSKATTEBERG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46251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46251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46251</v>
      </c>
      <c r="F287" t="inlineStr">
        <is>
          <t>VÄSTMANLANDS LÄN</t>
        </is>
      </c>
      <c r="G287" t="inlineStr">
        <is>
          <t>SKINNSKATTEBERG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44936</v>
      </c>
      <c r="E288" s="1" t="n">
        <v>46251</v>
      </c>
      <c r="F288" t="inlineStr">
        <is>
          <t>VÄSTMANLANDS LÄN</t>
        </is>
      </c>
      <c r="G288" t="inlineStr">
        <is>
          <t>SKINNSKATTEBERG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45777</v>
      </c>
      <c r="E289" s="1" t="n">
        <v>46251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46251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46251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46251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46251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46251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46251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46251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46251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46251</v>
      </c>
      <c r="F298" t="inlineStr">
        <is>
          <t>VÄSTMANLANDS LÄN</t>
        </is>
      </c>
      <c r="G298" t="inlineStr">
        <is>
          <t>SKINNSKATTEBERG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46251</v>
      </c>
      <c r="F299" t="inlineStr">
        <is>
          <t>VÄSTMANLANDS LÄN</t>
        </is>
      </c>
      <c r="G299" t="inlineStr">
        <is>
          <t>SKINNSKATTEBERG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45377</v>
      </c>
      <c r="E300" s="1" t="n">
        <v>46251</v>
      </c>
      <c r="F300" t="inlineStr">
        <is>
          <t>VÄSTMANLANDS LÄN</t>
        </is>
      </c>
      <c r="G300" t="inlineStr">
        <is>
          <t>SKINNSKATTEBERG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46251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46251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46251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46251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46251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46251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45480</v>
      </c>
      <c r="E307" s="1" t="n">
        <v>46251</v>
      </c>
      <c r="F307" t="inlineStr">
        <is>
          <t>VÄSTMANLANDS LÄN</t>
        </is>
      </c>
      <c r="G307" t="inlineStr">
        <is>
          <t>SKINNSKATTEBERG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46251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22285-2025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45786</v>
      </c>
      <c r="E309" s="1" t="n">
        <v>46251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46251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46251</v>
      </c>
      <c r="F311" t="inlineStr">
        <is>
          <t>VÄSTMANLANDS LÄN</t>
        </is>
      </c>
      <c r="G311" t="inlineStr">
        <is>
          <t>SKINNSKATTEBERG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46251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45476</v>
      </c>
      <c r="E313" s="1" t="n">
        <v>46251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46251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46251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46251</v>
      </c>
      <c r="F316" t="inlineStr">
        <is>
          <t>VÄSTMANLANDS LÄN</t>
        </is>
      </c>
      <c r="G316" t="inlineStr">
        <is>
          <t>SKINNSKATTEBERG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15540-2024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46251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18161-2024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45420</v>
      </c>
      <c r="E318" s="1" t="n">
        <v>46251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46251</v>
      </c>
      <c r="F319" t="inlineStr">
        <is>
          <t>VÄSTMANLANDS LÄN</t>
        </is>
      </c>
      <c r="G319" t="inlineStr">
        <is>
          <t>SKINNSKATTEBERG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45014</v>
      </c>
      <c r="E320" s="1" t="n">
        <v>46251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46251</v>
      </c>
      <c r="F321" t="inlineStr">
        <is>
          <t>VÄSTMANLANDS LÄN</t>
        </is>
      </c>
      <c r="G321" t="inlineStr">
        <is>
          <t>SKINNSKATTEBERG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46251</v>
      </c>
      <c r="F322" t="inlineStr">
        <is>
          <t>VÄSTMANLANDS LÄN</t>
        </is>
      </c>
      <c r="G322" t="inlineStr">
        <is>
          <t>SKINNSKATTEBERG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46251</v>
      </c>
      <c r="F323" t="inlineStr">
        <is>
          <t>VÄSTMANLANDS LÄN</t>
        </is>
      </c>
      <c r="G323" t="inlineStr">
        <is>
          <t>SKINNSKATTEBERG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25846-2025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45804</v>
      </c>
      <c r="E324" s="1" t="n">
        <v>46251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46251</v>
      </c>
      <c r="F325" t="inlineStr">
        <is>
          <t>VÄSTMANLANDS LÄN</t>
        </is>
      </c>
      <c r="G325" t="inlineStr">
        <is>
          <t>SKINNSKATTEBERG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46251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46178</v>
      </c>
      <c r="E327" s="1" t="n">
        <v>46251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46251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45480</v>
      </c>
      <c r="E329" s="1" t="n">
        <v>46251</v>
      </c>
      <c r="F329" t="inlineStr">
        <is>
          <t>VÄSTMANLANDS LÄN</t>
        </is>
      </c>
      <c r="G329" t="inlineStr">
        <is>
          <t>SKINNSKATTEBERG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46182</v>
      </c>
      <c r="E330" s="1" t="n">
        <v>46251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46251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46251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46251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46251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46185</v>
      </c>
      <c r="E335" s="1" t="n">
        <v>46251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46185</v>
      </c>
      <c r="E336" s="1" t="n">
        <v>46251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28873-2025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45820</v>
      </c>
      <c r="E337" s="1" t="n">
        <v>46251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46251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45820</v>
      </c>
      <c r="E339" s="1" t="n">
        <v>46251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45821</v>
      </c>
      <c r="E340" s="1" t="n">
        <v>46251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45825</v>
      </c>
      <c r="E341" s="1" t="n">
        <v>46251</v>
      </c>
      <c r="F341" t="inlineStr">
        <is>
          <t>VÄSTMANLANDS LÄN</t>
        </is>
      </c>
      <c r="G341" t="inlineStr">
        <is>
          <t>SKINNSKATTEBERG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29810-2025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45825</v>
      </c>
      <c r="E342" s="1" t="n">
        <v>46251</v>
      </c>
      <c r="F342" t="inlineStr">
        <is>
          <t>VÄSTMANLANDS LÄN</t>
        </is>
      </c>
      <c r="G342" t="inlineStr">
        <is>
          <t>SKINNSKATTEBERG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46251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45827</v>
      </c>
      <c r="E344" s="1" t="n">
        <v>46251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45770</v>
      </c>
      <c r="E345" s="1" t="n">
        <v>46251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46251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46251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46251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46251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31234-2025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45832</v>
      </c>
      <c r="E350" s="1" t="n">
        <v>46251</v>
      </c>
      <c r="F350" t="inlineStr">
        <is>
          <t>VÄSTMANLANDS LÄN</t>
        </is>
      </c>
      <c r="G350" t="inlineStr">
        <is>
          <t>SKINNSKATTEBERG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46251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46251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46251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46251</v>
      </c>
      <c r="F355" t="inlineStr">
        <is>
          <t>VÄSTMANLANDS LÄN</t>
        </is>
      </c>
      <c r="G355" t="inlineStr">
        <is>
          <t>SKINNSKATTEBERG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46251</v>
      </c>
      <c r="F356" t="inlineStr">
        <is>
          <t>VÄSTMANLANDS LÄN</t>
        </is>
      </c>
      <c r="G356" t="inlineStr">
        <is>
          <t>SKINNSKATTEBERG</t>
        </is>
      </c>
      <c r="I356" t="n">
        <v>12.2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46251</v>
      </c>
      <c r="F357" t="inlineStr">
        <is>
          <t>VÄSTMANLANDS LÄN</t>
        </is>
      </c>
      <c r="G357" t="inlineStr">
        <is>
          <t>SKINNSKATTEBERG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46251</v>
      </c>
      <c r="F358" t="inlineStr">
        <is>
          <t>VÄSTMANLANDS LÄN</t>
        </is>
      </c>
      <c r="G358" t="inlineStr">
        <is>
          <t>SKINNSKATTEBERG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46251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46195</v>
      </c>
      <c r="E360" s="1" t="n">
        <v>46251</v>
      </c>
      <c r="F360" t="inlineStr">
        <is>
          <t>VÄSTMANLANDS LÄN</t>
        </is>
      </c>
      <c r="G360" t="inlineStr">
        <is>
          <t>SKINNSKATTEBERG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44728</v>
      </c>
      <c r="E361" s="1" t="n">
        <v>46251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46251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46251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46251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46251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45853</v>
      </c>
      <c r="E366" s="1" t="n">
        <v>46251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46251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45686</v>
      </c>
      <c r="E368" s="1" t="n">
        <v>46251</v>
      </c>
      <c r="F368" t="inlineStr">
        <is>
          <t>VÄSTMANLANDS LÄN</t>
        </is>
      </c>
      <c r="G368" t="inlineStr">
        <is>
          <t>SKINNSKATTEBERG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46251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45393</v>
      </c>
      <c r="E370" s="1" t="n">
        <v>46251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46200</v>
      </c>
      <c r="E371" s="1" t="n">
        <v>46251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46251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46200</v>
      </c>
      <c r="E373" s="1" t="n">
        <v>46251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46251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46251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46251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46251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46244</v>
      </c>
      <c r="E378" s="1" t="n">
        <v>46251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46251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46251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29026-2026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46199</v>
      </c>
      <c r="E381" s="1" t="n">
        <v>46251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1765-2024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45435</v>
      </c>
      <c r="E382" s="1" t="n">
        <v>46251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1462-2025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45786</v>
      </c>
      <c r="E383" s="1" t="n">
        <v>46251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1931-2025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45827</v>
      </c>
      <c r="E384" s="1" t="n">
        <v>46251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2177-2025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45853</v>
      </c>
      <c r="E385" s="1" t="n">
        <v>46251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2422-2025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2421-2025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46251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2420-2025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45897</v>
      </c>
      <c r="E388" s="1" t="n">
        <v>46251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2456-2025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45901</v>
      </c>
      <c r="E389" s="1" t="n">
        <v>46251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2578-2025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45915</v>
      </c>
      <c r="E390" s="1" t="n">
        <v>46251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1325-2026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46147</v>
      </c>
      <c r="E391" s="1" t="n">
        <v>46251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65.3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1678-2026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46182</v>
      </c>
      <c r="E392" s="1" t="n">
        <v>46251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1868-2026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46199</v>
      </c>
      <c r="E393" s="1" t="n">
        <v>46251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2026-08-17T01:43:53Z</dcterms:created>
  <dcterms:modified xmlns:dcterms="http://purl.org/dc/terms/" xmlns:xsi="http://www.w3.org/2001/XMLSchema-instance" xsi:type="dcterms:W3CDTF">2026-08-17T01:43:53Z</dcterms:modified>
</cp:coreProperties>
</file>