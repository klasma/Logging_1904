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46260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46260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46260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46260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46260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46260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46260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46260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46260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46260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46260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46260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46260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46260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46260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46260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46260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46260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47538-2025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46260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6.6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HYPERLINK("https://klasma.github.io/Logging_1904/artfynd/A 47538-2025 artfynd.xlsx", "A 47538-2025")</f>
        <v/>
      </c>
      <c r="X24">
        <f>HYPERLINK("https://klasma.github.io/Logging_1904/kartor/A 47538-2025 karta.png", "A 47538-2025")</f>
        <v/>
      </c>
      <c r="Y24">
        <f>HYPERLINK("https://klasma.github.io/Logging_1904/kartor_geotiff/A 47538-2025 georefererad karta.tif", "A 47538-2025")</f>
        <v/>
      </c>
      <c r="AA24">
        <f>HYPERLINK("https://klasma.github.io/Logging_1904/klagomål/A 47538-2025 FSC-klagomål.docx", "A 47538-2025")</f>
        <v/>
      </c>
      <c r="AB24">
        <f>HYPERLINK("https://klasma.github.io/Logging_1904/klagomålsmail/A 47538-2025 FSC-klagomål mail.docx", "A 47538-2025")</f>
        <v/>
      </c>
      <c r="AC24">
        <f>HYPERLINK("https://klasma.github.io/Logging_1904/tillsyn/A 47538-2025 tillsynsbegäran.docx", "A 47538-2025")</f>
        <v/>
      </c>
      <c r="AD24">
        <f>HYPERLINK("https://klasma.github.io/Logging_1904/tillsynsmail/A 47538-2025 tillsynsbegäran mail.docx", "A 47538-2025")</f>
        <v/>
      </c>
    </row>
    <row r="25" ht="15" customHeight="1">
      <c r="A25" t="inlineStr">
        <is>
          <t>A 57747-2023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45246</v>
      </c>
      <c r="E25" s="1" t="n">
        <v>46260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Myopa fasciata</t>
        </is>
      </c>
      <c r="W25">
        <f>HYPERLINK("https://klasma.github.io/Logging_1904/artfynd/A 57747-2023 artfynd.xlsx", "A 57747-2023")</f>
        <v/>
      </c>
      <c r="X25">
        <f>HYPERLINK("https://klasma.github.io/Logging_1904/kartor/A 57747-2023 karta.png", "A 57747-2023")</f>
        <v/>
      </c>
      <c r="Y25">
        <f>HYPERLINK("https://klasma.github.io/Logging_1904/kartor_geotiff/A 57747-2023 georefererad karta.tif", "A 57747-2023")</f>
        <v/>
      </c>
      <c r="AA25">
        <f>HYPERLINK("https://klasma.github.io/Logging_1904/klagomål/A 57747-2023 FSC-klagomål.docx", "A 57747-2023")</f>
        <v/>
      </c>
      <c r="AB25">
        <f>HYPERLINK("https://klasma.github.io/Logging_1904/klagomålsmail/A 57747-2023 FSC-klagomål mail.docx", "A 57747-2023")</f>
        <v/>
      </c>
      <c r="AC25">
        <f>HYPERLINK("https://klasma.github.io/Logging_1904/tillsyn/A 57747-2023 tillsynsbegäran.docx", "A 57747-2023")</f>
        <v/>
      </c>
      <c r="AD25">
        <f>HYPERLINK("https://klasma.github.io/Logging_1904/tillsynsmail/A 57747-2023 tillsynsbegäran mail.docx", "A 57747-2023")</f>
        <v/>
      </c>
    </row>
    <row r="26" ht="15" customHeight="1">
      <c r="A26" t="inlineStr">
        <is>
          <t>A 15734-2026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46107</v>
      </c>
      <c r="E26" s="1" t="n">
        <v>46260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Koppartaggsvamp</t>
        </is>
      </c>
      <c r="W26">
        <f>HYPERLINK("https://klasma.github.io/Logging_1904/artfynd/A 15734-2026 artfynd.xlsx", "A 15734-2026")</f>
        <v/>
      </c>
      <c r="X26">
        <f>HYPERLINK("https://klasma.github.io/Logging_1904/kartor/A 15734-2026 karta.png", "A 15734-2026")</f>
        <v/>
      </c>
      <c r="Y26">
        <f>HYPERLINK("https://klasma.github.io/Logging_1904/kartor_geotiff/A 15734-2026 georefererad karta.tif", "A 15734-2026")</f>
        <v/>
      </c>
      <c r="AA26">
        <f>HYPERLINK("https://klasma.github.io/Logging_1904/klagomål/A 15734-2026 FSC-klagomål.docx", "A 15734-2026")</f>
        <v/>
      </c>
      <c r="AB26">
        <f>HYPERLINK("https://klasma.github.io/Logging_1904/klagomålsmail/A 15734-2026 FSC-klagomål mail.docx", "A 15734-2026")</f>
        <v/>
      </c>
      <c r="AC26">
        <f>HYPERLINK("https://klasma.github.io/Logging_1904/tillsyn/A 15734-2026 tillsynsbegäran.docx", "A 15734-2026")</f>
        <v/>
      </c>
      <c r="AD26">
        <f>HYPERLINK("https://klasma.github.io/Logging_1904/tillsynsmail/A 15734-2026 tillsynsbegäran mail.docx", "A 15734-2026")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46260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46260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57395-2025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46260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Vedticka</t>
        </is>
      </c>
      <c r="W29">
        <f>HYPERLINK("https://klasma.github.io/Logging_1904/artfynd/A 57395-2025 artfynd.xlsx", "A 57395-2025")</f>
        <v/>
      </c>
      <c r="X29">
        <f>HYPERLINK("https://klasma.github.io/Logging_1904/kartor/A 57395-2025 karta.png", "A 57395-2025")</f>
        <v/>
      </c>
      <c r="Y29">
        <f>HYPERLINK("https://klasma.github.io/Logging_1904/kartor_geotiff/A 57395-2025 georefererad karta.tif", "A 57395-2025")</f>
        <v/>
      </c>
      <c r="AA29">
        <f>HYPERLINK("https://klasma.github.io/Logging_1904/klagomål/A 57395-2025 FSC-klagomål.docx", "A 57395-2025")</f>
        <v/>
      </c>
      <c r="AB29">
        <f>HYPERLINK("https://klasma.github.io/Logging_1904/klagomålsmail/A 57395-2025 FSC-klagomål mail.docx", "A 57395-2025")</f>
        <v/>
      </c>
      <c r="AC29">
        <f>HYPERLINK("https://klasma.github.io/Logging_1904/tillsyn/A 57395-2025 tillsynsbegäran.docx", "A 57395-2025")</f>
        <v/>
      </c>
      <c r="AD29">
        <f>HYPERLINK("https://klasma.github.io/Logging_1904/tillsynsmail/A 57395-2025 tillsynsbegäran mail.docx", "A 57395-2025")</f>
        <v/>
      </c>
    </row>
    <row r="30" ht="15" customHeight="1">
      <c r="A30" t="inlineStr">
        <is>
          <t>A 31006-2025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45832</v>
      </c>
      <c r="E30" s="1" t="n">
        <v>46260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HYPERLINK("https://klasma.github.io/Logging_1904/artfynd/A 31006-2025 artfynd.xlsx", "A 31006-2025")</f>
        <v/>
      </c>
      <c r="X30">
        <f>HYPERLINK("https://klasma.github.io/Logging_1904/kartor/A 31006-2025 karta.png", "A 31006-2025")</f>
        <v/>
      </c>
      <c r="Y30">
        <f>HYPERLINK("https://klasma.github.io/Logging_1904/kartor_geotiff/A 31006-2025 georefererad karta.tif", "A 31006-2025")</f>
        <v/>
      </c>
      <c r="AA30">
        <f>HYPERLINK("https://klasma.github.io/Logging_1904/klagomål/A 31006-2025 FSC-klagomål.docx", "A 31006-2025")</f>
        <v/>
      </c>
      <c r="AB30">
        <f>HYPERLINK("https://klasma.github.io/Logging_1904/klagomålsmail/A 31006-2025 FSC-klagomål mail.docx", "A 31006-2025")</f>
        <v/>
      </c>
      <c r="AC30">
        <f>HYPERLINK("https://klasma.github.io/Logging_1904/tillsyn/A 31006-2025 tillsynsbegäran.docx", "A 31006-2025")</f>
        <v/>
      </c>
      <c r="AD30">
        <f>HYPERLINK("https://klasma.github.io/Logging_1904/tillsynsmail/A 31006-2025 tillsynsbegäran mail.docx", "A 31006-2025")</f>
        <v/>
      </c>
      <c r="AE30">
        <f>HYPERLINK("https://klasma.github.io/Logging_1904/fåglar/A 31006-2025 prioriterade fågelarter.docx", "A 31006-2025")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46260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21849-2026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46150</v>
      </c>
      <c r="E32" s="1" t="n">
        <v>46260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12.5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HYPERLINK("https://klasma.github.io/Logging_1904/artfynd/A 21849-2026 artfynd.xlsx", "A 21849-2026")</f>
        <v/>
      </c>
      <c r="X32">
        <f>HYPERLINK("https://klasma.github.io/Logging_1904/kartor/A 21849-2026 karta.png", "A 21849-2026")</f>
        <v/>
      </c>
      <c r="Y32">
        <f>HYPERLINK("https://klasma.github.io/Logging_1904/kartor_geotiff/A 21849-2026 georefererad karta.tif", "A 21849-2026")</f>
        <v/>
      </c>
      <c r="Z32">
        <f>HYPERLINK("https://klasma.github.io/Logging_1904/knärot/A 21849-2026 karta knärot.png", "A 21849-2026")</f>
        <v/>
      </c>
      <c r="AA32">
        <f>HYPERLINK("https://klasma.github.io/Logging_1904/klagomål/A 21849-2026 FSC-klagomål.docx", "A 21849-2026")</f>
        <v/>
      </c>
      <c r="AB32">
        <f>HYPERLINK("https://klasma.github.io/Logging_1904/klagomålsmail/A 21849-2026 FSC-klagomål mail.docx", "A 21849-2026")</f>
        <v/>
      </c>
      <c r="AC32">
        <f>HYPERLINK("https://klasma.github.io/Logging_1904/tillsyn/A 21849-2026 tillsynsbegäran.docx", "A 21849-2026")</f>
        <v/>
      </c>
      <c r="AD32">
        <f>HYPERLINK("https://klasma.github.io/Logging_1904/tillsynsmail/A 21849-2026 tillsynsbegäran mail.docx", "A 21849-2026")</f>
        <v/>
      </c>
    </row>
    <row r="33" ht="15" customHeight="1">
      <c r="A33" t="inlineStr">
        <is>
          <t>A 24492-2026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46170</v>
      </c>
      <c r="E33" s="1" t="n">
        <v>46260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HYPERLINK("https://klasma.github.io/Logging_1904/artfynd/A 24492-2026 artfynd.xlsx", "A 24492-2026")</f>
        <v/>
      </c>
      <c r="X33">
        <f>HYPERLINK("https://klasma.github.io/Logging_1904/kartor/A 24492-2026 karta.png", "A 24492-2026")</f>
        <v/>
      </c>
      <c r="Y33">
        <f>HYPERLINK("https://klasma.github.io/Logging_1904/kartor_geotiff/A 24492-2026 georefererad karta.tif", "A 24492-2026")</f>
        <v/>
      </c>
      <c r="AA33">
        <f>HYPERLINK("https://klasma.github.io/Logging_1904/klagomål/A 24492-2026 FSC-klagomål.docx", "A 24492-2026")</f>
        <v/>
      </c>
      <c r="AB33">
        <f>HYPERLINK("https://klasma.github.io/Logging_1904/klagomålsmail/A 24492-2026 FSC-klagomål mail.docx", "A 24492-2026")</f>
        <v/>
      </c>
      <c r="AC33">
        <f>HYPERLINK("https://klasma.github.io/Logging_1904/tillsyn/A 24492-2026 tillsynsbegäran.docx", "A 24492-2026")</f>
        <v/>
      </c>
      <c r="AD33">
        <f>HYPERLINK("https://klasma.github.io/Logging_1904/tillsynsmail/A 24492-2026 tillsynsbegäran mail.docx", "A 24492-2026")</f>
        <v/>
      </c>
      <c r="AE33">
        <f>HYPERLINK("https://klasma.github.io/Logging_1904/fåglar/A 24492-2026 prioriterade fågelarter.docx", "A 24492-2026")</f>
        <v/>
      </c>
    </row>
    <row r="34" ht="15" customHeight="1">
      <c r="A34" t="inlineStr">
        <is>
          <t>A 24944-2026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46260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8.4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Garnlav</t>
        </is>
      </c>
      <c r="W34">
        <f>HYPERLINK("https://klasma.github.io/Logging_1904/artfynd/A 24944-2026 artfynd.xlsx", "A 24944-2026")</f>
        <v/>
      </c>
      <c r="X34">
        <f>HYPERLINK("https://klasma.github.io/Logging_1904/kartor/A 24944-2026 karta.png", "A 24944-2026")</f>
        <v/>
      </c>
      <c r="Y34">
        <f>HYPERLINK("https://klasma.github.io/Logging_1904/kartor_geotiff/A 24944-2026 georefererad karta.tif", "A 24944-2026")</f>
        <v/>
      </c>
      <c r="AA34">
        <f>HYPERLINK("https://klasma.github.io/Logging_1904/klagomål/A 24944-2026 FSC-klagomål.docx", "A 24944-2026")</f>
        <v/>
      </c>
      <c r="AB34">
        <f>HYPERLINK("https://klasma.github.io/Logging_1904/klagomålsmail/A 24944-2026 FSC-klagomål mail.docx", "A 24944-2026")</f>
        <v/>
      </c>
      <c r="AC34">
        <f>HYPERLINK("https://klasma.github.io/Logging_1904/tillsyn/A 24944-2026 tillsynsbegäran.docx", "A 24944-2026")</f>
        <v/>
      </c>
      <c r="AD34">
        <f>HYPERLINK("https://klasma.github.io/Logging_1904/tillsynsmail/A 24944-2026 tillsynsbegäran mail.docx", "A 24944-2026")</f>
        <v/>
      </c>
    </row>
    <row r="35" ht="15" customHeight="1">
      <c r="A35" t="inlineStr">
        <is>
          <t>A 27565-2024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45474</v>
      </c>
      <c r="E35" s="1" t="n">
        <v>46260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husmossa</t>
        </is>
      </c>
      <c r="W35">
        <f>HYPERLINK("https://klasma.github.io/Logging_1904/artfynd/A 27565-2024 artfynd.xlsx", "A 27565-2024")</f>
        <v/>
      </c>
      <c r="X35">
        <f>HYPERLINK("https://klasma.github.io/Logging_1904/kartor/A 27565-2024 karta.png", "A 27565-2024")</f>
        <v/>
      </c>
      <c r="Y35">
        <f>HYPERLINK("https://klasma.github.io/Logging_1904/kartor_geotiff/A 27565-2024 georefererad karta.tif", "A 27565-2024")</f>
        <v/>
      </c>
      <c r="AA35">
        <f>HYPERLINK("https://klasma.github.io/Logging_1904/klagomål/A 27565-2024 FSC-klagomål.docx", "A 27565-2024")</f>
        <v/>
      </c>
      <c r="AB35">
        <f>HYPERLINK("https://klasma.github.io/Logging_1904/klagomålsmail/A 27565-2024 FSC-klagomål mail.docx", "A 27565-2024")</f>
        <v/>
      </c>
      <c r="AC35">
        <f>HYPERLINK("https://klasma.github.io/Logging_1904/tillsyn/A 27565-2024 tillsynsbegäran.docx", "A 27565-2024")</f>
        <v/>
      </c>
      <c r="AD35">
        <f>HYPERLINK("https://klasma.github.io/Logging_1904/tillsynsmail/A 27565-2024 tillsynsbegäran mail.docx", "A 27565-2024")</f>
        <v/>
      </c>
    </row>
    <row r="36" ht="15" customHeight="1">
      <c r="A36" t="inlineStr">
        <is>
          <t>A 26860-2026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46260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10.3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HYPERLINK("https://klasma.github.io/Logging_1904/artfynd/A 26860-2026 artfynd.xlsx", "A 26860-2026")</f>
        <v/>
      </c>
      <c r="X36">
        <f>HYPERLINK("https://klasma.github.io/Logging_1904/kartor/A 26860-2026 karta.png", "A 26860-2026")</f>
        <v/>
      </c>
      <c r="Y36">
        <f>HYPERLINK("https://klasma.github.io/Logging_1904/kartor_geotiff/A 26860-2026 georefererad karta.tif", "A 26860-2026")</f>
        <v/>
      </c>
      <c r="AA36">
        <f>HYPERLINK("https://klasma.github.io/Logging_1904/klagomål/A 26860-2026 FSC-klagomål.docx", "A 26860-2026")</f>
        <v/>
      </c>
      <c r="AB36">
        <f>HYPERLINK("https://klasma.github.io/Logging_1904/klagomålsmail/A 26860-2026 FSC-klagomål mail.docx", "A 26860-2026")</f>
        <v/>
      </c>
      <c r="AC36">
        <f>HYPERLINK("https://klasma.github.io/Logging_1904/tillsyn/A 26860-2026 tillsynsbegäran.docx", "A 26860-2026")</f>
        <v/>
      </c>
      <c r="AD36">
        <f>HYPERLINK("https://klasma.github.io/Logging_1904/tillsynsmail/A 26860-2026 tillsynsbegäran mail.docx", "A 26860-2026")</f>
        <v/>
      </c>
      <c r="AE36">
        <f>HYPERLINK("https://klasma.github.io/Logging_1904/fåglar/A 26860-2026 prioriterade fågelarter.docx", "A 26860-2026")</f>
        <v/>
      </c>
    </row>
    <row r="37" ht="15" customHeight="1">
      <c r="A37" t="inlineStr">
        <is>
          <t>A 30579-2026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46210</v>
      </c>
      <c r="E37" s="1" t="n">
        <v>46260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HYPERLINK("https://klasma.github.io/Logging_1904/artfynd/A 30579-2026 artfynd.xlsx", "A 30579-2026")</f>
        <v/>
      </c>
      <c r="X37">
        <f>HYPERLINK("https://klasma.github.io/Logging_1904/kartor/A 30579-2026 karta.png", "A 30579-2026")</f>
        <v/>
      </c>
      <c r="Y37">
        <f>HYPERLINK("https://klasma.github.io/Logging_1904/kartor_geotiff/A 30579-2026 georefererad karta.tif", "A 30579-2026")</f>
        <v/>
      </c>
      <c r="AA37">
        <f>HYPERLINK("https://klasma.github.io/Logging_1904/klagomål/A 30579-2026 FSC-klagomål.docx", "A 30579-2026")</f>
        <v/>
      </c>
      <c r="AB37">
        <f>HYPERLINK("https://klasma.github.io/Logging_1904/klagomålsmail/A 30579-2026 FSC-klagomål mail.docx", "A 30579-2026")</f>
        <v/>
      </c>
      <c r="AC37">
        <f>HYPERLINK("https://klasma.github.io/Logging_1904/tillsyn/A 30579-2026 tillsynsbegäran.docx", "A 30579-2026")</f>
        <v/>
      </c>
      <c r="AD37">
        <f>HYPERLINK("https://klasma.github.io/Logging_1904/tillsynsmail/A 30579-2026 tillsynsbegäran mail.docx", "A 30579-2026")</f>
        <v/>
      </c>
    </row>
    <row r="38" ht="15" customHeight="1">
      <c r="A38" t="inlineStr">
        <is>
          <t>A 34303-2026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46254</v>
      </c>
      <c r="E38" s="1" t="n">
        <v>46260</v>
      </c>
      <c r="F38" t="inlineStr">
        <is>
          <t>VÄSTMANLANDS LÄN</t>
        </is>
      </c>
      <c r="G38" t="inlineStr">
        <is>
          <t>SKINNSKATTEBERG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HYPERLINK("https://klasma.github.io/Logging_1904/artfynd/A 34303-2026 artfynd.xlsx", "A 34303-2026")</f>
        <v/>
      </c>
      <c r="X38">
        <f>HYPERLINK("https://klasma.github.io/Logging_1904/kartor/A 34303-2026 karta.png", "A 34303-2026")</f>
        <v/>
      </c>
      <c r="Y38">
        <f>HYPERLINK("https://klasma.github.io/Logging_1904/kartor_geotiff/A 34303-2026 georefererad karta.tif", "A 34303-2026")</f>
        <v/>
      </c>
      <c r="AA38">
        <f>HYPERLINK("https://klasma.github.io/Logging_1904/klagomål/A 34303-2026 FSC-klagomål.docx", "A 34303-2026")</f>
        <v/>
      </c>
      <c r="AB38">
        <f>HYPERLINK("https://klasma.github.io/Logging_1904/klagomålsmail/A 34303-2026 FSC-klagomål mail.docx", "A 34303-2026")</f>
        <v/>
      </c>
      <c r="AC38">
        <f>HYPERLINK("https://klasma.github.io/Logging_1904/tillsyn/A 34303-2026 tillsynsbegäran.docx", "A 34303-2026")</f>
        <v/>
      </c>
      <c r="AD38">
        <f>HYPERLINK("https://klasma.github.io/Logging_1904/tillsynsmail/A 34303-2026 tillsynsbegäran mail.docx", "A 34303-2026")</f>
        <v/>
      </c>
    </row>
    <row r="39" ht="15" customHeight="1">
      <c r="A39" t="inlineStr">
        <is>
          <t>A 9491-2024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46260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Skogshare</t>
        </is>
      </c>
      <c r="W39">
        <f>HYPERLINK("https://klasma.github.io/Logging_1904/artfynd/A 9491-2024 artfynd.xlsx", "A 9491-2024")</f>
        <v/>
      </c>
      <c r="X39">
        <f>HYPERLINK("https://klasma.github.io/Logging_1904/kartor/A 9491-2024 karta.png", "A 9491-2024")</f>
        <v/>
      </c>
      <c r="Y39">
        <f>HYPERLINK("https://klasma.github.io/Logging_1904/kartor_geotiff/A 9491-2024 georefererad karta.tif", "A 9491-2024")</f>
        <v/>
      </c>
      <c r="AA39">
        <f>HYPERLINK("https://klasma.github.io/Logging_1904/klagomål/A 9491-2024 FSC-klagomål.docx", "A 9491-2024")</f>
        <v/>
      </c>
      <c r="AB39">
        <f>HYPERLINK("https://klasma.github.io/Logging_1904/klagomålsmail/A 9491-2024 FSC-klagomål mail.docx", "A 9491-2024")</f>
        <v/>
      </c>
      <c r="AC39">
        <f>HYPERLINK("https://klasma.github.io/Logging_1904/tillsyn/A 9491-2024 tillsynsbegäran.docx", "A 9491-2024")</f>
        <v/>
      </c>
      <c r="AD39">
        <f>HYPERLINK("https://klasma.github.io/Logging_1904/tillsynsmail/A 9491-2024 tillsynsbegäran mail.docx", "A 9491-2024")</f>
        <v/>
      </c>
    </row>
    <row r="40" ht="15" customHeight="1">
      <c r="A40" t="inlineStr">
        <is>
          <t>A 43413-2024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46260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Orange taggsvamp</t>
        </is>
      </c>
      <c r="W40">
        <f>HYPERLINK("https://klasma.github.io/Logging_1904/artfynd/A 43413-2024 artfynd.xlsx", "A 43413-2024")</f>
        <v/>
      </c>
      <c r="X40">
        <f>HYPERLINK("https://klasma.github.io/Logging_1904/kartor/A 43413-2024 karta.png", "A 43413-2024")</f>
        <v/>
      </c>
      <c r="Y40">
        <f>HYPERLINK("https://klasma.github.io/Logging_1904/kartor_geotiff/A 43413-2024 georefererad karta.tif", "A 43413-2024")</f>
        <v/>
      </c>
      <c r="AA40">
        <f>HYPERLINK("https://klasma.github.io/Logging_1904/klagomål/A 43413-2024 FSC-klagomål.docx", "A 43413-2024")</f>
        <v/>
      </c>
      <c r="AB40">
        <f>HYPERLINK("https://klasma.github.io/Logging_1904/klagomålsmail/A 43413-2024 FSC-klagomål mail.docx", "A 43413-2024")</f>
        <v/>
      </c>
      <c r="AC40">
        <f>HYPERLINK("https://klasma.github.io/Logging_1904/tillsyn/A 43413-2024 tillsynsbegäran.docx", "A 43413-2024")</f>
        <v/>
      </c>
      <c r="AD40">
        <f>HYPERLINK("https://klasma.github.io/Logging_1904/tillsynsmail/A 43413-2024 tillsynsbegäran mail.docx", "A 43413-2024")</f>
        <v/>
      </c>
    </row>
    <row r="41" ht="15" customHeight="1">
      <c r="A41" t="inlineStr">
        <is>
          <t>A 23893-2023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46260</v>
      </c>
      <c r="F41" t="inlineStr">
        <is>
          <t>VÄSTMANLANDS LÄN</t>
        </is>
      </c>
      <c r="G41" t="inlineStr">
        <is>
          <t>SKINNSKATTEBERG</t>
        </is>
      </c>
      <c r="I41" t="n">
        <v>1.6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Knärot</t>
        </is>
      </c>
      <c r="W41">
        <f>HYPERLINK("https://klasma.github.io/Logging_1904/artfynd/A 23893-2023 artfynd.xlsx", "A 23893-2023")</f>
        <v/>
      </c>
      <c r="X41">
        <f>HYPERLINK("https://klasma.github.io/Logging_1904/kartor/A 23893-2023 karta.png", "A 23893-2023")</f>
        <v/>
      </c>
      <c r="Y41">
        <f>HYPERLINK("https://klasma.github.io/Logging_1904/kartor_geotiff/A 23893-2023 georefererad karta.tif", "A 23893-2023")</f>
        <v/>
      </c>
      <c r="Z41">
        <f>HYPERLINK("https://klasma.github.io/Logging_1904/knärot/A 23893-2023 karta knärot.png", "A 23893-2023")</f>
        <v/>
      </c>
      <c r="AA41">
        <f>HYPERLINK("https://klasma.github.io/Logging_1904/klagomål/A 23893-2023 FSC-klagomål.docx", "A 23893-2023")</f>
        <v/>
      </c>
      <c r="AB41">
        <f>HYPERLINK("https://klasma.github.io/Logging_1904/klagomålsmail/A 23893-2023 FSC-klagomål mail.docx", "A 23893-2023")</f>
        <v/>
      </c>
      <c r="AC41">
        <f>HYPERLINK("https://klasma.github.io/Logging_1904/tillsyn/A 23893-2023 tillsynsbegäran.docx", "A 23893-2023")</f>
        <v/>
      </c>
      <c r="AD41">
        <f>HYPERLINK("https://klasma.github.io/Logging_1904/tillsynsmail/A 23893-2023 tillsynsbegäran mail.docx", "A 23893-2023")</f>
        <v/>
      </c>
    </row>
    <row r="42" ht="15" customHeight="1">
      <c r="A42" t="inlineStr">
        <is>
          <t>A 33435-2024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46260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33435-2024 artfynd.xlsx", "A 33435-2024")</f>
        <v/>
      </c>
      <c r="X42">
        <f>HYPERLINK("https://klasma.github.io/Logging_1904/kartor/A 33435-2024 karta.png", "A 33435-2024")</f>
        <v/>
      </c>
      <c r="Y42">
        <f>HYPERLINK("https://klasma.github.io/Logging_1904/kartor_geotiff/A 33435-2024 georefererad karta.tif", "A 33435-2024")</f>
        <v/>
      </c>
      <c r="AA42">
        <f>HYPERLINK("https://klasma.github.io/Logging_1904/klagomål/A 33435-2024 FSC-klagomål.docx", "A 33435-2024")</f>
        <v/>
      </c>
      <c r="AB42">
        <f>HYPERLINK("https://klasma.github.io/Logging_1904/klagomålsmail/A 33435-2024 FSC-klagomål mail.docx", "A 33435-2024")</f>
        <v/>
      </c>
      <c r="AC42">
        <f>HYPERLINK("https://klasma.github.io/Logging_1904/tillsyn/A 33435-2024 tillsynsbegäran.docx", "A 33435-2024")</f>
        <v/>
      </c>
      <c r="AD42">
        <f>HYPERLINK("https://klasma.github.io/Logging_1904/tillsynsmail/A 33435-2024 tillsynsbegäran mail.docx", "A 33435-2024")</f>
        <v/>
      </c>
      <c r="AE42">
        <f>HYPERLINK("https://klasma.github.io/Logging_1904/fåglar/A 33435-2024 prioriterade fågelarter.docx", "A 33435-2024")</f>
        <v/>
      </c>
    </row>
    <row r="43" ht="15" customHeight="1">
      <c r="A43" t="inlineStr">
        <is>
          <t>A 12024-2023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44995</v>
      </c>
      <c r="E43" s="1" t="n">
        <v>46260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HYPERLINK("https://klasma.github.io/Logging_1904/artfynd/A 12024-2023 artfynd.xlsx", "A 12024-2023")</f>
        <v/>
      </c>
      <c r="X43">
        <f>HYPERLINK("https://klasma.github.io/Logging_1904/kartor/A 12024-2023 karta.png", "A 12024-2023")</f>
        <v/>
      </c>
      <c r="Y43">
        <f>HYPERLINK("https://klasma.github.io/Logging_1904/kartor_geotiff/A 12024-2023 georefererad karta.tif", "A 12024-2023")</f>
        <v/>
      </c>
      <c r="AA43">
        <f>HYPERLINK("https://klasma.github.io/Logging_1904/klagomål/A 12024-2023 FSC-klagomål.docx", "A 12024-2023")</f>
        <v/>
      </c>
      <c r="AB43">
        <f>HYPERLINK("https://klasma.github.io/Logging_1904/klagomålsmail/A 12024-2023 FSC-klagomål mail.docx", "A 12024-2023")</f>
        <v/>
      </c>
      <c r="AC43">
        <f>HYPERLINK("https://klasma.github.io/Logging_1904/tillsyn/A 12024-2023 tillsynsbegäran.docx", "A 12024-2023")</f>
        <v/>
      </c>
      <c r="AD43">
        <f>HYPERLINK("https://klasma.github.io/Logging_1904/tillsynsmail/A 12024-2023 tillsynsbegäran mail.docx", "A 12024-2023")</f>
        <v/>
      </c>
    </row>
    <row r="44" ht="15" customHeight="1">
      <c r="A44" t="inlineStr">
        <is>
          <t>A 9490-2024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Nattskärra</t>
        </is>
      </c>
      <c r="W44">
        <f>HYPERLINK("https://klasma.github.io/Logging_1904/artfynd/A 9490-2024 artfynd.xlsx", "A 9490-2024")</f>
        <v/>
      </c>
      <c r="X44">
        <f>HYPERLINK("https://klasma.github.io/Logging_1904/kartor/A 9490-2024 karta.png", "A 9490-2024")</f>
        <v/>
      </c>
      <c r="Y44">
        <f>HYPERLINK("https://klasma.github.io/Logging_1904/kartor_geotiff/A 9490-2024 georefererad karta.tif", "A 9490-2024")</f>
        <v/>
      </c>
      <c r="AA44">
        <f>HYPERLINK("https://klasma.github.io/Logging_1904/klagomål/A 9490-2024 FSC-klagomål.docx", "A 9490-2024")</f>
        <v/>
      </c>
      <c r="AB44">
        <f>HYPERLINK("https://klasma.github.io/Logging_1904/klagomålsmail/A 9490-2024 FSC-klagomål mail.docx", "A 9490-2024")</f>
        <v/>
      </c>
      <c r="AC44">
        <f>HYPERLINK("https://klasma.github.io/Logging_1904/tillsyn/A 9490-2024 tillsynsbegäran.docx", "A 9490-2024")</f>
        <v/>
      </c>
      <c r="AD44">
        <f>HYPERLINK("https://klasma.github.io/Logging_1904/tillsynsmail/A 9490-2024 tillsynsbegäran mail.docx", "A 9490-2024")</f>
        <v/>
      </c>
      <c r="AE44">
        <f>HYPERLINK("https://klasma.github.io/Logging_1904/fåglar/A 9490-2024 prioriterade fågelarter.docx", "A 9490-2024")</f>
        <v/>
      </c>
    </row>
    <row r="45" ht="15" customHeight="1">
      <c r="A45" t="inlineStr">
        <is>
          <t>A 4000-2024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46260</v>
      </c>
      <c r="F45" t="inlineStr">
        <is>
          <t>VÄSTMANLANDS LÄN</t>
        </is>
      </c>
      <c r="G45" t="inlineStr">
        <is>
          <t>SKINNSKATTEBERG</t>
        </is>
      </c>
      <c r="I45" t="n">
        <v>14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Klasefibbla</t>
        </is>
      </c>
      <c r="W45">
        <f>HYPERLINK("https://klasma.github.io/Logging_1904/artfynd/A 4000-2024 artfynd.xlsx", "A 4000-2024")</f>
        <v/>
      </c>
      <c r="X45">
        <f>HYPERLINK("https://klasma.github.io/Logging_1904/kartor/A 4000-2024 karta.png", "A 4000-2024")</f>
        <v/>
      </c>
      <c r="Y45">
        <f>HYPERLINK("https://klasma.github.io/Logging_1904/kartor_geotiff/A 4000-2024 georefererad karta.tif", "A 4000-2024")</f>
        <v/>
      </c>
      <c r="AA45">
        <f>HYPERLINK("https://klasma.github.io/Logging_1904/klagomål/A 4000-2024 FSC-klagomål.docx", "A 4000-2024")</f>
        <v/>
      </c>
      <c r="AB45">
        <f>HYPERLINK("https://klasma.github.io/Logging_1904/klagomålsmail/A 4000-2024 FSC-klagomål mail.docx", "A 4000-2024")</f>
        <v/>
      </c>
      <c r="AC45">
        <f>HYPERLINK("https://klasma.github.io/Logging_1904/tillsyn/A 4000-2024 tillsynsbegäran.docx", "A 4000-2024")</f>
        <v/>
      </c>
      <c r="AD45">
        <f>HYPERLINK("https://klasma.github.io/Logging_1904/tillsynsmail/A 4000-2024 tillsynsbegäran mail.docx", "A 4000-2024")</f>
        <v/>
      </c>
    </row>
    <row r="46" ht="15" customHeight="1">
      <c r="A46" t="inlineStr">
        <is>
          <t>A 28312-2023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45099</v>
      </c>
      <c r="E46" s="1" t="n">
        <v>46260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HYPERLINK("https://klasma.github.io/Logging_1904/artfynd/A 28312-2023 artfynd.xlsx", "A 28312-2023")</f>
        <v/>
      </c>
      <c r="X46">
        <f>HYPERLINK("https://klasma.github.io/Logging_1904/kartor/A 28312-2023 karta.png", "A 28312-2023")</f>
        <v/>
      </c>
      <c r="Y46">
        <f>HYPERLINK("https://klasma.github.io/Logging_1904/kartor_geotiff/A 28312-2023 georefererad karta.tif", "A 28312-2023")</f>
        <v/>
      </c>
      <c r="AA46">
        <f>HYPERLINK("https://klasma.github.io/Logging_1904/klagomål/A 28312-2023 FSC-klagomål.docx", "A 28312-2023")</f>
        <v/>
      </c>
      <c r="AB46">
        <f>HYPERLINK("https://klasma.github.io/Logging_1904/klagomålsmail/A 28312-2023 FSC-klagomål mail.docx", "A 28312-2023")</f>
        <v/>
      </c>
      <c r="AC46">
        <f>HYPERLINK("https://klasma.github.io/Logging_1904/tillsyn/A 28312-2023 tillsynsbegäran.docx", "A 28312-2023")</f>
        <v/>
      </c>
      <c r="AD46">
        <f>HYPERLINK("https://klasma.github.io/Logging_1904/tillsynsmail/A 28312-2023 tillsynsbegäran mail.docx", "A 28312-2023")</f>
        <v/>
      </c>
    </row>
    <row r="47" ht="15" customHeight="1">
      <c r="A47" t="inlineStr">
        <is>
          <t>S 3632-2024</t>
        </is>
      </c>
      <c r="B47" t="inlineStr">
        <is>
          <t>samrådsanmälan</t>
        </is>
      </c>
      <c r="C47" t="inlineStr">
        <is>
          <t>Skogsgödsling</t>
        </is>
      </c>
      <c r="D47" s="1" t="n">
        <v>45548</v>
      </c>
      <c r="E47" s="1" t="n">
        <v>46260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196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Tjäder</t>
        </is>
      </c>
      <c r="W47">
        <f>HYPERLINK("https://klasma.github.io/Logging_1904/artfynd/S 3632-2024 artfynd.xlsx", "S 3632-2024")</f>
        <v/>
      </c>
      <c r="X47">
        <f>HYPERLINK("https://klasma.github.io/Logging_1904/kartor/S 3632-2024 karta.png", "S 3632-2024")</f>
        <v/>
      </c>
      <c r="Y47">
        <f>HYPERLINK("https://klasma.github.io/Logging_1904/kartor_geotiff/S 3632-2024 georefererad karta.tif", "S 3632-2024")</f>
        <v/>
      </c>
      <c r="AA47">
        <f>HYPERLINK("https://klasma.github.io/Logging_1904/klagomål/S 3632-2024 FSC-klagomål.docx", "S 3632-2024")</f>
        <v/>
      </c>
      <c r="AB47">
        <f>HYPERLINK("https://klasma.github.io/Logging_1904/klagomålsmail/S 3632-2024 FSC-klagomål mail.docx", "S 3632-2024")</f>
        <v/>
      </c>
      <c r="AC47">
        <f>HYPERLINK("https://klasma.github.io/Logging_1904/tillsyn/S 3632-2024 tillsynsbegäran.docx", "S 3632-2024")</f>
        <v/>
      </c>
      <c r="AD47">
        <f>HYPERLINK("https://klasma.github.io/Logging_1904/tillsynsmail/S 3632-2024 tillsynsbegäran mail.docx", "S 3632-2024")</f>
        <v/>
      </c>
      <c r="AE47">
        <f>HYPERLINK("https://klasma.github.io/Logging_1904/fåglar/S 3632-2024 prioriterade fågelarter.docx", "S 3632-2024")</f>
        <v/>
      </c>
    </row>
    <row r="48" ht="15" customHeight="1">
      <c r="A48" t="inlineStr">
        <is>
          <t>S 1982-2025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45832</v>
      </c>
      <c r="E48" s="1" t="n">
        <v>46260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HYPERLINK("https://klasma.github.io/Logging_1904/artfynd/S 1982-2025 artfynd.xlsx", "S 1982-2025")</f>
        <v/>
      </c>
      <c r="X48">
        <f>HYPERLINK("https://klasma.github.io/Logging_1904/kartor/S 1982-2025 karta.png", "S 1982-2025")</f>
        <v/>
      </c>
      <c r="Y48">
        <f>HYPERLINK("https://klasma.github.io/Logging_1904/kartor_geotiff/S 1982-2025 georefererad karta.tif", "S 1982-2025")</f>
        <v/>
      </c>
      <c r="AA48">
        <f>HYPERLINK("https://klasma.github.io/Logging_1904/klagomål/S 1982-2025 FSC-klagomål.docx", "S 1982-2025")</f>
        <v/>
      </c>
      <c r="AB48">
        <f>HYPERLINK("https://klasma.github.io/Logging_1904/klagomålsmail/S 1982-2025 FSC-klagomål mail.docx", "S 1982-2025")</f>
        <v/>
      </c>
      <c r="AC48">
        <f>HYPERLINK("https://klasma.github.io/Logging_1904/tillsyn/S 1982-2025 tillsynsbegäran.docx", "S 1982-2025")</f>
        <v/>
      </c>
      <c r="AD48">
        <f>HYPERLINK("https://klasma.github.io/Logging_1904/tillsynsmail/S 1982-2025 tillsynsbegäran mail.docx", "S 1982-2025")</f>
        <v/>
      </c>
      <c r="AE48">
        <f>HYPERLINK("https://klasma.github.io/Logging_1904/fåglar/S 1982-2025 prioriterade fågelarter.docx", "S 1982-2025")</f>
        <v/>
      </c>
    </row>
    <row r="49" ht="15" customHeight="1">
      <c r="A49" t="inlineStr">
        <is>
          <t>S 870-2026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46107</v>
      </c>
      <c r="E49" s="1" t="n">
        <v>46260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Koppartaggsvamp</t>
        </is>
      </c>
      <c r="W49">
        <f>HYPERLINK("https://klasma.github.io/Logging_1904/artfynd/S 870-2026 artfynd.xlsx", "S 870-2026")</f>
        <v/>
      </c>
      <c r="X49">
        <f>HYPERLINK("https://klasma.github.io/Logging_1904/kartor/S 870-2026 karta.png", "S 870-2026")</f>
        <v/>
      </c>
      <c r="Y49">
        <f>HYPERLINK("https://klasma.github.io/Logging_1904/kartor_geotiff/S 870-2026 georefererad karta.tif", "S 870-2026")</f>
        <v/>
      </c>
      <c r="AA49">
        <f>HYPERLINK("https://klasma.github.io/Logging_1904/klagomål/S 870-2026 FSC-klagomål.docx", "S 870-2026")</f>
        <v/>
      </c>
      <c r="AB49">
        <f>HYPERLINK("https://klasma.github.io/Logging_1904/klagomålsmail/S 870-2026 FSC-klagomål mail.docx", "S 870-2026")</f>
        <v/>
      </c>
      <c r="AC49">
        <f>HYPERLINK("https://klasma.github.io/Logging_1904/tillsyn/S 870-2026 tillsynsbegäran.docx", "S 870-2026")</f>
        <v/>
      </c>
      <c r="AD49">
        <f>HYPERLINK("https://klasma.github.io/Logging_1904/tillsynsmail/S 870-2026 tillsynsbegäran mail.docx", "S 870-2026")</f>
        <v/>
      </c>
    </row>
    <row r="50" ht="15" customHeight="1">
      <c r="A50" t="inlineStr">
        <is>
          <t>A 33600-2022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44789</v>
      </c>
      <c r="E50" s="1" t="n">
        <v>46260</v>
      </c>
      <c r="F50" t="inlineStr">
        <is>
          <t>VÄSTMANLANDS LÄN</t>
        </is>
      </c>
      <c r="G50" t="inlineStr">
        <is>
          <t>SKINNSKATTEBERG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44545</v>
      </c>
      <c r="E51" s="1" t="n">
        <v>46260</v>
      </c>
      <c r="F51" t="inlineStr">
        <is>
          <t>VÄSTMANLANDS LÄN</t>
        </is>
      </c>
      <c r="G51" t="inlineStr">
        <is>
          <t>SKINNSKATTEBERG</t>
        </is>
      </c>
      <c r="I51" t="n">
        <v>7.9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53454-2022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44879</v>
      </c>
      <c r="E52" s="1" t="n">
        <v>46260</v>
      </c>
      <c r="F52" t="inlineStr">
        <is>
          <t>VÄSTMANLANDS LÄN</t>
        </is>
      </c>
      <c r="G52" t="inlineStr">
        <is>
          <t>SKINNSKATTEBERG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46260</v>
      </c>
      <c r="F53" t="inlineStr">
        <is>
          <t>VÄSTMANLANDS LÄN</t>
        </is>
      </c>
      <c r="G53" t="inlineStr">
        <is>
          <t>SKINNSKATTEBERG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16860-2022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44674</v>
      </c>
      <c r="E54" s="1" t="n">
        <v>46260</v>
      </c>
      <c r="F54" t="inlineStr">
        <is>
          <t>VÄSTMANLANDS LÄN</t>
        </is>
      </c>
      <c r="G54" t="inlineStr">
        <is>
          <t>SKINNSKATTEBERG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44829</v>
      </c>
      <c r="E55" s="1" t="n">
        <v>46260</v>
      </c>
      <c r="F55" t="inlineStr">
        <is>
          <t>VÄSTMANLANDS LÄN</t>
        </is>
      </c>
      <c r="G55" t="inlineStr">
        <is>
          <t>SKINNSKATTEBERG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69259-2021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46260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44545</v>
      </c>
      <c r="E57" s="1" t="n">
        <v>46260</v>
      </c>
      <c r="F57" t="inlineStr">
        <is>
          <t>VÄSTMANLANDS LÄN</t>
        </is>
      </c>
      <c r="G57" t="inlineStr">
        <is>
          <t>SKINNSKATTEBERG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44741</v>
      </c>
      <c r="E58" s="1" t="n">
        <v>46260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40499-2022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46260</v>
      </c>
      <c r="F59" t="inlineStr">
        <is>
          <t>VÄSTMANLANDS LÄN</t>
        </is>
      </c>
      <c r="G59" t="inlineStr">
        <is>
          <t>SKINNSKATTEBERG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46260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68540-2021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46260</v>
      </c>
      <c r="F61" t="inlineStr">
        <is>
          <t>VÄSTMANLANDS LÄN</t>
        </is>
      </c>
      <c r="G61" t="inlineStr">
        <is>
          <t>SKINNSKATTEBERG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46260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66587-2021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46260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46260</v>
      </c>
      <c r="F64" t="inlineStr">
        <is>
          <t>VÄSTMANLANDS LÄN</t>
        </is>
      </c>
      <c r="G64" t="inlineStr">
        <is>
          <t>SKINNSKATTEBERG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46260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46260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46260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46260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46260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46260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45407</v>
      </c>
      <c r="E71" s="1" t="n">
        <v>46260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46260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46260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46260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45435</v>
      </c>
      <c r="E75" s="1" t="n">
        <v>46260</v>
      </c>
      <c r="F75" t="inlineStr">
        <is>
          <t>VÄSTMANLANDS LÄN</t>
        </is>
      </c>
      <c r="G75" t="inlineStr">
        <is>
          <t>SKINNSKATTEBERG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45762</v>
      </c>
      <c r="E76" s="1" t="n">
        <v>46260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46260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46260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46260</v>
      </c>
      <c r="F79" t="inlineStr">
        <is>
          <t>VÄSTMANLANDS LÄN</t>
        </is>
      </c>
      <c r="G79" t="inlineStr">
        <is>
          <t>SKINNSKATTEBERG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46260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46260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46260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46260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46260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46260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46260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46260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46260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53145-2021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44468</v>
      </c>
      <c r="E89" s="1" t="n">
        <v>46260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46260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45637</v>
      </c>
      <c r="E91" s="1" t="n">
        <v>46260</v>
      </c>
      <c r="F91" t="inlineStr">
        <is>
          <t>VÄSTMANLANDS LÄN</t>
        </is>
      </c>
      <c r="G91" t="inlineStr">
        <is>
          <t>SKINNSKATTEBERG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46260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46260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46260</v>
      </c>
      <c r="F94" t="inlineStr">
        <is>
          <t>VÄSTMANLANDS LÄN</t>
        </is>
      </c>
      <c r="G94" t="inlineStr">
        <is>
          <t>SKINNSKATTEBERG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45375</v>
      </c>
      <c r="E95" s="1" t="n">
        <v>46260</v>
      </c>
      <c r="F95" t="inlineStr">
        <is>
          <t>VÄSTMANLANDS LÄN</t>
        </is>
      </c>
      <c r="G95" t="inlineStr">
        <is>
          <t>SKINNSKATTEBERG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46260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46260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46260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46260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46260</v>
      </c>
      <c r="F100" t="inlineStr">
        <is>
          <t>VÄSTMANLANDS LÄN</t>
        </is>
      </c>
      <c r="G100" t="inlineStr">
        <is>
          <t>SKINNSKATTEBERG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45407</v>
      </c>
      <c r="E101" s="1" t="n">
        <v>46260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46260</v>
      </c>
      <c r="F102" t="inlineStr">
        <is>
          <t>VÄSTMANLANDS LÄN</t>
        </is>
      </c>
      <c r="G102" t="inlineStr">
        <is>
          <t>SKINNSKATTEBERG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46260</v>
      </c>
      <c r="F103" t="inlineStr">
        <is>
          <t>VÄSTMANLANDS LÄN</t>
        </is>
      </c>
      <c r="G103" t="inlineStr">
        <is>
          <t>SKINNSKATTEBERG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46260</v>
      </c>
      <c r="F104" t="inlineStr">
        <is>
          <t>VÄSTMANLANDS LÄN</t>
        </is>
      </c>
      <c r="G104" t="inlineStr">
        <is>
          <t>SKINNSKATTEBERG</t>
        </is>
      </c>
      <c r="I104" t="n">
        <v>10.5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45770</v>
      </c>
      <c r="E105" s="1" t="n">
        <v>46260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46260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45480</v>
      </c>
      <c r="E107" s="1" t="n">
        <v>46260</v>
      </c>
      <c r="F107" t="inlineStr">
        <is>
          <t>VÄSTMANLANDS LÄN</t>
        </is>
      </c>
      <c r="G107" t="inlineStr">
        <is>
          <t>SKINNSKATTEBERG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5704-2026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46051</v>
      </c>
      <c r="E108" s="1" t="n">
        <v>46260</v>
      </c>
      <c r="F108" t="inlineStr">
        <is>
          <t>VÄSTMANLANDS LÄN</t>
        </is>
      </c>
      <c r="G108" t="inlineStr">
        <is>
          <t>SKINNSKATTEBERG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46260</v>
      </c>
      <c r="F109" t="inlineStr">
        <is>
          <t>VÄSTMANLANDS LÄN</t>
        </is>
      </c>
      <c r="G109" t="inlineStr">
        <is>
          <t>SKINNSKATTEBERG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46051</v>
      </c>
      <c r="E110" s="1" t="n">
        <v>46260</v>
      </c>
      <c r="F110" t="inlineStr">
        <is>
          <t>VÄSTMANLANDS LÄN</t>
        </is>
      </c>
      <c r="G110" t="inlineStr">
        <is>
          <t>SKINNSKATTEBERG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46260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5675-2026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46051</v>
      </c>
      <c r="E112" s="1" t="n">
        <v>46260</v>
      </c>
      <c r="F112" t="inlineStr">
        <is>
          <t>VÄSTMANLANDS LÄN</t>
        </is>
      </c>
      <c r="G112" t="inlineStr">
        <is>
          <t>SKINNSKATTEBERG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45406</v>
      </c>
      <c r="E113" s="1" t="n">
        <v>46260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46260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40776-2025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45897</v>
      </c>
      <c r="E115" s="1" t="n">
        <v>46260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46260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46260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40783-2025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45897</v>
      </c>
      <c r="E118" s="1" t="n">
        <v>46260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40782-2025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45897</v>
      </c>
      <c r="E119" s="1" t="n">
        <v>46260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46260</v>
      </c>
      <c r="F120" t="inlineStr">
        <is>
          <t>VÄSTMANLANDS LÄN</t>
        </is>
      </c>
      <c r="G120" t="inlineStr">
        <is>
          <t>SKINNSKATTEBERG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46260</v>
      </c>
      <c r="F121" t="inlineStr">
        <is>
          <t>VÄSTMANLANDS LÄN</t>
        </is>
      </c>
      <c r="G121" t="inlineStr">
        <is>
          <t>SKINNSKATTEBERG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28831-2025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45820</v>
      </c>
      <c r="E122" s="1" t="n">
        <v>46260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46260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46260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28873-2025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45820</v>
      </c>
      <c r="E125" s="1" t="n">
        <v>46260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46260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46260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44184-2025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45915</v>
      </c>
      <c r="E128" s="1" t="n">
        <v>46260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45527</v>
      </c>
      <c r="E129" s="1" t="n">
        <v>46260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41581-2025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45901</v>
      </c>
      <c r="E130" s="1" t="n">
        <v>46260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57343-2023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46260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46260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46260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46260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46260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46260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44603</v>
      </c>
      <c r="E137" s="1" t="n">
        <v>46260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Kyrkan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29808-2025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45825</v>
      </c>
      <c r="E138" s="1" t="n">
        <v>46260</v>
      </c>
      <c r="F138" t="inlineStr">
        <is>
          <t>VÄSTMANLANDS LÄN</t>
        </is>
      </c>
      <c r="G138" t="inlineStr">
        <is>
          <t>SKINNSKATTEBERG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46260</v>
      </c>
      <c r="F139" t="inlineStr">
        <is>
          <t>VÄSTMANLANDS LÄN</t>
        </is>
      </c>
      <c r="G139" t="inlineStr">
        <is>
          <t>SKINNSKATTEBERG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46260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46260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46260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46260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29810-2025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45825</v>
      </c>
      <c r="E144" s="1" t="n">
        <v>46260</v>
      </c>
      <c r="F144" t="inlineStr">
        <is>
          <t>VÄSTMANLANDS LÄN</t>
        </is>
      </c>
      <c r="G144" t="inlineStr">
        <is>
          <t>SKINNSKATTEBERG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46260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46260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45617</v>
      </c>
      <c r="E147" s="1" t="n">
        <v>46260</v>
      </c>
      <c r="F147" t="inlineStr">
        <is>
          <t>VÄSTMANLANDS LÄN</t>
        </is>
      </c>
      <c r="G147" t="inlineStr">
        <is>
          <t>SKINNSKATTEBERG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15732-2026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46260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15955-2026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46108</v>
      </c>
      <c r="E149" s="1" t="n">
        <v>46260</v>
      </c>
      <c r="F149" t="inlineStr">
        <is>
          <t>VÄSTMANLANDS LÄN</t>
        </is>
      </c>
      <c r="G149" t="inlineStr">
        <is>
          <t>SKINNSKATTEBERG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46260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16136-2026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46108</v>
      </c>
      <c r="E151" s="1" t="n">
        <v>46260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46107</v>
      </c>
      <c r="E152" s="1" t="n">
        <v>46260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46260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46260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51026-2025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45947</v>
      </c>
      <c r="E155" s="1" t="n">
        <v>46260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51028-2025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45947</v>
      </c>
      <c r="E156" s="1" t="n">
        <v>46260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46260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51025-2025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46260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46260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46260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30436-2025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46260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30439-2025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45827</v>
      </c>
      <c r="E162" s="1" t="n">
        <v>46260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17098-2026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46114</v>
      </c>
      <c r="E163" s="1" t="n">
        <v>46260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46260</v>
      </c>
      <c r="F164" t="inlineStr">
        <is>
          <t>VÄSTMANLANDS LÄN</t>
        </is>
      </c>
      <c r="G164" t="inlineStr">
        <is>
          <t>SKINNSKATTEBERG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46260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46260</v>
      </c>
      <c r="F166" t="inlineStr">
        <is>
          <t>VÄSTMANLANDS LÄN</t>
        </is>
      </c>
      <c r="G166" t="inlineStr">
        <is>
          <t>SKINNSKATTEBERG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46260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46122</v>
      </c>
      <c r="E168" s="1" t="n">
        <v>46260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46260</v>
      </c>
      <c r="F169" t="inlineStr">
        <is>
          <t>VÄSTMANLANDS LÄN</t>
        </is>
      </c>
      <c r="G169" t="inlineStr">
        <is>
          <t>SKINNSKATTEBERG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46260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21571-2023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45063</v>
      </c>
      <c r="E171" s="1" t="n">
        <v>46260</v>
      </c>
      <c r="F171" t="inlineStr">
        <is>
          <t>VÄSTMANLANDS LÄN</t>
        </is>
      </c>
      <c r="G171" t="inlineStr">
        <is>
          <t>SKINNSKATTEBERG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46260</v>
      </c>
      <c r="F172" t="inlineStr">
        <is>
          <t>VÄSTMANLANDS LÄN</t>
        </is>
      </c>
      <c r="G172" t="inlineStr">
        <is>
          <t>SKINNSKATTEBERG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46260</v>
      </c>
      <c r="F173" t="inlineStr">
        <is>
          <t>VÄSTMANLANDS LÄN</t>
        </is>
      </c>
      <c r="G173" t="inlineStr">
        <is>
          <t>SKINNSKATTEBERG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18948-2026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46129</v>
      </c>
      <c r="E174" s="1" t="n">
        <v>46260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31262-2023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45114</v>
      </c>
      <c r="E175" s="1" t="n">
        <v>46260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46260</v>
      </c>
      <c r="F176" t="inlineStr">
        <is>
          <t>VÄSTMANLANDS LÄN</t>
        </is>
      </c>
      <c r="G176" t="inlineStr">
        <is>
          <t>SKINNSKATTEBERG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46260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46260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8.699999999999999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46260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45571</v>
      </c>
      <c r="E180" s="1" t="n">
        <v>46260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45571</v>
      </c>
      <c r="E181" s="1" t="n">
        <v>46260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46260</v>
      </c>
      <c r="F182" t="inlineStr">
        <is>
          <t>VÄSTMANLANDS LÄN</t>
        </is>
      </c>
      <c r="G182" t="inlineStr">
        <is>
          <t>SKINNSKATTEBERG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20248-2024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45434</v>
      </c>
      <c r="E183" s="1" t="n">
        <v>46260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46260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46260</v>
      </c>
      <c r="F185" t="inlineStr">
        <is>
          <t>VÄSTMANLANDS LÄN</t>
        </is>
      </c>
      <c r="G185" t="inlineStr">
        <is>
          <t>SKINNSKATTEBERG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19540-2026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46134</v>
      </c>
      <c r="E186" s="1" t="n">
        <v>46260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46260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19541-2026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46134</v>
      </c>
      <c r="E188" s="1" t="n">
        <v>46260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19582-2026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46134</v>
      </c>
      <c r="E189" s="1" t="n">
        <v>46260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46260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46260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56465-2025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45975</v>
      </c>
      <c r="E192" s="1" t="n">
        <v>46260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46260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16729-2024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45410</v>
      </c>
      <c r="E194" s="1" t="n">
        <v>46260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46260</v>
      </c>
      <c r="F195" t="inlineStr">
        <is>
          <t>VÄSTMANLANDS LÄN</t>
        </is>
      </c>
      <c r="G195" t="inlineStr">
        <is>
          <t>SKINNSKATTEBERG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45447</v>
      </c>
      <c r="E196" s="1" t="n">
        <v>46260</v>
      </c>
      <c r="F196" t="inlineStr">
        <is>
          <t>VÄSTMANLANDS LÄN</t>
        </is>
      </c>
      <c r="G196" t="inlineStr">
        <is>
          <t>SKINNSKATTEBERG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46260</v>
      </c>
      <c r="F197" t="inlineStr">
        <is>
          <t>VÄSTMANLANDS LÄN</t>
        </is>
      </c>
      <c r="G197" t="inlineStr">
        <is>
          <t>SKINNSKATTEBERG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46260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46260</v>
      </c>
      <c r="F199" t="inlineStr">
        <is>
          <t>VÄSTMANLANDS LÄN</t>
        </is>
      </c>
      <c r="G199" t="inlineStr">
        <is>
          <t>SKINNSKATTEBERG</t>
        </is>
      </c>
      <c r="I199" t="n">
        <v>10.4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46260</v>
      </c>
      <c r="F200" t="inlineStr">
        <is>
          <t>VÄSTMANLANDS LÄN</t>
        </is>
      </c>
      <c r="G200" t="inlineStr">
        <is>
          <t>SKINNSKATTEBERG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46260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31234-2025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45832</v>
      </c>
      <c r="E202" s="1" t="n">
        <v>46260</v>
      </c>
      <c r="F202" t="inlineStr">
        <is>
          <t>VÄSTMANLANDS LÄN</t>
        </is>
      </c>
      <c r="G202" t="inlineStr">
        <is>
          <t>SKINNSKATTEBERG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45987</v>
      </c>
      <c r="E203" s="1" t="n">
        <v>46260</v>
      </c>
      <c r="F203" t="inlineStr">
        <is>
          <t>VÄSTMANLANDS LÄN</t>
        </is>
      </c>
      <c r="G203" t="inlineStr">
        <is>
          <t>SKINNSKATTEBERG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45376</v>
      </c>
      <c r="E204" s="1" t="n">
        <v>46260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45534</v>
      </c>
      <c r="E205" s="1" t="n">
        <v>46260</v>
      </c>
      <c r="F205" t="inlineStr">
        <is>
          <t>VÄSTMANLANDS LÄN</t>
        </is>
      </c>
      <c r="G205" t="inlineStr">
        <is>
          <t>SKINNSKATTEBERG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46260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Kyrkan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46260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46260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46260</v>
      </c>
      <c r="F209" t="inlineStr">
        <is>
          <t>VÄSTMANLANDS LÄN</t>
        </is>
      </c>
      <c r="G209" t="inlineStr">
        <is>
          <t>SKINNSKATTEBERG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46260</v>
      </c>
      <c r="F210" t="inlineStr">
        <is>
          <t>VÄSTMANLANDS LÄN</t>
        </is>
      </c>
      <c r="G210" t="inlineStr">
        <is>
          <t>SKINNSKATTEBERG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25843-2023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45090</v>
      </c>
      <c r="E211" s="1" t="n">
        <v>46260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46136</v>
      </c>
      <c r="E212" s="1" t="n">
        <v>46260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46260</v>
      </c>
      <c r="F213" t="inlineStr">
        <is>
          <t>VÄSTMANLANDS LÄN</t>
        </is>
      </c>
      <c r="G213" t="inlineStr">
        <is>
          <t>SKINNSKATTEBERG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46260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46260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46260</v>
      </c>
      <c r="F216" t="inlineStr">
        <is>
          <t>VÄSTMANLANDS LÄN</t>
        </is>
      </c>
      <c r="G216" t="inlineStr">
        <is>
          <t>SKINNSKATTEBERG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44648</v>
      </c>
      <c r="E217" s="1" t="n">
        <v>46260</v>
      </c>
      <c r="F217" t="inlineStr">
        <is>
          <t>VÄSTMANLANDS LÄN</t>
        </is>
      </c>
      <c r="G217" t="inlineStr">
        <is>
          <t>SKINNSKATTEBERG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46260</v>
      </c>
      <c r="F218" t="inlineStr">
        <is>
          <t>VÄSTMANLANDS LÄN</t>
        </is>
      </c>
      <c r="G218" t="inlineStr">
        <is>
          <t>SKINNSKATTEBERG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46140</v>
      </c>
      <c r="E219" s="1" t="n">
        <v>46260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20563-2026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46140</v>
      </c>
      <c r="E220" s="1" t="n">
        <v>46260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46260</v>
      </c>
      <c r="F221" t="inlineStr">
        <is>
          <t>VÄSTMANLANDS LÄN</t>
        </is>
      </c>
      <c r="G221" t="inlineStr">
        <is>
          <t>SKINNSKATTEBERG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46260</v>
      </c>
      <c r="F222" t="inlineStr">
        <is>
          <t>VÄSTMANLANDS LÄN</t>
        </is>
      </c>
      <c r="G222" t="inlineStr">
        <is>
          <t>SKINNSKATTEBERG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62933-2025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46009</v>
      </c>
      <c r="E223" s="1" t="n">
        <v>46260</v>
      </c>
      <c r="F223" t="inlineStr">
        <is>
          <t>VÄSTMANLANDS LÄN</t>
        </is>
      </c>
      <c r="G223" t="inlineStr">
        <is>
          <t>SKINNSKATTEBERG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46260</v>
      </c>
      <c r="F224" t="inlineStr">
        <is>
          <t>VÄSTMANLANDS LÄN</t>
        </is>
      </c>
      <c r="G224" t="inlineStr">
        <is>
          <t>SKINNSKATTEBERG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46260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46260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20850-2026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46142</v>
      </c>
      <c r="E227" s="1" t="n">
        <v>46260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46260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20856-2026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46142</v>
      </c>
      <c r="E229" s="1" t="n">
        <v>46260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46260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46260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45537</v>
      </c>
      <c r="E232" s="1" t="n">
        <v>46260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46150</v>
      </c>
      <c r="E233" s="1" t="n">
        <v>46260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46150</v>
      </c>
      <c r="E234" s="1" t="n">
        <v>46260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45177</v>
      </c>
      <c r="E235" s="1" t="n">
        <v>46260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46260</v>
      </c>
      <c r="F236" t="inlineStr">
        <is>
          <t>VÄSTMANLANDS LÄN</t>
        </is>
      </c>
      <c r="G236" t="inlineStr">
        <is>
          <t>SKINNSKATTEBERG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55428-2021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44475</v>
      </c>
      <c r="E237" s="1" t="n">
        <v>46260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22779-2026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46157</v>
      </c>
      <c r="E238" s="1" t="n">
        <v>46260</v>
      </c>
      <c r="F238" t="inlineStr">
        <is>
          <t>VÄSTMANLANDS LÄN</t>
        </is>
      </c>
      <c r="G238" t="inlineStr">
        <is>
          <t>SKINNSKATTEBERG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53880-2021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44469</v>
      </c>
      <c r="E239" s="1" t="n">
        <v>46260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52600-2021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44466</v>
      </c>
      <c r="E240" s="1" t="n">
        <v>46260</v>
      </c>
      <c r="F240" t="inlineStr">
        <is>
          <t>VÄSTMANLANDS LÄN</t>
        </is>
      </c>
      <c r="G240" t="inlineStr">
        <is>
          <t>SKINNSKATTEBERG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53183-2021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44468</v>
      </c>
      <c r="E241" s="1" t="n">
        <v>46260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46260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46260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51508-2021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44462</v>
      </c>
      <c r="E244" s="1" t="n">
        <v>46260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45531</v>
      </c>
      <c r="E245" s="1" t="n">
        <v>46260</v>
      </c>
      <c r="F245" t="inlineStr">
        <is>
          <t>VÄSTMANLANDS LÄN</t>
        </is>
      </c>
      <c r="G245" t="inlineStr">
        <is>
          <t>SKINNSKATTEBERG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53142-2021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44468</v>
      </c>
      <c r="E246" s="1" t="n">
        <v>46260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46260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45848</v>
      </c>
      <c r="E248" s="1" t="n">
        <v>46260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46260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46260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46260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45853</v>
      </c>
      <c r="E252" s="1" t="n">
        <v>46260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46260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35205-2025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45853</v>
      </c>
      <c r="E254" s="1" t="n">
        <v>46260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45512</v>
      </c>
      <c r="E255" s="1" t="n">
        <v>46260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46260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46260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46260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46260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46260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46260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45407</v>
      </c>
      <c r="E262" s="1" t="n">
        <v>46260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49847-2021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44455</v>
      </c>
      <c r="E263" s="1" t="n">
        <v>46260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36288-2022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44803</v>
      </c>
      <c r="E264" s="1" t="n">
        <v>46260</v>
      </c>
      <c r="F264" t="inlineStr">
        <is>
          <t>VÄSTMANLANDS LÄN</t>
        </is>
      </c>
      <c r="G264" t="inlineStr">
        <is>
          <t>SKINNSKATTEBERG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45429</v>
      </c>
      <c r="E265" s="1" t="n">
        <v>46260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46260</v>
      </c>
      <c r="F266" t="inlineStr">
        <is>
          <t>VÄSTMANLANDS LÄN</t>
        </is>
      </c>
      <c r="G266" t="inlineStr">
        <is>
          <t>SKINNSKATTEBERG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46260</v>
      </c>
      <c r="F267" t="inlineStr">
        <is>
          <t>VÄSTMANLANDS LÄN</t>
        </is>
      </c>
      <c r="G267" t="inlineStr">
        <is>
          <t>SKINNSKATTEBERG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46260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46260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46260</v>
      </c>
      <c r="F270" t="inlineStr">
        <is>
          <t>VÄSTMANLANDS LÄN</t>
        </is>
      </c>
      <c r="G270" t="inlineStr">
        <is>
          <t>SKINNSKATTEBERG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46260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20074-2023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45054</v>
      </c>
      <c r="E272" s="1" t="n">
        <v>46260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26356-2026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46182</v>
      </c>
      <c r="E273" s="1" t="n">
        <v>46260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46260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45056</v>
      </c>
      <c r="E275" s="1" t="n">
        <v>46260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13713-2024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45390</v>
      </c>
      <c r="E276" s="1" t="n">
        <v>46260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26866-2026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46260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26865-2026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46260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46260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46260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46260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46260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29708-2024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45485</v>
      </c>
      <c r="E283" s="1" t="n">
        <v>46260</v>
      </c>
      <c r="F283" t="inlineStr">
        <is>
          <t>VÄSTMANLANDS LÄN</t>
        </is>
      </c>
      <c r="G283" t="inlineStr">
        <is>
          <t>SKINNSKATTEBERG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46260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46260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45555</v>
      </c>
      <c r="E286" s="1" t="n">
        <v>46260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45387</v>
      </c>
      <c r="E287" s="1" t="n">
        <v>46260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32217-2026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46237</v>
      </c>
      <c r="E288" s="1" t="n">
        <v>46260</v>
      </c>
      <c r="F288" t="inlineStr">
        <is>
          <t>VÄSTMANLANDS LÄN</t>
        </is>
      </c>
      <c r="G288" t="inlineStr">
        <is>
          <t>SKINNSKATTEBERG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46260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46260</v>
      </c>
      <c r="F290" t="inlineStr">
        <is>
          <t>VÄSTMANLANDS LÄN</t>
        </is>
      </c>
      <c r="G290" t="inlineStr">
        <is>
          <t>SKINNSKATTEBERG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15540-2024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45401</v>
      </c>
      <c r="E291" s="1" t="n">
        <v>46260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45156</v>
      </c>
      <c r="E292" s="1" t="n">
        <v>46260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46260</v>
      </c>
      <c r="F293" t="inlineStr">
        <is>
          <t>VÄSTMANLANDS LÄN</t>
        </is>
      </c>
      <c r="G293" t="inlineStr">
        <is>
          <t>SKINNSKATTEBERG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46197</v>
      </c>
      <c r="E294" s="1" t="n">
        <v>46260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46260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45393</v>
      </c>
      <c r="E296" s="1" t="n">
        <v>46260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46260</v>
      </c>
      <c r="F297" t="inlineStr">
        <is>
          <t>VÄSTMANLANDS LÄN</t>
        </is>
      </c>
      <c r="G297" t="inlineStr">
        <is>
          <t>SKINNSKATTEBERG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46260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45096</v>
      </c>
      <c r="E299" s="1" t="n">
        <v>46260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32859-2026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46244</v>
      </c>
      <c r="E300" s="1" t="n">
        <v>46260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8.300000000000001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40545-2023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45170</v>
      </c>
      <c r="E301" s="1" t="n">
        <v>46260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46260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46244</v>
      </c>
      <c r="E303" s="1" t="n">
        <v>46260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46200</v>
      </c>
      <c r="E304" s="1" t="n">
        <v>46260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46244</v>
      </c>
      <c r="E305" s="1" t="n">
        <v>46260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46244</v>
      </c>
      <c r="E306" s="1" t="n">
        <v>46260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46200</v>
      </c>
      <c r="E307" s="1" t="n">
        <v>46260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46260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45558</v>
      </c>
      <c r="E309" s="1" t="n">
        <v>46260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45720</v>
      </c>
      <c r="E310" s="1" t="n">
        <v>46260</v>
      </c>
      <c r="F310" t="inlineStr">
        <is>
          <t>VÄSTMANLANDS LÄN</t>
        </is>
      </c>
      <c r="G310" t="inlineStr">
        <is>
          <t>SKINNSKATTEBERG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29026-2026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46199</v>
      </c>
      <c r="E311" s="1" t="n">
        <v>46260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46260</v>
      </c>
      <c r="F312" t="inlineStr">
        <is>
          <t>VÄSTMANLANDS LÄN</t>
        </is>
      </c>
      <c r="G312" t="inlineStr">
        <is>
          <t>SKINNSKATTEBERG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46260</v>
      </c>
      <c r="F313" t="inlineStr">
        <is>
          <t>VÄSTMANLANDS LÄN</t>
        </is>
      </c>
      <c r="G313" t="inlineStr">
        <is>
          <t>SKINNSKATTEBERG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33454-2026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46247</v>
      </c>
      <c r="E314" s="1" t="n">
        <v>46260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45082</v>
      </c>
      <c r="E315" s="1" t="n">
        <v>46260</v>
      </c>
      <c r="F315" t="inlineStr">
        <is>
          <t>VÄSTMANLANDS LÄN</t>
        </is>
      </c>
      <c r="G315" t="inlineStr">
        <is>
          <t>SKINNSKATTEBERG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61181-2021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44498</v>
      </c>
      <c r="E316" s="1" t="n">
        <v>46260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45128</v>
      </c>
      <c r="E317" s="1" t="n">
        <v>46260</v>
      </c>
      <c r="F317" t="inlineStr">
        <is>
          <t>VÄSTMANLANDS LÄN</t>
        </is>
      </c>
      <c r="G317" t="inlineStr">
        <is>
          <t>SKINNSKATTEBERG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46260</v>
      </c>
      <c r="F318" t="inlineStr">
        <is>
          <t>VÄSTMANLANDS LÄN</t>
        </is>
      </c>
      <c r="G318" t="inlineStr">
        <is>
          <t>SKINNSKATTEBERG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33553-2026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46248</v>
      </c>
      <c r="E319" s="1" t="n">
        <v>46260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45554</v>
      </c>
      <c r="E320" s="1" t="n">
        <v>46260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45085</v>
      </c>
      <c r="E321" s="1" t="n">
        <v>46260</v>
      </c>
      <c r="F321" t="inlineStr">
        <is>
          <t>VÄSTMANLANDS LÄN</t>
        </is>
      </c>
      <c r="G321" t="inlineStr">
        <is>
          <t>SKINNSKATTEBERG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46210</v>
      </c>
      <c r="E322" s="1" t="n">
        <v>46260</v>
      </c>
      <c r="F322" t="inlineStr">
        <is>
          <t>VÄSTMANLANDS LÄN</t>
        </is>
      </c>
      <c r="G322" t="inlineStr">
        <is>
          <t>SKINNSKATTEBERG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46260</v>
      </c>
      <c r="F323" t="inlineStr">
        <is>
          <t>VÄSTMANLANDS LÄN</t>
        </is>
      </c>
      <c r="G323" t="inlineStr">
        <is>
          <t>SKINNSKATTEBERG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44965</v>
      </c>
      <c r="E324" s="1" t="n">
        <v>46260</v>
      </c>
      <c r="F324" t="inlineStr">
        <is>
          <t>VÄSTMANLANDS LÄN</t>
        </is>
      </c>
      <c r="G324" t="inlineStr">
        <is>
          <t>SKINNSKATTEBERG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45114</v>
      </c>
      <c r="E325" s="1" t="n">
        <v>46260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46260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46237</v>
      </c>
      <c r="E327" s="1" t="n">
        <v>46260</v>
      </c>
      <c r="F327" t="inlineStr">
        <is>
          <t>VÄSTMANLANDS LÄN</t>
        </is>
      </c>
      <c r="G327" t="inlineStr">
        <is>
          <t>SKINNSKATTEBERG</t>
        </is>
      </c>
      <c r="I327" t="n">
        <v>12.2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45006</v>
      </c>
      <c r="E328" s="1" t="n">
        <v>46260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Allmännings- och besparingsskogar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12888-2024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45385</v>
      </c>
      <c r="E329" s="1" t="n">
        <v>46260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15561-2024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45401</v>
      </c>
      <c r="E330" s="1" t="n">
        <v>46260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44967</v>
      </c>
      <c r="E331" s="1" t="n">
        <v>46260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46260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60355-2024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46260</v>
      </c>
      <c r="F333" t="inlineStr">
        <is>
          <t>VÄSTMANLANDS LÄN</t>
        </is>
      </c>
      <c r="G333" t="inlineStr">
        <is>
          <t>SKINNSKATTEBERG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45435</v>
      </c>
      <c r="E334" s="1" t="n">
        <v>46260</v>
      </c>
      <c r="F334" t="inlineStr">
        <is>
          <t>VÄSTMANLANDS LÄN</t>
        </is>
      </c>
      <c r="G334" t="inlineStr">
        <is>
          <t>SKINNSKATTEBERG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44995</v>
      </c>
      <c r="E335" s="1" t="n">
        <v>46260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37210-2022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44806</v>
      </c>
      <c r="E336" s="1" t="n">
        <v>46260</v>
      </c>
      <c r="F336" t="inlineStr">
        <is>
          <t>VÄSTMANLANDS LÄN</t>
        </is>
      </c>
      <c r="G336" t="inlineStr">
        <is>
          <t>SKINNSKATTEBERG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54657-2022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44883</v>
      </c>
      <c r="E337" s="1" t="n">
        <v>46260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40167-2024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45554</v>
      </c>
      <c r="E338" s="1" t="n">
        <v>46260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66584-2021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44519</v>
      </c>
      <c r="E339" s="1" t="n">
        <v>46260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45156</v>
      </c>
      <c r="E340" s="1" t="n">
        <v>46260</v>
      </c>
      <c r="F340" t="inlineStr">
        <is>
          <t>VÄSTMANLANDS LÄN</t>
        </is>
      </c>
      <c r="G340" t="inlineStr">
        <is>
          <t>SKINNSKATTEBERG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45252</v>
      </c>
      <c r="E341" s="1" t="n">
        <v>46260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45504</v>
      </c>
      <c r="E342" s="1" t="n">
        <v>46260</v>
      </c>
      <c r="F342" t="inlineStr">
        <is>
          <t>VÄSTMANLANDS LÄN</t>
        </is>
      </c>
      <c r="G342" t="inlineStr">
        <is>
          <t>SKINNSKATTEBERG</t>
        </is>
      </c>
      <c r="I342" t="n">
        <v>17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45306</v>
      </c>
      <c r="E343" s="1" t="n">
        <v>46260</v>
      </c>
      <c r="F343" t="inlineStr">
        <is>
          <t>VÄSTMANLANDS LÄN</t>
        </is>
      </c>
      <c r="G343" t="inlineStr">
        <is>
          <t>SKINNSKATTEBERG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45306</v>
      </c>
      <c r="E344" s="1" t="n">
        <v>46260</v>
      </c>
      <c r="F344" t="inlineStr">
        <is>
          <t>VÄSTMANLANDS LÄN</t>
        </is>
      </c>
      <c r="G344" t="inlineStr">
        <is>
          <t>SKINNSKATTEBERG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45306</v>
      </c>
      <c r="E345" s="1" t="n">
        <v>46260</v>
      </c>
      <c r="F345" t="inlineStr">
        <is>
          <t>VÄSTMANLANDS LÄN</t>
        </is>
      </c>
      <c r="G345" t="inlineStr">
        <is>
          <t>SKINNSKATTEBERG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46260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15184-2025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45744</v>
      </c>
      <c r="E347" s="1" t="n">
        <v>46260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46260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45555</v>
      </c>
      <c r="E349" s="1" t="n">
        <v>46260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46260</v>
      </c>
      <c r="F350" t="inlineStr">
        <is>
          <t>VÄSTMANLANDS LÄN</t>
        </is>
      </c>
      <c r="G350" t="inlineStr">
        <is>
          <t>SKINNSKATTEBERG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46260</v>
      </c>
      <c r="F351" t="inlineStr">
        <is>
          <t>VÄSTMANLANDS LÄN</t>
        </is>
      </c>
      <c r="G351" t="inlineStr">
        <is>
          <t>SKINNSKATTEBERG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45520</v>
      </c>
      <c r="E352" s="1" t="n">
        <v>46260</v>
      </c>
      <c r="F352" t="inlineStr">
        <is>
          <t>VÄSTMANLANDS LÄN</t>
        </is>
      </c>
      <c r="G352" t="inlineStr">
        <is>
          <t>SKINNSKATTEBERG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44713</v>
      </c>
      <c r="E353" s="1" t="n">
        <v>46260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45532</v>
      </c>
      <c r="E354" s="1" t="n">
        <v>46260</v>
      </c>
      <c r="F354" t="inlineStr">
        <is>
          <t>VÄSTMANLANDS LÄN</t>
        </is>
      </c>
      <c r="G354" t="inlineStr">
        <is>
          <t>SKINNSKATTEBERG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46260</v>
      </c>
      <c r="F355" t="inlineStr">
        <is>
          <t>VÄSTMANLANDS LÄN</t>
        </is>
      </c>
      <c r="G355" t="inlineStr">
        <is>
          <t>SKINNSKATTEBERG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40176-2024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45554</v>
      </c>
      <c r="E356" s="1" t="n">
        <v>46260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19093-2023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45048</v>
      </c>
      <c r="E357" s="1" t="n">
        <v>46260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46260</v>
      </c>
      <c r="F358" t="inlineStr">
        <is>
          <t>VÄSTMANLANDS LÄN</t>
        </is>
      </c>
      <c r="G358" t="inlineStr">
        <is>
          <t>SKINNSKATTEBERG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31268-2023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45114</v>
      </c>
      <c r="E359" s="1" t="n">
        <v>46260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45506</v>
      </c>
      <c r="E360" s="1" t="n">
        <v>46260</v>
      </c>
      <c r="F360" t="inlineStr">
        <is>
          <t>VÄSTMANLANDS LÄN</t>
        </is>
      </c>
      <c r="G360" t="inlineStr">
        <is>
          <t>SKINNSKATTEBERG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46260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45252</v>
      </c>
      <c r="E362" s="1" t="n">
        <v>46260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14719-2023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45014</v>
      </c>
      <c r="E363" s="1" t="n">
        <v>46260</v>
      </c>
      <c r="F363" t="inlineStr">
        <is>
          <t>VÄSTMANLANDS LÄN</t>
        </is>
      </c>
      <c r="G363" t="inlineStr">
        <is>
          <t>SKINNSKATTEBERG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14736-2023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45014</v>
      </c>
      <c r="E364" s="1" t="n">
        <v>46260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45762</v>
      </c>
      <c r="E365" s="1" t="n">
        <v>46260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45040</v>
      </c>
      <c r="E366" s="1" t="n">
        <v>46260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48492-2024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45592</v>
      </c>
      <c r="E367" s="1" t="n">
        <v>46260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45777</v>
      </c>
      <c r="E368" s="1" t="n">
        <v>46260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46260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45377</v>
      </c>
      <c r="E370" s="1" t="n">
        <v>46260</v>
      </c>
      <c r="F370" t="inlineStr">
        <is>
          <t>VÄSTMANLANDS LÄN</t>
        </is>
      </c>
      <c r="G370" t="inlineStr">
        <is>
          <t>SKINNSKATTEBERG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46260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46260</v>
      </c>
      <c r="F372" t="inlineStr">
        <is>
          <t>VÄSTMANLANDS LÄN</t>
        </is>
      </c>
      <c r="G372" t="inlineStr">
        <is>
          <t>SKINNSKATTEBERG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46260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45480</v>
      </c>
      <c r="E374" s="1" t="n">
        <v>46260</v>
      </c>
      <c r="F374" t="inlineStr">
        <is>
          <t>VÄSTMANLANDS LÄN</t>
        </is>
      </c>
      <c r="G374" t="inlineStr">
        <is>
          <t>SKINNSKATTEBERG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22285-2025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45786</v>
      </c>
      <c r="E375" s="1" t="n">
        <v>46260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22079-2024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45443</v>
      </c>
      <c r="E376" s="1" t="n">
        <v>46260</v>
      </c>
      <c r="F376" t="inlineStr">
        <is>
          <t>VÄSTMANLANDS LÄN</t>
        </is>
      </c>
      <c r="G376" t="inlineStr">
        <is>
          <t>SKINNSKATTEBERG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35051-2024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45527</v>
      </c>
      <c r="E377" s="1" t="n">
        <v>46260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45476</v>
      </c>
      <c r="E378" s="1" t="n">
        <v>46260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25846-2025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45804</v>
      </c>
      <c r="E379" s="1" t="n">
        <v>46260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46260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46260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46260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46260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46260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46260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46260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46260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46260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46260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46260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46260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2026-08-26T01:51:49Z</dcterms:created>
  <dcterms:modified xmlns:dcterms="http://purl.org/dc/terms/" xmlns:xsi="http://www.w3.org/2001/XMLSchema-instance" xsi:type="dcterms:W3CDTF">2026-08-26T01:51:50Z</dcterms:modified>
</cp:coreProperties>
</file>