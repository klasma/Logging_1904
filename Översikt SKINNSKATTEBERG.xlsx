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46267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46267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46267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46267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46267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46267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46267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46267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46267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46267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18515-2024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45425</v>
      </c>
      <c r="E12" s="1" t="n">
        <v>46267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Fläcknycklar
Revlummer</t>
        </is>
      </c>
      <c r="W12">
        <f>HYPERLINK("https://klasma.github.io/Logging_1904/artfynd/A 18515-2024 artfynd.xlsx", "A 18515-2024")</f>
        <v/>
      </c>
      <c r="X12">
        <f>HYPERLINK("https://klasma.github.io/Logging_1904/kartor/A 18515-2024 karta.png", "A 18515-2024")</f>
        <v/>
      </c>
      <c r="Y12">
        <f>HYPERLINK("https://klasma.github.io/Logging_1904/kartor_geotiff/A 18515-2024 georefererad karta.tif", "A 18515-2024")</f>
        <v/>
      </c>
      <c r="AA12">
        <f>HYPERLINK("https://klasma.github.io/Logging_1904/klagomål/A 18515-2024 FSC-klagomål.docx", "A 18515-2024")</f>
        <v/>
      </c>
      <c r="AB12">
        <f>HYPERLINK("https://klasma.github.io/Logging_1904/klagomålsmail/A 18515-2024 FSC-klagomål mail.docx", "A 18515-2024")</f>
        <v/>
      </c>
      <c r="AC12">
        <f>HYPERLINK("https://klasma.github.io/Logging_1904/tillsyn/A 18515-2024 tillsynsbegäran.docx", "A 18515-2024")</f>
        <v/>
      </c>
      <c r="AD12">
        <f>HYPERLINK("https://klasma.github.io/Logging_1904/tillsynsmail/A 18515-2024 tillsynsbegäran mail.docx", "A 18515-2024")</f>
        <v/>
      </c>
    </row>
    <row r="13" ht="15" customHeight="1">
      <c r="A13" t="inlineStr">
        <is>
          <t>A 19656-2025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45770</v>
      </c>
      <c r="E13" s="1" t="n">
        <v>46267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3.8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Rynkskinn
Ullticka
Brandticka</t>
        </is>
      </c>
      <c r="W13">
        <f>HYPERLINK("https://klasma.github.io/Logging_1904/artfynd/A 19656-2025 artfynd.xlsx", "A 19656-2025")</f>
        <v/>
      </c>
      <c r="X13">
        <f>HYPERLINK("https://klasma.github.io/Logging_1904/kartor/A 19656-2025 karta.png", "A 19656-2025")</f>
        <v/>
      </c>
      <c r="Y13">
        <f>HYPERLINK("https://klasma.github.io/Logging_1904/kartor_geotiff/A 19656-2025 georefererad karta.tif", "A 19656-2025")</f>
        <v/>
      </c>
      <c r="AA13">
        <f>HYPERLINK("https://klasma.github.io/Logging_1904/klagomål/A 19656-2025 FSC-klagomål.docx", "A 19656-2025")</f>
        <v/>
      </c>
      <c r="AB13">
        <f>HYPERLINK("https://klasma.github.io/Logging_1904/klagomålsmail/A 19656-2025 FSC-klagomål mail.docx", "A 19656-2025")</f>
        <v/>
      </c>
      <c r="AC13">
        <f>HYPERLINK("https://klasma.github.io/Logging_1904/tillsyn/A 19656-2025 tillsynsbegäran.docx", "A 19656-2025")</f>
        <v/>
      </c>
      <c r="AD13">
        <f>HYPERLINK("https://klasma.github.io/Logging_1904/tillsynsmail/A 19656-2025 tillsynsbegäran mail.docx", "A 19656-2025")</f>
        <v/>
      </c>
    </row>
    <row r="14" ht="15" customHeight="1">
      <c r="A14" t="inlineStr">
        <is>
          <t>A 58355-2025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46267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1.9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6</v>
      </c>
      <c r="U14" t="n">
        <v>4</v>
      </c>
      <c r="V14" s="2" t="inlineStr">
        <is>
          <t>Brunpudrad nållav
Vedtrappmossa
Brandticka</t>
        </is>
      </c>
      <c r="W14">
        <f>HYPERLINK("https://klasma.github.io/Logging_1904/artfynd/A 58355-2025 artfynd.xlsx", "A 58355-2025")</f>
        <v/>
      </c>
      <c r="X14">
        <f>HYPERLINK("https://klasma.github.io/Logging_1904/kartor/A 58355-2025 karta.png", "A 58355-2025")</f>
        <v/>
      </c>
      <c r="Y14">
        <f>HYPERLINK("https://klasma.github.io/Logging_1904/kartor_geotiff/A 58355-2025 georefererad karta.tif", "A 58355-2025")</f>
        <v/>
      </c>
      <c r="AA14">
        <f>HYPERLINK("https://klasma.github.io/Logging_1904/klagomål/A 58355-2025 FSC-klagomål.docx", "A 58355-2025")</f>
        <v/>
      </c>
      <c r="AB14">
        <f>HYPERLINK("https://klasma.github.io/Logging_1904/klagomålsmail/A 58355-2025 FSC-klagomål mail.docx", "A 58355-2025")</f>
        <v/>
      </c>
      <c r="AC14">
        <f>HYPERLINK("https://klasma.github.io/Logging_1904/tillsyn/A 58355-2025 tillsynsbegäran.docx", "A 58355-2025")</f>
        <v/>
      </c>
      <c r="AD14">
        <f>HYPERLINK("https://klasma.github.io/Logging_1904/tillsynsmail/A 58355-2025 tillsynsbegäran mail.docx", "A 58355-2025")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46267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21846-2026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46150</v>
      </c>
      <c r="E16" s="1" t="n">
        <v>46267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0.5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Gränsticka
Brunpudrad nållav
Vedtrappmossa</t>
        </is>
      </c>
      <c r="W16">
        <f>HYPERLINK("https://klasma.github.io/Logging_1904/artfynd/A 21846-2026 artfynd.xlsx", "A 21846-2026")</f>
        <v/>
      </c>
      <c r="X16">
        <f>HYPERLINK("https://klasma.github.io/Logging_1904/kartor/A 21846-2026 karta.png", "A 21846-2026")</f>
        <v/>
      </c>
      <c r="Y16">
        <f>HYPERLINK("https://klasma.github.io/Logging_1904/kartor_geotiff/A 21846-2026 georefererad karta.tif", "A 21846-2026")</f>
        <v/>
      </c>
      <c r="AA16">
        <f>HYPERLINK("https://klasma.github.io/Logging_1904/klagomål/A 21846-2026 FSC-klagomål.docx", "A 21846-2026")</f>
        <v/>
      </c>
      <c r="AB16">
        <f>HYPERLINK("https://klasma.github.io/Logging_1904/klagomålsmail/A 21846-2026 FSC-klagomål mail.docx", "A 21846-2026")</f>
        <v/>
      </c>
      <c r="AC16">
        <f>HYPERLINK("https://klasma.github.io/Logging_1904/tillsyn/A 21846-2026 tillsynsbegäran.docx", "A 21846-2026")</f>
        <v/>
      </c>
      <c r="AD16">
        <f>HYPERLINK("https://klasma.github.io/Logging_1904/tillsynsmail/A 21846-2026 tillsynsbegäran mail.docx", "A 21846-2026")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46267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46267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46267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46267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46267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46267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46267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46267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46267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46267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46267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HYPERLINK("https://klasma.github.io/Logging_1904/artfynd/A 31006-2025 artfynd.xlsx", "A 31006-2025")</f>
        <v/>
      </c>
      <c r="X27">
        <f>HYPERLINK("https://klasma.github.io/Logging_1904/kartor/A 31006-2025 karta.png", "A 31006-2025")</f>
        <v/>
      </c>
      <c r="Y27">
        <f>HYPERLINK("https://klasma.github.io/Logging_1904/kartor_geotiff/A 31006-2025 georefererad karta.tif", "A 31006-2025")</f>
        <v/>
      </c>
      <c r="AA27">
        <f>HYPERLINK("https://klasma.github.io/Logging_1904/klagomål/A 31006-2025 FSC-klagomål.docx", "A 31006-2025")</f>
        <v/>
      </c>
      <c r="AB27">
        <f>HYPERLINK("https://klasma.github.io/Logging_1904/klagomålsmail/A 31006-2025 FSC-klagomål mail.docx", "A 31006-2025")</f>
        <v/>
      </c>
      <c r="AC27">
        <f>HYPERLINK("https://klasma.github.io/Logging_1904/tillsyn/A 31006-2025 tillsynsbegäran.docx", "A 31006-2025")</f>
        <v/>
      </c>
      <c r="AD27">
        <f>HYPERLINK("https://klasma.github.io/Logging_1904/tillsynsmail/A 31006-2025 tillsynsbegäran mail.docx", "A 31006-2025")</f>
        <v/>
      </c>
      <c r="AE27">
        <f>HYPERLINK("https://klasma.github.io/Logging_1904/fåglar/A 31006-2025 prioriterade fågelarter.docx", "A 31006-2025")</f>
        <v/>
      </c>
    </row>
    <row r="28" ht="15" customHeight="1">
      <c r="A28" t="inlineStr">
        <is>
          <t>A 9490-2024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46267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HYPERLINK("https://klasma.github.io/Logging_1904/artfynd/A 9490-2024 artfynd.xlsx", "A 9490-2024")</f>
        <v/>
      </c>
      <c r="X28">
        <f>HYPERLINK("https://klasma.github.io/Logging_1904/kartor/A 9490-2024 karta.png", "A 9490-2024")</f>
        <v/>
      </c>
      <c r="Y28">
        <f>HYPERLINK("https://klasma.github.io/Logging_1904/kartor_geotiff/A 9490-2024 georefererad karta.tif", "A 9490-2024")</f>
        <v/>
      </c>
      <c r="AA28">
        <f>HYPERLINK("https://klasma.github.io/Logging_1904/klagomål/A 9490-2024 FSC-klagomål.docx", "A 9490-2024")</f>
        <v/>
      </c>
      <c r="AB28">
        <f>HYPERLINK("https://klasma.github.io/Logging_1904/klagomålsmail/A 9490-2024 FSC-klagomål mail.docx", "A 9490-2024")</f>
        <v/>
      </c>
      <c r="AC28">
        <f>HYPERLINK("https://klasma.github.io/Logging_1904/tillsyn/A 9490-2024 tillsynsbegäran.docx", "A 9490-2024")</f>
        <v/>
      </c>
      <c r="AD28">
        <f>HYPERLINK("https://klasma.github.io/Logging_1904/tillsynsmail/A 9490-2024 tillsynsbegäran mail.docx", "A 9490-2024")</f>
        <v/>
      </c>
      <c r="AE28">
        <f>HYPERLINK("https://klasma.github.io/Logging_1904/fåglar/A 9490-2024 prioriterade fågelarter.docx", "A 9490-2024")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46267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HYPERLINK("https://klasma.github.io/Logging_1904/artfynd/A 54296-2023 artfynd.xlsx", "A 54296-2023")</f>
        <v/>
      </c>
      <c r="X29">
        <f>HYPERLINK("https://klasma.github.io/Logging_1904/kartor/A 54296-2023 karta.png", "A 54296-2023")</f>
        <v/>
      </c>
      <c r="Y29">
        <f>HYPERLINK("https://klasma.github.io/Logging_1904/kartor_geotiff/A 54296-2023 georefererad karta.tif", "A 54296-2023")</f>
        <v/>
      </c>
      <c r="AA29">
        <f>HYPERLINK("https://klasma.github.io/Logging_1904/klagomål/A 54296-2023 FSC-klagomål.docx", "A 54296-2023")</f>
        <v/>
      </c>
      <c r="AB29">
        <f>HYPERLINK("https://klasma.github.io/Logging_1904/klagomålsmail/A 54296-2023 FSC-klagomål mail.docx", "A 54296-2023")</f>
        <v/>
      </c>
      <c r="AC29">
        <f>HYPERLINK("https://klasma.github.io/Logging_1904/tillsyn/A 54296-2023 tillsynsbegäran.docx", "A 54296-2023")</f>
        <v/>
      </c>
      <c r="AD29">
        <f>HYPERLINK("https://klasma.github.io/Logging_1904/tillsynsmail/A 54296-2023 tillsynsbegäran mail.docx", "A 54296-2023")</f>
        <v/>
      </c>
    </row>
    <row r="30" ht="15" customHeight="1">
      <c r="A30" t="inlineStr">
        <is>
          <t>A 47538-2025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46267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HYPERLINK("https://klasma.github.io/Logging_1904/artfynd/A 47538-2025 artfynd.xlsx", "A 47538-2025")</f>
        <v/>
      </c>
      <c r="X30">
        <f>HYPERLINK("https://klasma.github.io/Logging_1904/kartor/A 47538-2025 karta.png", "A 47538-2025")</f>
        <v/>
      </c>
      <c r="Y30">
        <f>HYPERLINK("https://klasma.github.io/Logging_1904/kartor_geotiff/A 47538-2025 georefererad karta.tif", "A 47538-2025")</f>
        <v/>
      </c>
      <c r="AA30">
        <f>HYPERLINK("https://klasma.github.io/Logging_1904/klagomål/A 47538-2025 FSC-klagomål.docx", "A 47538-2025")</f>
        <v/>
      </c>
      <c r="AB30">
        <f>HYPERLINK("https://klasma.github.io/Logging_1904/klagomålsmail/A 47538-2025 FSC-klagomål mail.docx", "A 47538-2025")</f>
        <v/>
      </c>
      <c r="AC30">
        <f>HYPERLINK("https://klasma.github.io/Logging_1904/tillsyn/A 47538-2025 tillsynsbegäran.docx", "A 47538-2025")</f>
        <v/>
      </c>
      <c r="AD30">
        <f>HYPERLINK("https://klasma.github.io/Logging_1904/tillsynsmail/A 47538-2025 tillsynsbegäran mail.docx", "A 47538-2025")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46267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Vedticka</t>
        </is>
      </c>
      <c r="W31">
        <f>HYPERLINK("https://klasma.github.io/Logging_1904/artfynd/A 57395-2025 artfynd.xlsx", "A 57395-2025")</f>
        <v/>
      </c>
      <c r="X31">
        <f>HYPERLINK("https://klasma.github.io/Logging_1904/kartor/A 57395-2025 karta.png", "A 57395-2025")</f>
        <v/>
      </c>
      <c r="Y31">
        <f>HYPERLINK("https://klasma.github.io/Logging_1904/kartor_geotiff/A 57395-2025 georefererad karta.tif", "A 57395-2025")</f>
        <v/>
      </c>
      <c r="AA31">
        <f>HYPERLINK("https://klasma.github.io/Logging_1904/klagomål/A 57395-2025 FSC-klagomål.docx", "A 57395-2025")</f>
        <v/>
      </c>
      <c r="AB31">
        <f>HYPERLINK("https://klasma.github.io/Logging_1904/klagomålsmail/A 57395-2025 FSC-klagomål mail.docx", "A 57395-2025")</f>
        <v/>
      </c>
      <c r="AC31">
        <f>HYPERLINK("https://klasma.github.io/Logging_1904/tillsyn/A 57395-2025 tillsynsbegäran.docx", "A 57395-2025")</f>
        <v/>
      </c>
      <c r="AD31">
        <f>HYPERLINK("https://klasma.github.io/Logging_1904/tillsynsmail/A 57395-2025 tillsynsbegäran mail.docx", "A 57395-2025")</f>
        <v/>
      </c>
    </row>
    <row r="32" ht="15" customHeight="1">
      <c r="A32" t="inlineStr">
        <is>
          <t>A 49630-2024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46267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7.3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HYPERLINK("https://klasma.github.io/Logging_1904/artfynd/A 49630-2024 artfynd.xlsx", "A 49630-2024")</f>
        <v/>
      </c>
      <c r="X32">
        <f>HYPERLINK("https://klasma.github.io/Logging_1904/kartor/A 49630-2024 karta.png", "A 49630-2024")</f>
        <v/>
      </c>
      <c r="Y32">
        <f>HYPERLINK("https://klasma.github.io/Logging_1904/kartor_geotiff/A 49630-2024 georefererad karta.tif", "A 49630-2024")</f>
        <v/>
      </c>
      <c r="AA32">
        <f>HYPERLINK("https://klasma.github.io/Logging_1904/klagomål/A 49630-2024 FSC-klagomål.docx", "A 49630-2024")</f>
        <v/>
      </c>
      <c r="AB32">
        <f>HYPERLINK("https://klasma.github.io/Logging_1904/klagomålsmail/A 49630-2024 FSC-klagomål mail.docx", "A 49630-2024")</f>
        <v/>
      </c>
      <c r="AC32">
        <f>HYPERLINK("https://klasma.github.io/Logging_1904/tillsyn/A 49630-2024 tillsynsbegäran.docx", "A 49630-2024")</f>
        <v/>
      </c>
      <c r="AD32">
        <f>HYPERLINK("https://klasma.github.io/Logging_1904/tillsynsmail/A 49630-2024 tillsynsbegäran mail.docx", "A 49630-2024")</f>
        <v/>
      </c>
    </row>
    <row r="33" ht="15" customHeight="1">
      <c r="A33" t="inlineStr">
        <is>
          <t>A 43413-2024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45568</v>
      </c>
      <c r="E33" s="1" t="n">
        <v>46267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Orange taggsvamp</t>
        </is>
      </c>
      <c r="W33">
        <f>HYPERLINK("https://klasma.github.io/Logging_1904/artfynd/A 43413-2024 artfynd.xlsx", "A 43413-2024")</f>
        <v/>
      </c>
      <c r="X33">
        <f>HYPERLINK("https://klasma.github.io/Logging_1904/kartor/A 43413-2024 karta.png", "A 43413-2024")</f>
        <v/>
      </c>
      <c r="Y33">
        <f>HYPERLINK("https://klasma.github.io/Logging_1904/kartor_geotiff/A 43413-2024 georefererad karta.tif", "A 43413-2024")</f>
        <v/>
      </c>
      <c r="AA33">
        <f>HYPERLINK("https://klasma.github.io/Logging_1904/klagomål/A 43413-2024 FSC-klagomål.docx", "A 43413-2024")</f>
        <v/>
      </c>
      <c r="AB33">
        <f>HYPERLINK("https://klasma.github.io/Logging_1904/klagomålsmail/A 43413-2024 FSC-klagomål mail.docx", "A 43413-2024")</f>
        <v/>
      </c>
      <c r="AC33">
        <f>HYPERLINK("https://klasma.github.io/Logging_1904/tillsyn/A 43413-2024 tillsynsbegäran.docx", "A 43413-2024")</f>
        <v/>
      </c>
      <c r="AD33">
        <f>HYPERLINK("https://klasma.github.io/Logging_1904/tillsynsmail/A 43413-2024 tillsynsbegäran mail.docx", "A 43413-2024")</f>
        <v/>
      </c>
    </row>
    <row r="34" ht="15" customHeight="1">
      <c r="A34" t="inlineStr">
        <is>
          <t>A 33435-2024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45519</v>
      </c>
      <c r="E34" s="1" t="n">
        <v>46267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33435-2024 artfynd.xlsx", "A 33435-2024")</f>
        <v/>
      </c>
      <c r="X34">
        <f>HYPERLINK("https://klasma.github.io/Logging_1904/kartor/A 33435-2024 karta.png", "A 33435-2024")</f>
        <v/>
      </c>
      <c r="Y34">
        <f>HYPERLINK("https://klasma.github.io/Logging_1904/kartor_geotiff/A 33435-2024 georefererad karta.tif", "A 33435-2024")</f>
        <v/>
      </c>
      <c r="AA34">
        <f>HYPERLINK("https://klasma.github.io/Logging_1904/klagomål/A 33435-2024 FSC-klagomål.docx", "A 33435-2024")</f>
        <v/>
      </c>
      <c r="AB34">
        <f>HYPERLINK("https://klasma.github.io/Logging_1904/klagomålsmail/A 33435-2024 FSC-klagomål mail.docx", "A 33435-2024")</f>
        <v/>
      </c>
      <c r="AC34">
        <f>HYPERLINK("https://klasma.github.io/Logging_1904/tillsyn/A 33435-2024 tillsynsbegäran.docx", "A 33435-2024")</f>
        <v/>
      </c>
      <c r="AD34">
        <f>HYPERLINK("https://klasma.github.io/Logging_1904/tillsynsmail/A 33435-2024 tillsynsbegäran mail.docx", "A 33435-2024")</f>
        <v/>
      </c>
      <c r="AE34">
        <f>HYPERLINK("https://klasma.github.io/Logging_1904/fåglar/A 33435-2024 prioriterade fågelarter.docx", "A 33435-2024")</f>
        <v/>
      </c>
    </row>
    <row r="35" ht="15" customHeight="1">
      <c r="A35" t="inlineStr">
        <is>
          <t>A 12024-2023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44995</v>
      </c>
      <c r="E35" s="1" t="n">
        <v>46267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HYPERLINK("https://klasma.github.io/Logging_1904/artfynd/A 12024-2023 artfynd.xlsx", "A 12024-2023")</f>
        <v/>
      </c>
      <c r="X35">
        <f>HYPERLINK("https://klasma.github.io/Logging_1904/kartor/A 12024-2023 karta.png", "A 12024-2023")</f>
        <v/>
      </c>
      <c r="Y35">
        <f>HYPERLINK("https://klasma.github.io/Logging_1904/kartor_geotiff/A 12024-2023 georefererad karta.tif", "A 12024-2023")</f>
        <v/>
      </c>
      <c r="AA35">
        <f>HYPERLINK("https://klasma.github.io/Logging_1904/klagomål/A 12024-2023 FSC-klagomål.docx", "A 12024-2023")</f>
        <v/>
      </c>
      <c r="AB35">
        <f>HYPERLINK("https://klasma.github.io/Logging_1904/klagomålsmail/A 12024-2023 FSC-klagomål mail.docx", "A 12024-2023")</f>
        <v/>
      </c>
      <c r="AC35">
        <f>HYPERLINK("https://klasma.github.io/Logging_1904/tillsyn/A 12024-2023 tillsynsbegäran.docx", "A 12024-2023")</f>
        <v/>
      </c>
      <c r="AD35">
        <f>HYPERLINK("https://klasma.github.io/Logging_1904/tillsynsmail/A 12024-2023 tillsynsbegäran mail.docx", "A 12024-2023")</f>
        <v/>
      </c>
    </row>
    <row r="36" ht="15" customHeight="1">
      <c r="A36" t="inlineStr">
        <is>
          <t>A 15734-2026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46107</v>
      </c>
      <c r="E36" s="1" t="n">
        <v>46267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Koppartaggsvamp</t>
        </is>
      </c>
      <c r="W36">
        <f>HYPERLINK("https://klasma.github.io/Logging_1904/artfynd/A 15734-2026 artfynd.xlsx", "A 15734-2026")</f>
        <v/>
      </c>
      <c r="X36">
        <f>HYPERLINK("https://klasma.github.io/Logging_1904/kartor/A 15734-2026 karta.png", "A 15734-2026")</f>
        <v/>
      </c>
      <c r="Y36">
        <f>HYPERLINK("https://klasma.github.io/Logging_1904/kartor_geotiff/A 15734-2026 georefererad karta.tif", "A 15734-2026")</f>
        <v/>
      </c>
      <c r="AA36">
        <f>HYPERLINK("https://klasma.github.io/Logging_1904/klagomål/A 15734-2026 FSC-klagomål.docx", "A 15734-2026")</f>
        <v/>
      </c>
      <c r="AB36">
        <f>HYPERLINK("https://klasma.github.io/Logging_1904/klagomålsmail/A 15734-2026 FSC-klagomål mail.docx", "A 15734-2026")</f>
        <v/>
      </c>
      <c r="AC36">
        <f>HYPERLINK("https://klasma.github.io/Logging_1904/tillsyn/A 15734-2026 tillsynsbegäran.docx", "A 15734-2026")</f>
        <v/>
      </c>
      <c r="AD36">
        <f>HYPERLINK("https://klasma.github.io/Logging_1904/tillsynsmail/A 15734-2026 tillsynsbegäran mail.docx", "A 15734-2026")</f>
        <v/>
      </c>
    </row>
    <row r="37" ht="15" customHeight="1">
      <c r="A37" t="inlineStr">
        <is>
          <t>A 19205-2024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46267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Järpe</t>
        </is>
      </c>
      <c r="W37">
        <f>HYPERLINK("https://klasma.github.io/Logging_1904/artfynd/A 19205-2024 artfynd.xlsx", "A 19205-2024")</f>
        <v/>
      </c>
      <c r="X37">
        <f>HYPERLINK("https://klasma.github.io/Logging_1904/kartor/A 19205-2024 karta.png", "A 19205-2024")</f>
        <v/>
      </c>
      <c r="Y37">
        <f>HYPERLINK("https://klasma.github.io/Logging_1904/kartor_geotiff/A 19205-2024 georefererad karta.tif", "A 19205-2024")</f>
        <v/>
      </c>
      <c r="AA37">
        <f>HYPERLINK("https://klasma.github.io/Logging_1904/klagomål/A 19205-2024 FSC-klagomål.docx", "A 19205-2024")</f>
        <v/>
      </c>
      <c r="AB37">
        <f>HYPERLINK("https://klasma.github.io/Logging_1904/klagomålsmail/A 19205-2024 FSC-klagomål mail.docx", "A 19205-2024")</f>
        <v/>
      </c>
      <c r="AC37">
        <f>HYPERLINK("https://klasma.github.io/Logging_1904/tillsyn/A 19205-2024 tillsynsbegäran.docx", "A 19205-2024")</f>
        <v/>
      </c>
      <c r="AD37">
        <f>HYPERLINK("https://klasma.github.io/Logging_1904/tillsynsmail/A 19205-2024 tillsynsbegäran mail.docx", "A 19205-2024")</f>
        <v/>
      </c>
      <c r="AE37">
        <f>HYPERLINK("https://klasma.github.io/Logging_1904/fåglar/A 19205-2024 prioriterade fågelarter.docx", "A 19205-2024")</f>
        <v/>
      </c>
    </row>
    <row r="38" ht="15" customHeight="1">
      <c r="A38" t="inlineStr">
        <is>
          <t>A 20559-2026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46267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20559-2026 artfynd.xlsx", "A 20559-2026")</f>
        <v/>
      </c>
      <c r="X38">
        <f>HYPERLINK("https://klasma.github.io/Logging_1904/kartor/A 20559-2026 karta.png", "A 20559-2026")</f>
        <v/>
      </c>
      <c r="Y38">
        <f>HYPERLINK("https://klasma.github.io/Logging_1904/kartor_geotiff/A 20559-2026 georefererad karta.tif", "A 20559-2026")</f>
        <v/>
      </c>
      <c r="AA38">
        <f>HYPERLINK("https://klasma.github.io/Logging_1904/klagomål/A 20559-2026 FSC-klagomål.docx", "A 20559-2026")</f>
        <v/>
      </c>
      <c r="AB38">
        <f>HYPERLINK("https://klasma.github.io/Logging_1904/klagomålsmail/A 20559-2026 FSC-klagomål mail.docx", "A 20559-2026")</f>
        <v/>
      </c>
      <c r="AC38">
        <f>HYPERLINK("https://klasma.github.io/Logging_1904/tillsyn/A 20559-2026 tillsynsbegäran.docx", "A 20559-2026")</f>
        <v/>
      </c>
      <c r="AD38">
        <f>HYPERLINK("https://klasma.github.io/Logging_1904/tillsynsmail/A 20559-2026 tillsynsbegäran mail.docx", "A 20559-2026")</f>
        <v/>
      </c>
      <c r="AE38">
        <f>HYPERLINK("https://klasma.github.io/Logging_1904/fåglar/A 20559-2026 prioriterade fågelarter.docx", "A 20559-2026")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46267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HYPERLINK("https://klasma.github.io/Logging_1904/artfynd/A 21849-2026 artfynd.xlsx", "A 21849-2026")</f>
        <v/>
      </c>
      <c r="X39">
        <f>HYPERLINK("https://klasma.github.io/Logging_1904/kartor/A 21849-2026 karta.png", "A 21849-2026")</f>
        <v/>
      </c>
      <c r="Y39">
        <f>HYPERLINK("https://klasma.github.io/Logging_1904/kartor_geotiff/A 21849-2026 georefererad karta.tif", "A 21849-2026")</f>
        <v/>
      </c>
      <c r="Z39">
        <f>HYPERLINK("https://klasma.github.io/Logging_1904/knärot/A 21849-2026 karta knärot.png", "A 21849-2026")</f>
        <v/>
      </c>
      <c r="AA39">
        <f>HYPERLINK("https://klasma.github.io/Logging_1904/klagomål/A 21849-2026 FSC-klagomål.docx", "A 21849-2026")</f>
        <v/>
      </c>
      <c r="AB39">
        <f>HYPERLINK("https://klasma.github.io/Logging_1904/klagomålsmail/A 21849-2026 FSC-klagomål mail.docx", "A 21849-2026")</f>
        <v/>
      </c>
      <c r="AC39">
        <f>HYPERLINK("https://klasma.github.io/Logging_1904/tillsyn/A 21849-2026 tillsynsbegäran.docx", "A 21849-2026")</f>
        <v/>
      </c>
      <c r="AD39">
        <f>HYPERLINK("https://klasma.github.io/Logging_1904/tillsynsmail/A 21849-2026 tillsynsbegäran mail.docx", "A 21849-2026")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46267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28312-2023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45099</v>
      </c>
      <c r="E41" s="1" t="n">
        <v>46267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HYPERLINK("https://klasma.github.io/Logging_1904/artfynd/A 28312-2023 artfynd.xlsx", "A 28312-2023")</f>
        <v/>
      </c>
      <c r="X41">
        <f>HYPERLINK("https://klasma.github.io/Logging_1904/kartor/A 28312-2023 karta.png", "A 28312-2023")</f>
        <v/>
      </c>
      <c r="Y41">
        <f>HYPERLINK("https://klasma.github.io/Logging_1904/kartor_geotiff/A 28312-2023 georefererad karta.tif", "A 28312-2023")</f>
        <v/>
      </c>
      <c r="AA41">
        <f>HYPERLINK("https://klasma.github.io/Logging_1904/klagomål/A 28312-2023 FSC-klagomål.docx", "A 28312-2023")</f>
        <v/>
      </c>
      <c r="AB41">
        <f>HYPERLINK("https://klasma.github.io/Logging_1904/klagomålsmail/A 28312-2023 FSC-klagomål mail.docx", "A 28312-2023")</f>
        <v/>
      </c>
      <c r="AC41">
        <f>HYPERLINK("https://klasma.github.io/Logging_1904/tillsyn/A 28312-2023 tillsynsbegäran.docx", "A 28312-2023")</f>
        <v/>
      </c>
      <c r="AD41">
        <f>HYPERLINK("https://klasma.github.io/Logging_1904/tillsynsmail/A 28312-2023 tillsynsbegäran mail.docx", "A 28312-2023")</f>
        <v/>
      </c>
    </row>
    <row r="42" ht="15" customHeight="1">
      <c r="A42" t="inlineStr">
        <is>
          <t>A 24944-2026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46267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8.4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HYPERLINK("https://klasma.github.io/Logging_1904/artfynd/A 24944-2026 artfynd.xlsx", "A 24944-2026")</f>
        <v/>
      </c>
      <c r="X42">
        <f>HYPERLINK("https://klasma.github.io/Logging_1904/kartor/A 24944-2026 karta.png", "A 24944-2026")</f>
        <v/>
      </c>
      <c r="Y42">
        <f>HYPERLINK("https://klasma.github.io/Logging_1904/kartor_geotiff/A 24944-2026 georefererad karta.tif", "A 24944-2026")</f>
        <v/>
      </c>
      <c r="AA42">
        <f>HYPERLINK("https://klasma.github.io/Logging_1904/klagomål/A 24944-2026 FSC-klagomål.docx", "A 24944-2026")</f>
        <v/>
      </c>
      <c r="AB42">
        <f>HYPERLINK("https://klasma.github.io/Logging_1904/klagomålsmail/A 24944-2026 FSC-klagomål mail.docx", "A 24944-2026")</f>
        <v/>
      </c>
      <c r="AC42">
        <f>HYPERLINK("https://klasma.github.io/Logging_1904/tillsyn/A 24944-2026 tillsynsbegäran.docx", "A 24944-2026")</f>
        <v/>
      </c>
      <c r="AD42">
        <f>HYPERLINK("https://klasma.github.io/Logging_1904/tillsynsmail/A 24944-2026 tillsynsbegäran mail.docx", "A 24944-2026")</f>
        <v/>
      </c>
    </row>
    <row r="43" ht="15" customHeight="1">
      <c r="A43" t="inlineStr">
        <is>
          <t>A 57747-2023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45246</v>
      </c>
      <c r="E43" s="1" t="n">
        <v>46267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Myopa fasciata</t>
        </is>
      </c>
      <c r="W43">
        <f>HYPERLINK("https://klasma.github.io/Logging_1904/artfynd/A 57747-2023 artfynd.xlsx", "A 57747-2023")</f>
        <v/>
      </c>
      <c r="X43">
        <f>HYPERLINK("https://klasma.github.io/Logging_1904/kartor/A 57747-2023 karta.png", "A 57747-2023")</f>
        <v/>
      </c>
      <c r="Y43">
        <f>HYPERLINK("https://klasma.github.io/Logging_1904/kartor_geotiff/A 57747-2023 georefererad karta.tif", "A 57747-2023")</f>
        <v/>
      </c>
      <c r="AA43">
        <f>HYPERLINK("https://klasma.github.io/Logging_1904/klagomål/A 57747-2023 FSC-klagomål.docx", "A 57747-2023")</f>
        <v/>
      </c>
      <c r="AB43">
        <f>HYPERLINK("https://klasma.github.io/Logging_1904/klagomålsmail/A 57747-2023 FSC-klagomål mail.docx", "A 57747-2023")</f>
        <v/>
      </c>
      <c r="AC43">
        <f>HYPERLINK("https://klasma.github.io/Logging_1904/tillsyn/A 57747-2023 tillsynsbegäran.docx", "A 57747-2023")</f>
        <v/>
      </c>
      <c r="AD43">
        <f>HYPERLINK("https://klasma.github.io/Logging_1904/tillsynsmail/A 57747-2023 tillsynsbegäran mail.docx", "A 57747-2023")</f>
        <v/>
      </c>
    </row>
    <row r="44" ht="15" customHeight="1">
      <c r="A44" t="inlineStr">
        <is>
          <t>A 26860-2026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46267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10.3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Kungsörn</t>
        </is>
      </c>
      <c r="W44">
        <f>HYPERLINK("https://klasma.github.io/Logging_1904/artfynd/A 26860-2026 artfynd.xlsx", "A 26860-2026")</f>
        <v/>
      </c>
      <c r="X44">
        <f>HYPERLINK("https://klasma.github.io/Logging_1904/kartor/A 26860-2026 karta.png", "A 26860-2026")</f>
        <v/>
      </c>
      <c r="Y44">
        <f>HYPERLINK("https://klasma.github.io/Logging_1904/kartor_geotiff/A 26860-2026 georefererad karta.tif", "A 26860-2026")</f>
        <v/>
      </c>
      <c r="AA44">
        <f>HYPERLINK("https://klasma.github.io/Logging_1904/klagomål/A 26860-2026 FSC-klagomål.docx", "A 26860-2026")</f>
        <v/>
      </c>
      <c r="AB44">
        <f>HYPERLINK("https://klasma.github.io/Logging_1904/klagomålsmail/A 26860-2026 FSC-klagomål mail.docx", "A 26860-2026")</f>
        <v/>
      </c>
      <c r="AC44">
        <f>HYPERLINK("https://klasma.github.io/Logging_1904/tillsyn/A 26860-2026 tillsynsbegäran.docx", "A 26860-2026")</f>
        <v/>
      </c>
      <c r="AD44">
        <f>HYPERLINK("https://klasma.github.io/Logging_1904/tillsynsmail/A 26860-2026 tillsynsbegäran mail.docx", "A 26860-2026")</f>
        <v/>
      </c>
      <c r="AE44">
        <f>HYPERLINK("https://klasma.github.io/Logging_1904/fåglar/A 26860-2026 prioriterade fågelarter.docx", "A 26860-2026")</f>
        <v/>
      </c>
    </row>
    <row r="45" ht="15" customHeight="1">
      <c r="A45" t="inlineStr">
        <is>
          <t>A 34303-2026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46267</v>
      </c>
      <c r="F45" t="inlineStr">
        <is>
          <t>VÄSTMANLANDS LÄN</t>
        </is>
      </c>
      <c r="G45" t="inlineStr">
        <is>
          <t>SKINNSKATTEBERG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HYPERLINK("https://klasma.github.io/Logging_1904/artfynd/A 34303-2026 artfynd.xlsx", "A 34303-2026")</f>
        <v/>
      </c>
      <c r="X45">
        <f>HYPERLINK("https://klasma.github.io/Logging_1904/kartor/A 34303-2026 karta.png", "A 34303-2026")</f>
        <v/>
      </c>
      <c r="Y45">
        <f>HYPERLINK("https://klasma.github.io/Logging_1904/kartor_geotiff/A 34303-2026 georefererad karta.tif", "A 34303-2026")</f>
        <v/>
      </c>
      <c r="AA45">
        <f>HYPERLINK("https://klasma.github.io/Logging_1904/klagomål/A 34303-2026 FSC-klagomål.docx", "A 34303-2026")</f>
        <v/>
      </c>
      <c r="AB45">
        <f>HYPERLINK("https://klasma.github.io/Logging_1904/klagomålsmail/A 34303-2026 FSC-klagomål mail.docx", "A 34303-2026")</f>
        <v/>
      </c>
      <c r="AC45">
        <f>HYPERLINK("https://klasma.github.io/Logging_1904/tillsyn/A 34303-2026 tillsynsbegäran.docx", "A 34303-2026")</f>
        <v/>
      </c>
      <c r="AD45">
        <f>HYPERLINK("https://klasma.github.io/Logging_1904/tillsynsmail/A 34303-2026 tillsynsbegäran mail.docx", "A 34303-2026")</f>
        <v/>
      </c>
    </row>
    <row r="46" ht="15" customHeight="1">
      <c r="A46" t="inlineStr">
        <is>
          <t>A 30579-2026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46210</v>
      </c>
      <c r="E46" s="1" t="n">
        <v>46267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Motaggsvamp</t>
        </is>
      </c>
      <c r="W46">
        <f>HYPERLINK("https://klasma.github.io/Logging_1904/artfynd/A 30579-2026 artfynd.xlsx", "A 30579-2026")</f>
        <v/>
      </c>
      <c r="X46">
        <f>HYPERLINK("https://klasma.github.io/Logging_1904/kartor/A 30579-2026 karta.png", "A 30579-2026")</f>
        <v/>
      </c>
      <c r="Y46">
        <f>HYPERLINK("https://klasma.github.io/Logging_1904/kartor_geotiff/A 30579-2026 georefererad karta.tif", "A 30579-2026")</f>
        <v/>
      </c>
      <c r="AA46">
        <f>HYPERLINK("https://klasma.github.io/Logging_1904/klagomål/A 30579-2026 FSC-klagomål.docx", "A 30579-2026")</f>
        <v/>
      </c>
      <c r="AB46">
        <f>HYPERLINK("https://klasma.github.io/Logging_1904/klagomålsmail/A 30579-2026 FSC-klagomål mail.docx", "A 30579-2026")</f>
        <v/>
      </c>
      <c r="AC46">
        <f>HYPERLINK("https://klasma.github.io/Logging_1904/tillsyn/A 30579-2026 tillsynsbegäran.docx", "A 30579-2026")</f>
        <v/>
      </c>
      <c r="AD46">
        <f>HYPERLINK("https://klasma.github.io/Logging_1904/tillsynsmail/A 30579-2026 tillsynsbegäran mail.docx", "A 30579-2026")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46267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46267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46267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46267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46267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46267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46267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46267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46267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46267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46267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46267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46267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46267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46267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46267</v>
      </c>
      <c r="F62" t="inlineStr">
        <is>
          <t>VÄSTMANLANDS LÄN</t>
        </is>
      </c>
      <c r="G62" t="inlineStr">
        <is>
          <t>SKINNSKATTEBERG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46267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46267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46267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46267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46267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46267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46469-2021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46267</v>
      </c>
      <c r="F69" t="inlineStr">
        <is>
          <t>VÄSTMANLANDS LÄN</t>
        </is>
      </c>
      <c r="G69" t="inlineStr">
        <is>
          <t>SKINNSKATTEBERG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46267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46267</v>
      </c>
      <c r="F71" t="inlineStr">
        <is>
          <t>VÄSTMANLANDS LÄN</t>
        </is>
      </c>
      <c r="G71" t="inlineStr">
        <is>
          <t>SKINNSKATTEBERG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56921-2023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46267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Kyrkan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45532</v>
      </c>
      <c r="E73" s="1" t="n">
        <v>46267</v>
      </c>
      <c r="F73" t="inlineStr">
        <is>
          <t>VÄSTMANLANDS LÄN</t>
        </is>
      </c>
      <c r="G73" t="inlineStr">
        <is>
          <t>SKINNSKATTEBERG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46267</v>
      </c>
      <c r="F74" t="inlineStr">
        <is>
          <t>VÄSTMANLANDS LÄN</t>
        </is>
      </c>
      <c r="G74" t="inlineStr">
        <is>
          <t>SKINNSKATTEBERG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46267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45082</v>
      </c>
      <c r="E76" s="1" t="n">
        <v>46267</v>
      </c>
      <c r="F76" t="inlineStr">
        <is>
          <t>VÄSTMANLANDS LÄN</t>
        </is>
      </c>
      <c r="G76" t="inlineStr">
        <is>
          <t>SKINNSKATTEBERG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49847-2021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46267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20248-2024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45434</v>
      </c>
      <c r="E78" s="1" t="n">
        <v>46267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46267</v>
      </c>
      <c r="F79" t="inlineStr">
        <is>
          <t>VÄSTMANLANDS LÄN</t>
        </is>
      </c>
      <c r="G79" t="inlineStr">
        <is>
          <t>SKINNSKATTEBERG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46267</v>
      </c>
      <c r="F80" t="inlineStr">
        <is>
          <t>VÄSTMANLANDS LÄN</t>
        </is>
      </c>
      <c r="G80" t="inlineStr">
        <is>
          <t>SKINNSKATTEBERG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16729-2024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45410</v>
      </c>
      <c r="E81" s="1" t="n">
        <v>46267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45447</v>
      </c>
      <c r="E82" s="1" t="n">
        <v>46267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46267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46267</v>
      </c>
      <c r="F84" t="inlineStr">
        <is>
          <t>VÄSTMANLANDS LÄN</t>
        </is>
      </c>
      <c r="G84" t="inlineStr">
        <is>
          <t>SKINNSKATTEBERG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46267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46267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44693-2024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46267</v>
      </c>
      <c r="F87" t="inlineStr">
        <is>
          <t>VÄSTMANLANDS LÄN</t>
        </is>
      </c>
      <c r="G87" t="inlineStr">
        <is>
          <t>SKINNSKATTEBERG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45574</v>
      </c>
      <c r="E88" s="1" t="n">
        <v>46267</v>
      </c>
      <c r="F88" t="inlineStr">
        <is>
          <t>VÄSTMANLANDS LÄN</t>
        </is>
      </c>
      <c r="G88" t="inlineStr">
        <is>
          <t>SKINNSKATTEBERG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55428-2021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44475</v>
      </c>
      <c r="E89" s="1" t="n">
        <v>46267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45054</v>
      </c>
      <c r="E90" s="1" t="n">
        <v>46267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16088-2024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45406</v>
      </c>
      <c r="E91" s="1" t="n">
        <v>46267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46267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50407-2023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46267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31629-2024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45506</v>
      </c>
      <c r="E94" s="1" t="n">
        <v>46267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40176-2024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46267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45480</v>
      </c>
      <c r="E96" s="1" t="n">
        <v>46267</v>
      </c>
      <c r="F96" t="inlineStr">
        <is>
          <t>VÄSTMANLANDS LÄN</t>
        </is>
      </c>
      <c r="G96" t="inlineStr">
        <is>
          <t>SKINNSKATTEBERG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45504</v>
      </c>
      <c r="E97" s="1" t="n">
        <v>46267</v>
      </c>
      <c r="F97" t="inlineStr">
        <is>
          <t>VÄSTMANLANDS LÄN</t>
        </is>
      </c>
      <c r="G97" t="inlineStr">
        <is>
          <t>SKINNSKATTEBERG</t>
        </is>
      </c>
      <c r="I97" t="n">
        <v>17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45555</v>
      </c>
      <c r="E98" s="1" t="n">
        <v>46267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28873-2025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45820</v>
      </c>
      <c r="E99" s="1" t="n">
        <v>46267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28831-2025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45820</v>
      </c>
      <c r="E100" s="1" t="n">
        <v>46267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29808-2025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45825</v>
      </c>
      <c r="E101" s="1" t="n">
        <v>46267</v>
      </c>
      <c r="F101" t="inlineStr">
        <is>
          <t>VÄSTMANLANDS LÄN</t>
        </is>
      </c>
      <c r="G101" t="inlineStr">
        <is>
          <t>SKINNSKATTEBERG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29810-2025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45825</v>
      </c>
      <c r="E102" s="1" t="n">
        <v>46267</v>
      </c>
      <c r="F102" t="inlineStr">
        <is>
          <t>VÄSTMANLANDS LÄN</t>
        </is>
      </c>
      <c r="G102" t="inlineStr">
        <is>
          <t>SKINNSKATTEBERG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45827</v>
      </c>
      <c r="E103" s="1" t="n">
        <v>46267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30439-2025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45827</v>
      </c>
      <c r="E104" s="1" t="n">
        <v>46267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45890</v>
      </c>
      <c r="E105" s="1" t="n">
        <v>46267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44967</v>
      </c>
      <c r="E106" s="1" t="n">
        <v>46267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30873-2025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45832</v>
      </c>
      <c r="E107" s="1" t="n">
        <v>46267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46267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46267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31234-2025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45832</v>
      </c>
      <c r="E110" s="1" t="n">
        <v>46267</v>
      </c>
      <c r="F110" t="inlineStr">
        <is>
          <t>VÄSTMANLANDS LÄN</t>
        </is>
      </c>
      <c r="G110" t="inlineStr">
        <is>
          <t>SKINNSKATTEBERG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46267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Kyrkan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40782-2025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46267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40783-2025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46267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46267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46267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46267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40776-2025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46267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37342-2023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45156</v>
      </c>
      <c r="E118" s="1" t="n">
        <v>46267</v>
      </c>
      <c r="F118" t="inlineStr">
        <is>
          <t>VÄSTMANLANDS LÄN</t>
        </is>
      </c>
      <c r="G118" t="inlineStr">
        <is>
          <t>SKINNSKATTEBERG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45848</v>
      </c>
      <c r="E119" s="1" t="n">
        <v>46267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45554</v>
      </c>
      <c r="E120" s="1" t="n">
        <v>46267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46267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46267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46267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45853</v>
      </c>
      <c r="E124" s="1" t="n">
        <v>46267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46267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35205-2025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45853</v>
      </c>
      <c r="E126" s="1" t="n">
        <v>46267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5704-2026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46051</v>
      </c>
      <c r="E127" s="1" t="n">
        <v>46267</v>
      </c>
      <c r="F127" t="inlineStr">
        <is>
          <t>VÄSTMANLANDS LÄN</t>
        </is>
      </c>
      <c r="G127" t="inlineStr">
        <is>
          <t>SKINNSKATTEBERG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46267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44184-2025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45915</v>
      </c>
      <c r="E129" s="1" t="n">
        <v>46267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41581-2025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45901</v>
      </c>
      <c r="E130" s="1" t="n">
        <v>46267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5693-2026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46051</v>
      </c>
      <c r="E131" s="1" t="n">
        <v>46267</v>
      </c>
      <c r="F131" t="inlineStr">
        <is>
          <t>VÄSTMANLANDS LÄN</t>
        </is>
      </c>
      <c r="G131" t="inlineStr">
        <is>
          <t>SKINNSKATTEBERG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46267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15184-2025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45744</v>
      </c>
      <c r="E133" s="1" t="n">
        <v>46267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5675-2026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46051</v>
      </c>
      <c r="E134" s="1" t="n">
        <v>46267</v>
      </c>
      <c r="F134" t="inlineStr">
        <is>
          <t>VÄSTMANLANDS LÄN</t>
        </is>
      </c>
      <c r="G134" t="inlineStr">
        <is>
          <t>SKINNSKATTEBERG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46267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46267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46267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52532-2024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45609</v>
      </c>
      <c r="E138" s="1" t="n">
        <v>46267</v>
      </c>
      <c r="F138" t="inlineStr">
        <is>
          <t>VÄSTMANLANDS LÄN</t>
        </is>
      </c>
      <c r="G138" t="inlineStr">
        <is>
          <t>SKINNSKATTEBERG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45604</v>
      </c>
      <c r="E139" s="1" t="n">
        <v>46267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37763-2025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45880</v>
      </c>
      <c r="E140" s="1" t="n">
        <v>46267</v>
      </c>
      <c r="F140" t="inlineStr">
        <is>
          <t>VÄSTMANLANDS LÄN</t>
        </is>
      </c>
      <c r="G140" t="inlineStr">
        <is>
          <t>SKINNSKATTEBERG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46267</v>
      </c>
      <c r="F141" t="inlineStr">
        <is>
          <t>VÄSTMANLANDS LÄN</t>
        </is>
      </c>
      <c r="G141" t="inlineStr">
        <is>
          <t>SKINNSKATTEBERG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46267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46267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46267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46267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46267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36597-2024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45537</v>
      </c>
      <c r="E147" s="1" t="n">
        <v>46267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42093-2023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45177</v>
      </c>
      <c r="E148" s="1" t="n">
        <v>46267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46267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44768</v>
      </c>
      <c r="E150" s="1" t="n">
        <v>46267</v>
      </c>
      <c r="F150" t="inlineStr">
        <is>
          <t>VÄSTMANLANDS LÄN</t>
        </is>
      </c>
      <c r="G150" t="inlineStr">
        <is>
          <t>SKINNSKATTEBERG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46267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45531</v>
      </c>
      <c r="E152" s="1" t="n">
        <v>46267</v>
      </c>
      <c r="F152" t="inlineStr">
        <is>
          <t>VÄSTMANLANDS LÄN</t>
        </is>
      </c>
      <c r="G152" t="inlineStr">
        <is>
          <t>SKINNSKATTEBERG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45947</v>
      </c>
      <c r="E153" s="1" t="n">
        <v>46267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46267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46267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51026-2025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45947</v>
      </c>
      <c r="E156" s="1" t="n">
        <v>46267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52018-2025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46267</v>
      </c>
      <c r="F157" t="inlineStr">
        <is>
          <t>VÄSTMANLANDS LÄN</t>
        </is>
      </c>
      <c r="G157" t="inlineStr">
        <is>
          <t>SKINNSKATTEBERG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46267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44648</v>
      </c>
      <c r="E159" s="1" t="n">
        <v>46267</v>
      </c>
      <c r="F159" t="inlineStr">
        <is>
          <t>VÄSTMANLANDS LÄN</t>
        </is>
      </c>
      <c r="G159" t="inlineStr">
        <is>
          <t>SKINNSKATTEBERG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46267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46267</v>
      </c>
      <c r="F161" t="inlineStr">
        <is>
          <t>VÄSTMANLANDS LÄN</t>
        </is>
      </c>
      <c r="G161" t="inlineStr">
        <is>
          <t>SKINNSKATTEBERG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45485</v>
      </c>
      <c r="E162" s="1" t="n">
        <v>46267</v>
      </c>
      <c r="F162" t="inlineStr">
        <is>
          <t>VÄSTMANLANDS LÄN</t>
        </is>
      </c>
      <c r="G162" t="inlineStr">
        <is>
          <t>SKINNSKATTEBERG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46267</v>
      </c>
      <c r="F163" t="inlineStr">
        <is>
          <t>VÄSTMANLANDS LÄN</t>
        </is>
      </c>
      <c r="G163" t="inlineStr">
        <is>
          <t>SKINNSKATTEBERG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46267</v>
      </c>
      <c r="F164" t="inlineStr">
        <is>
          <t>VÄSTMANLANDS LÄN</t>
        </is>
      </c>
      <c r="G164" t="inlineStr">
        <is>
          <t>SKINNSKATTEBERG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46267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46267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46267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8.699999999999999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45686</v>
      </c>
      <c r="E168" s="1" t="n">
        <v>46267</v>
      </c>
      <c r="F168" t="inlineStr">
        <is>
          <t>VÄSTMANLANDS LÄN</t>
        </is>
      </c>
      <c r="G168" t="inlineStr">
        <is>
          <t>SKINNSKATTEBERG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10232-2025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46267</v>
      </c>
      <c r="F169" t="inlineStr">
        <is>
          <t>VÄSTMANLANDS LÄN</t>
        </is>
      </c>
      <c r="G169" t="inlineStr">
        <is>
          <t>SKINNSKATTEBERG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46267</v>
      </c>
      <c r="F170" t="inlineStr">
        <is>
          <t>VÄSTMANLANDS LÄN</t>
        </is>
      </c>
      <c r="G170" t="inlineStr">
        <is>
          <t>SKINNSKATTEBERG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46267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46267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46267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56465-2025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45975</v>
      </c>
      <c r="E174" s="1" t="n">
        <v>46267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46267</v>
      </c>
      <c r="F175" t="inlineStr">
        <is>
          <t>VÄSTMANLANDS LÄN</t>
        </is>
      </c>
      <c r="G175" t="inlineStr">
        <is>
          <t>SKINNSKATTEBERG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53183-2021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44468</v>
      </c>
      <c r="E176" s="1" t="n">
        <v>46267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45987</v>
      </c>
      <c r="E177" s="1" t="n">
        <v>46267</v>
      </c>
      <c r="F177" t="inlineStr">
        <is>
          <t>VÄSTMANLANDS LÄN</t>
        </is>
      </c>
      <c r="G177" t="inlineStr">
        <is>
          <t>SKINNSKATTEBERG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52600-2021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44466</v>
      </c>
      <c r="E178" s="1" t="n">
        <v>46267</v>
      </c>
      <c r="F178" t="inlineStr">
        <is>
          <t>VÄSTMANLANDS LÄN</t>
        </is>
      </c>
      <c r="G178" t="inlineStr">
        <is>
          <t>SKINNSKATTEBERG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46267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46267</v>
      </c>
      <c r="F180" t="inlineStr">
        <is>
          <t>VÄSTMANLANDS LÄN</t>
        </is>
      </c>
      <c r="G180" t="inlineStr">
        <is>
          <t>SKINNSKATTEBERG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46267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46267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46267</v>
      </c>
      <c r="F183" t="inlineStr">
        <is>
          <t>VÄSTMANLANDS LÄN</t>
        </is>
      </c>
      <c r="G183" t="inlineStr">
        <is>
          <t>SKINNSKATTEBERG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45063</v>
      </c>
      <c r="E184" s="1" t="n">
        <v>46267</v>
      </c>
      <c r="F184" t="inlineStr">
        <is>
          <t>VÄSTMANLANDS LÄN</t>
        </is>
      </c>
      <c r="G184" t="inlineStr">
        <is>
          <t>SKINNSKATTEBERG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46267</v>
      </c>
      <c r="F185" t="inlineStr">
        <is>
          <t>VÄSTMANLANDS LÄN</t>
        </is>
      </c>
      <c r="G185" t="inlineStr">
        <is>
          <t>SKINNSKATTEBERG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46267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46003</v>
      </c>
      <c r="E187" s="1" t="n">
        <v>46267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45128</v>
      </c>
      <c r="E188" s="1" t="n">
        <v>46267</v>
      </c>
      <c r="F188" t="inlineStr">
        <is>
          <t>VÄSTMANLANDS LÄN</t>
        </is>
      </c>
      <c r="G188" t="inlineStr">
        <is>
          <t>SKINNSKATTEBERG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45901</v>
      </c>
      <c r="E189" s="1" t="n">
        <v>46267</v>
      </c>
      <c r="F189" t="inlineStr">
        <is>
          <t>VÄSTMANLANDS LÄN</t>
        </is>
      </c>
      <c r="G189" t="inlineStr">
        <is>
          <t>SKINNSKATTEBERG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45375</v>
      </c>
      <c r="E190" s="1" t="n">
        <v>46267</v>
      </c>
      <c r="F190" t="inlineStr">
        <is>
          <t>VÄSTMANLANDS LÄN</t>
        </is>
      </c>
      <c r="G190" t="inlineStr">
        <is>
          <t>SKINNSKATTEBERG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44965</v>
      </c>
      <c r="E191" s="1" t="n">
        <v>46267</v>
      </c>
      <c r="F191" t="inlineStr">
        <is>
          <t>VÄSTMANLANDS LÄN</t>
        </is>
      </c>
      <c r="G191" t="inlineStr">
        <is>
          <t>SKINNSKATTEBERG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46009</v>
      </c>
      <c r="E192" s="1" t="n">
        <v>46267</v>
      </c>
      <c r="F192" t="inlineStr">
        <is>
          <t>VÄSTMANLANDS LÄN</t>
        </is>
      </c>
      <c r="G192" t="inlineStr">
        <is>
          <t>SKINNSKATTEBERG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46267</v>
      </c>
      <c r="F193" t="inlineStr">
        <is>
          <t>VÄSTMANLANDS LÄN</t>
        </is>
      </c>
      <c r="G193" t="inlineStr">
        <is>
          <t>SKINNSKATTEBERG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46267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46267</v>
      </c>
      <c r="F195" t="inlineStr">
        <is>
          <t>VÄSTMANLANDS LÄN</t>
        </is>
      </c>
      <c r="G195" t="inlineStr">
        <is>
          <t>SKINNSKATTEBERG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45527</v>
      </c>
      <c r="E196" s="1" t="n">
        <v>46267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45434</v>
      </c>
      <c r="E197" s="1" t="n">
        <v>46267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46267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46037</v>
      </c>
      <c r="E199" s="1" t="n">
        <v>46267</v>
      </c>
      <c r="F199" t="inlineStr">
        <is>
          <t>VÄSTMANLANDS LÄN</t>
        </is>
      </c>
      <c r="G199" t="inlineStr">
        <is>
          <t>SKINNSKATTEBERG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46037</v>
      </c>
      <c r="E200" s="1" t="n">
        <v>46267</v>
      </c>
      <c r="F200" t="inlineStr">
        <is>
          <t>VÄSTMANLANDS LÄN</t>
        </is>
      </c>
      <c r="G200" t="inlineStr">
        <is>
          <t>SKINNSKATTEBERG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46267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46107</v>
      </c>
      <c r="E202" s="1" t="n">
        <v>46267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15731-2026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46107</v>
      </c>
      <c r="E203" s="1" t="n">
        <v>46267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46267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16136-2026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46108</v>
      </c>
      <c r="E205" s="1" t="n">
        <v>46267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66584-2021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44519</v>
      </c>
      <c r="E206" s="1" t="n">
        <v>46267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15955-2026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46108</v>
      </c>
      <c r="E207" s="1" t="n">
        <v>46267</v>
      </c>
      <c r="F207" t="inlineStr">
        <is>
          <t>VÄSTMANLANDS LÄN</t>
        </is>
      </c>
      <c r="G207" t="inlineStr">
        <is>
          <t>SKINNSKATTEBERG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46267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46267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46267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44995</v>
      </c>
      <c r="E211" s="1" t="n">
        <v>46267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46114</v>
      </c>
      <c r="E212" s="1" t="n">
        <v>46267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17344-2026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46119</v>
      </c>
      <c r="E213" s="1" t="n">
        <v>46267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45180</v>
      </c>
      <c r="E214" s="1" t="n">
        <v>46267</v>
      </c>
      <c r="F214" t="inlineStr">
        <is>
          <t>VÄSTMANLANDS LÄN</t>
        </is>
      </c>
      <c r="G214" t="inlineStr">
        <is>
          <t>SKINNSKATTEBERG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45401</v>
      </c>
      <c r="E215" s="1" t="n">
        <v>46267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18161-2024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45420</v>
      </c>
      <c r="E216" s="1" t="n">
        <v>46267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45014</v>
      </c>
      <c r="E217" s="1" t="n">
        <v>46267</v>
      </c>
      <c r="F217" t="inlineStr">
        <is>
          <t>VÄSTMANLANDS LÄN</t>
        </is>
      </c>
      <c r="G217" t="inlineStr">
        <is>
          <t>SKINNSKATTEBERG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14736-2023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45014</v>
      </c>
      <c r="E218" s="1" t="n">
        <v>46267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46122</v>
      </c>
      <c r="E219" s="1" t="n">
        <v>46267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60355-2024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46267</v>
      </c>
      <c r="F220" t="inlineStr">
        <is>
          <t>VÄSTMANLANDS LÄN</t>
        </is>
      </c>
      <c r="G220" t="inlineStr">
        <is>
          <t>SKINNSKATTEBERG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46267</v>
      </c>
      <c r="F221" t="inlineStr">
        <is>
          <t>VÄSTMANLANDS LÄN</t>
        </is>
      </c>
      <c r="G221" t="inlineStr">
        <is>
          <t>SKINNSKATTEBERG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46267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19582-2026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46134</v>
      </c>
      <c r="E223" s="1" t="n">
        <v>46267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19541-2026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46134</v>
      </c>
      <c r="E224" s="1" t="n">
        <v>46267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19540-2026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46134</v>
      </c>
      <c r="E225" s="1" t="n">
        <v>46267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45407</v>
      </c>
      <c r="E226" s="1" t="n">
        <v>46267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19943-2026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46267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45170</v>
      </c>
      <c r="E228" s="1" t="n">
        <v>46267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45114</v>
      </c>
      <c r="E229" s="1" t="n">
        <v>46267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45770</v>
      </c>
      <c r="E230" s="1" t="n">
        <v>46267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46267</v>
      </c>
      <c r="F231" t="inlineStr">
        <is>
          <t>VÄSTMANLANDS LÄN</t>
        </is>
      </c>
      <c r="G231" t="inlineStr">
        <is>
          <t>SKINNSKATTEBERG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46267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20563-2026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46140</v>
      </c>
      <c r="E233" s="1" t="n">
        <v>46267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45447</v>
      </c>
      <c r="E234" s="1" t="n">
        <v>46267</v>
      </c>
      <c r="F234" t="inlineStr">
        <is>
          <t>VÄSTMANLANDS LÄN</t>
        </is>
      </c>
      <c r="G234" t="inlineStr">
        <is>
          <t>SKINNSKATTEBERG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41332-2023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45174</v>
      </c>
      <c r="E235" s="1" t="n">
        <v>46267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45085</v>
      </c>
      <c r="E236" s="1" t="n">
        <v>46267</v>
      </c>
      <c r="F236" t="inlineStr">
        <is>
          <t>VÄSTMANLANDS LÄN</t>
        </is>
      </c>
      <c r="G236" t="inlineStr">
        <is>
          <t>SKINNSKATTEBERG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45245</v>
      </c>
      <c r="E237" s="1" t="n">
        <v>46267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44728</v>
      </c>
      <c r="E238" s="1" t="n">
        <v>46267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46267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27328-2023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45096</v>
      </c>
      <c r="E240" s="1" t="n">
        <v>46267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46267</v>
      </c>
      <c r="F241" t="inlineStr">
        <is>
          <t>VÄSTMANLANDS LÄN</t>
        </is>
      </c>
      <c r="G241" t="inlineStr">
        <is>
          <t>SKINNSKATTEBERG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45174</v>
      </c>
      <c r="E242" s="1" t="n">
        <v>46267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45169</v>
      </c>
      <c r="E243" s="1" t="n">
        <v>46267</v>
      </c>
      <c r="F243" t="inlineStr">
        <is>
          <t>VÄSTMANLANDS LÄN</t>
        </is>
      </c>
      <c r="G243" t="inlineStr">
        <is>
          <t>SKINNSKATTEBERG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46142</v>
      </c>
      <c r="E244" s="1" t="n">
        <v>46267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45420</v>
      </c>
      <c r="E245" s="1" t="n">
        <v>46267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46267</v>
      </c>
      <c r="F246" t="inlineStr">
        <is>
          <t>VÄSTMANLANDS LÄN</t>
        </is>
      </c>
      <c r="G246" t="inlineStr">
        <is>
          <t>SKINNSKATTEBERG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45586</v>
      </c>
      <c r="E247" s="1" t="n">
        <v>46267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46267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46142</v>
      </c>
      <c r="E249" s="1" t="n">
        <v>46267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46142</v>
      </c>
      <c r="E250" s="1" t="n">
        <v>46267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46267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46142</v>
      </c>
      <c r="E252" s="1" t="n">
        <v>46267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46142</v>
      </c>
      <c r="E253" s="1" t="n">
        <v>46267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45170</v>
      </c>
      <c r="E254" s="1" t="n">
        <v>46267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46267</v>
      </c>
      <c r="F255" t="inlineStr">
        <is>
          <t>VÄSTMANLANDS LÄN</t>
        </is>
      </c>
      <c r="G255" t="inlineStr">
        <is>
          <t>SKINNSKATTEBERG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45306</v>
      </c>
      <c r="E256" s="1" t="n">
        <v>46267</v>
      </c>
      <c r="F256" t="inlineStr">
        <is>
          <t>VÄSTMANLANDS LÄN</t>
        </is>
      </c>
      <c r="G256" t="inlineStr">
        <is>
          <t>SKINNSKATTEBERG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45306</v>
      </c>
      <c r="E257" s="1" t="n">
        <v>46267</v>
      </c>
      <c r="F257" t="inlineStr">
        <is>
          <t>VÄSTMANLANDS LÄN</t>
        </is>
      </c>
      <c r="G257" t="inlineStr">
        <is>
          <t>SKINNSKATTEBERG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46267</v>
      </c>
      <c r="F258" t="inlineStr">
        <is>
          <t>VÄSTMANLANDS LÄN</t>
        </is>
      </c>
      <c r="G258" t="inlineStr">
        <is>
          <t>SKINNSKATTEBERG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46267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Kyrkan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46150</v>
      </c>
      <c r="E260" s="1" t="n">
        <v>46267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46150</v>
      </c>
      <c r="E261" s="1" t="n">
        <v>46267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46267</v>
      </c>
      <c r="F262" t="inlineStr">
        <is>
          <t>VÄSTMANLANDS LÄN</t>
        </is>
      </c>
      <c r="G262" t="inlineStr">
        <is>
          <t>SKINNSKATTEBERG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61181-2021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44498</v>
      </c>
      <c r="E263" s="1" t="n">
        <v>46267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46267</v>
      </c>
      <c r="F264" t="inlineStr">
        <is>
          <t>VÄSTMANLANDS LÄN</t>
        </is>
      </c>
      <c r="G264" t="inlineStr">
        <is>
          <t>SKINNSKATTEBERG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35834-2024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46267</v>
      </c>
      <c r="F265" t="inlineStr">
        <is>
          <t>VÄSTMANLANDS LÄN</t>
        </is>
      </c>
      <c r="G265" t="inlineStr">
        <is>
          <t>SKINNSKATTEBERG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51508-2021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44462</v>
      </c>
      <c r="E266" s="1" t="n">
        <v>46267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46267</v>
      </c>
      <c r="F267" t="inlineStr">
        <is>
          <t>VÄSTMANLANDS LÄN</t>
        </is>
      </c>
      <c r="G267" t="inlineStr">
        <is>
          <t>SKINNSKATTEBERG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46267</v>
      </c>
      <c r="F268" t="inlineStr">
        <is>
          <t>VÄSTMANLANDS LÄN</t>
        </is>
      </c>
      <c r="G268" t="inlineStr">
        <is>
          <t>SKINNSKATTEBERG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22779-2026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46157</v>
      </c>
      <c r="E269" s="1" t="n">
        <v>46267</v>
      </c>
      <c r="F269" t="inlineStr">
        <is>
          <t>VÄSTMANLANDS LÄN</t>
        </is>
      </c>
      <c r="G269" t="inlineStr">
        <is>
          <t>SKINNSKATTEBERG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35683-2024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45532</v>
      </c>
      <c r="E270" s="1" t="n">
        <v>46267</v>
      </c>
      <c r="F270" t="inlineStr">
        <is>
          <t>VÄSTMANLANDS LÄN</t>
        </is>
      </c>
      <c r="G270" t="inlineStr">
        <is>
          <t>SKINNSKATTEBERG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46267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23566-2026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46267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48825-2022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44859</v>
      </c>
      <c r="E273" s="1" t="n">
        <v>46267</v>
      </c>
      <c r="F273" t="inlineStr">
        <is>
          <t>VÄSTMANLANDS LÄN</t>
        </is>
      </c>
      <c r="G273" t="inlineStr">
        <is>
          <t>SKINNSKATTEBERG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46267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46267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46267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53142-2021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44468</v>
      </c>
      <c r="E277" s="1" t="n">
        <v>46267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53145-2021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44468</v>
      </c>
      <c r="E278" s="1" t="n">
        <v>46267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45040</v>
      </c>
      <c r="E279" s="1" t="n">
        <v>46267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46267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46267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11826-2024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45376</v>
      </c>
      <c r="E282" s="1" t="n">
        <v>46267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46267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46267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45058</v>
      </c>
      <c r="E285" s="1" t="n">
        <v>46267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46267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46267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46267</v>
      </c>
      <c r="F288" t="inlineStr">
        <is>
          <t>VÄSTMANLANDS LÄN</t>
        </is>
      </c>
      <c r="G288" t="inlineStr">
        <is>
          <t>SKINNSKATTEBERG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46267</v>
      </c>
      <c r="F289" t="inlineStr">
        <is>
          <t>VÄSTMANLANDS LÄN</t>
        </is>
      </c>
      <c r="G289" t="inlineStr">
        <is>
          <t>SKINNSKATTEBERG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46177</v>
      </c>
      <c r="E290" s="1" t="n">
        <v>46267</v>
      </c>
      <c r="F290" t="inlineStr">
        <is>
          <t>VÄSTMANLANDS LÄN</t>
        </is>
      </c>
      <c r="G290" t="inlineStr">
        <is>
          <t>SKINNSKATTEBERG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7103-2022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44603</v>
      </c>
      <c r="E291" s="1" t="n">
        <v>46267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Kyrkan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25750-2026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46178</v>
      </c>
      <c r="E292" s="1" t="n">
        <v>46267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45425</v>
      </c>
      <c r="E293" s="1" t="n">
        <v>46267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25753-2026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46267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25748-2026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46178</v>
      </c>
      <c r="E295" s="1" t="n">
        <v>46267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26356-2026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46182</v>
      </c>
      <c r="E296" s="1" t="n">
        <v>46267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46182</v>
      </c>
      <c r="E297" s="1" t="n">
        <v>46267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46267</v>
      </c>
      <c r="F298" t="inlineStr">
        <is>
          <t>VÄSTMANLANDS LÄN</t>
        </is>
      </c>
      <c r="G298" t="inlineStr">
        <is>
          <t>SKINNSKATTEBERG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46267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26865-2026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46267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46267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46267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46267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46267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46267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13713-2024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45390</v>
      </c>
      <c r="E306" s="1" t="n">
        <v>46267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53880-2021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44469</v>
      </c>
      <c r="E307" s="1" t="n">
        <v>46267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25843-2023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45090</v>
      </c>
      <c r="E308" s="1" t="n">
        <v>46267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46267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46191</v>
      </c>
      <c r="E310" s="1" t="n">
        <v>46267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27637-2026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46190</v>
      </c>
      <c r="E311" s="1" t="n">
        <v>46267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46190</v>
      </c>
      <c r="E312" s="1" t="n">
        <v>46267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45762</v>
      </c>
      <c r="E313" s="1" t="n">
        <v>46267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46191</v>
      </c>
      <c r="E314" s="1" t="n">
        <v>46267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46267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46267</v>
      </c>
      <c r="F316" t="inlineStr">
        <is>
          <t>VÄSTMANLANDS LÄN</t>
        </is>
      </c>
      <c r="G316" t="inlineStr">
        <is>
          <t>SKINNSKATTEBERG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32217-2026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46237</v>
      </c>
      <c r="E317" s="1" t="n">
        <v>46267</v>
      </c>
      <c r="F317" t="inlineStr">
        <is>
          <t>VÄSTMANLANDS LÄN</t>
        </is>
      </c>
      <c r="G317" t="inlineStr">
        <is>
          <t>SKINNSKATTEBERG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45006</v>
      </c>
      <c r="E318" s="1" t="n">
        <v>46267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Allmännings- och besparingsskogar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28161-2026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46195</v>
      </c>
      <c r="E319" s="1" t="n">
        <v>46267</v>
      </c>
      <c r="F319" t="inlineStr">
        <is>
          <t>VÄSTMANLANDS LÄN</t>
        </is>
      </c>
      <c r="G319" t="inlineStr">
        <is>
          <t>SKINNSKATTEBERG</t>
        </is>
      </c>
      <c r="I319" t="n">
        <v>8.5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45056</v>
      </c>
      <c r="E320" s="1" t="n">
        <v>46267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45520</v>
      </c>
      <c r="E321" s="1" t="n">
        <v>46267</v>
      </c>
      <c r="F321" t="inlineStr">
        <is>
          <t>VÄSTMANLANDS LÄN</t>
        </is>
      </c>
      <c r="G321" t="inlineStr">
        <is>
          <t>SKINNSKATTEBERG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46197</v>
      </c>
      <c r="E322" s="1" t="n">
        <v>46267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54657-2022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44883</v>
      </c>
      <c r="E323" s="1" t="n">
        <v>46267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28458-2026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46197</v>
      </c>
      <c r="E324" s="1" t="n">
        <v>46267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36288-2022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44803</v>
      </c>
      <c r="E325" s="1" t="n">
        <v>46267</v>
      </c>
      <c r="F325" t="inlineStr">
        <is>
          <t>VÄSTMANLANDS LÄN</t>
        </is>
      </c>
      <c r="G325" t="inlineStr">
        <is>
          <t>SKINNSKATTEBERG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60185-2022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44910</v>
      </c>
      <c r="E326" s="1" t="n">
        <v>46267</v>
      </c>
      <c r="F326" t="inlineStr">
        <is>
          <t>VÄSTMANLANDS LÄN</t>
        </is>
      </c>
      <c r="G326" t="inlineStr">
        <is>
          <t>SKINNSKATTEBERG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33900-2023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45134</v>
      </c>
      <c r="E327" s="1" t="n">
        <v>46267</v>
      </c>
      <c r="F327" t="inlineStr">
        <is>
          <t>VÄSTMANLANDS LÄN</t>
        </is>
      </c>
      <c r="G327" t="inlineStr">
        <is>
          <t>SKINNSKATTEBERG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15561-2024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45401</v>
      </c>
      <c r="E328" s="1" t="n">
        <v>46267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46267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45686</v>
      </c>
      <c r="E330" s="1" t="n">
        <v>46267</v>
      </c>
      <c r="F330" t="inlineStr">
        <is>
          <t>VÄSTMANLANDS LÄN</t>
        </is>
      </c>
      <c r="G330" t="inlineStr">
        <is>
          <t>SKINNSKATTEBERG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46197</v>
      </c>
      <c r="E331" s="1" t="n">
        <v>46267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45393</v>
      </c>
      <c r="E332" s="1" t="n">
        <v>46267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21908-2023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46267</v>
      </c>
      <c r="F333" t="inlineStr">
        <is>
          <t>VÄSTMANLANDS LÄN</t>
        </is>
      </c>
      <c r="G333" t="inlineStr">
        <is>
          <t>SKINNSKATTEBERG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46200</v>
      </c>
      <c r="E334" s="1" t="n">
        <v>46267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22394-2022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44713</v>
      </c>
      <c r="E335" s="1" t="n">
        <v>46267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45592</v>
      </c>
      <c r="E336" s="1" t="n">
        <v>46267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46199</v>
      </c>
      <c r="E337" s="1" t="n">
        <v>46267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43805-2024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45571</v>
      </c>
      <c r="E338" s="1" t="n">
        <v>46267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43806-2024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45571</v>
      </c>
      <c r="E339" s="1" t="n">
        <v>46267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45617</v>
      </c>
      <c r="E340" s="1" t="n">
        <v>46267</v>
      </c>
      <c r="F340" t="inlineStr">
        <is>
          <t>VÄSTMANLANDS LÄN</t>
        </is>
      </c>
      <c r="G340" t="inlineStr">
        <is>
          <t>SKINNSKATTEBERG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46200</v>
      </c>
      <c r="E341" s="1" t="n">
        <v>46267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46267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46199</v>
      </c>
      <c r="E343" s="1" t="n">
        <v>46267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45506</v>
      </c>
      <c r="E344" s="1" t="n">
        <v>46267</v>
      </c>
      <c r="F344" t="inlineStr">
        <is>
          <t>VÄSTMANLANDS LÄN</t>
        </is>
      </c>
      <c r="G344" t="inlineStr">
        <is>
          <t>SKINNSKATTEBERG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40545-2023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45170</v>
      </c>
      <c r="E345" s="1" t="n">
        <v>46267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46267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51472-2024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45604</v>
      </c>
      <c r="E347" s="1" t="n">
        <v>46267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46244</v>
      </c>
      <c r="E348" s="1" t="n">
        <v>46267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46244</v>
      </c>
      <c r="E349" s="1" t="n">
        <v>46267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46267</v>
      </c>
      <c r="F350" t="inlineStr">
        <is>
          <t>VÄSTMANLANDS LÄN</t>
        </is>
      </c>
      <c r="G350" t="inlineStr">
        <is>
          <t>SKINNSKATTEBERG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45237</v>
      </c>
      <c r="E351" s="1" t="n">
        <v>46267</v>
      </c>
      <c r="F351" t="inlineStr">
        <is>
          <t>VÄSTMANLANDS LÄN</t>
        </is>
      </c>
      <c r="G351" t="inlineStr">
        <is>
          <t>SKINNSKATTEBERG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46247</v>
      </c>
      <c r="E352" s="1" t="n">
        <v>46267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37432-2023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45156</v>
      </c>
      <c r="E353" s="1" t="n">
        <v>46267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46248</v>
      </c>
      <c r="E354" s="1" t="n">
        <v>46267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29026-2026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46199</v>
      </c>
      <c r="E355" s="1" t="n">
        <v>46267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45385</v>
      </c>
      <c r="E356" s="1" t="n">
        <v>46267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45571</v>
      </c>
      <c r="E357" s="1" t="n">
        <v>46267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46267</v>
      </c>
      <c r="F358" t="inlineStr">
        <is>
          <t>VÄSTMANLANDS LÄN</t>
        </is>
      </c>
      <c r="G358" t="inlineStr">
        <is>
          <t>SKINNSKATTEBERG</t>
        </is>
      </c>
      <c r="I358" t="n">
        <v>10.4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46267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40167-2024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45554</v>
      </c>
      <c r="E360" s="1" t="n">
        <v>46267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45617</v>
      </c>
      <c r="E361" s="1" t="n">
        <v>46267</v>
      </c>
      <c r="F361" t="inlineStr">
        <is>
          <t>VÄSTMANLANDS LÄN</t>
        </is>
      </c>
      <c r="G361" t="inlineStr">
        <is>
          <t>SKINNSKATTEBERG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46210</v>
      </c>
      <c r="E362" s="1" t="n">
        <v>46267</v>
      </c>
      <c r="F362" t="inlineStr">
        <is>
          <t>VÄSTMANLANDS LÄN</t>
        </is>
      </c>
      <c r="G362" t="inlineStr">
        <is>
          <t>SKINNSKATTEBERG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20947-2025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45777</v>
      </c>
      <c r="E363" s="1" t="n">
        <v>46267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20949-2025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45777</v>
      </c>
      <c r="E364" s="1" t="n">
        <v>46267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46267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50980-2022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44867</v>
      </c>
      <c r="E366" s="1" t="n">
        <v>46267</v>
      </c>
      <c r="F366" t="inlineStr">
        <is>
          <t>VÄSTMANLANDS LÄN</t>
        </is>
      </c>
      <c r="G366" t="inlineStr">
        <is>
          <t>SKINNSKATTEBERG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46267</v>
      </c>
      <c r="F367" t="inlineStr">
        <is>
          <t>VÄSTMANLANDS LÄN</t>
        </is>
      </c>
      <c r="G367" t="inlineStr">
        <is>
          <t>SKINNSKATTEBERG</t>
        </is>
      </c>
      <c r="I367" t="n">
        <v>12.2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12158-2024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45377</v>
      </c>
      <c r="E368" s="1" t="n">
        <v>46267</v>
      </c>
      <c r="F368" t="inlineStr">
        <is>
          <t>VÄSTMANLANDS LÄN</t>
        </is>
      </c>
      <c r="G368" t="inlineStr">
        <is>
          <t>SKINNSKATTEBERG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37730-2024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45541</v>
      </c>
      <c r="E369" s="1" t="n">
        <v>46267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45547</v>
      </c>
      <c r="E370" s="1" t="n">
        <v>46267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46267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35168-2026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46260</v>
      </c>
      <c r="E372" s="1" t="n">
        <v>46267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45480</v>
      </c>
      <c r="E373" s="1" t="n">
        <v>46267</v>
      </c>
      <c r="F373" t="inlineStr">
        <is>
          <t>VÄSTMANLANDS LÄN</t>
        </is>
      </c>
      <c r="G373" t="inlineStr">
        <is>
          <t>SKINNSKATTEBERG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46262</v>
      </c>
      <c r="E374" s="1" t="n">
        <v>46267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22285-2025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45786</v>
      </c>
      <c r="E375" s="1" t="n">
        <v>46267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22079-2024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45443</v>
      </c>
      <c r="E376" s="1" t="n">
        <v>46267</v>
      </c>
      <c r="F376" t="inlineStr">
        <is>
          <t>VÄSTMANLANDS LÄN</t>
        </is>
      </c>
      <c r="G376" t="inlineStr">
        <is>
          <t>SKINNSKATTEBERG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45476</v>
      </c>
      <c r="E377" s="1" t="n">
        <v>46267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35051-2024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45527</v>
      </c>
      <c r="E378" s="1" t="n">
        <v>46267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46262</v>
      </c>
      <c r="E379" s="1" t="n">
        <v>46267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35582-2026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46262</v>
      </c>
      <c r="E380" s="1" t="n">
        <v>46267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46262</v>
      </c>
      <c r="E381" s="1" t="n">
        <v>46267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46262</v>
      </c>
      <c r="E382" s="1" t="n">
        <v>46267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16394-2024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45407</v>
      </c>
      <c r="E383" s="1" t="n">
        <v>46267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35746-2026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46265</v>
      </c>
      <c r="E384" s="1" t="n">
        <v>46267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25846-2025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45804</v>
      </c>
      <c r="E385" s="1" t="n">
        <v>46267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1765-2024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45435</v>
      </c>
      <c r="E386" s="1" t="n">
        <v>46267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1462-2025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45786</v>
      </c>
      <c r="E387" s="1" t="n">
        <v>46267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1931-2025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45827</v>
      </c>
      <c r="E388" s="1" t="n">
        <v>46267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2177-2025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45853</v>
      </c>
      <c r="E389" s="1" t="n">
        <v>46267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2422-2025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45897</v>
      </c>
      <c r="E390" s="1" t="n">
        <v>46267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2421-2025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46267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2420-2025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46267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2456-2025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45901</v>
      </c>
      <c r="E393" s="1" t="n">
        <v>46267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2578-2025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45915</v>
      </c>
      <c r="E394" s="1" t="n">
        <v>46267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1325-2026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46147</v>
      </c>
      <c r="E395" s="1" t="n">
        <v>46267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65.3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46267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1868-2026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46199</v>
      </c>
      <c r="E397" s="1" t="n">
        <v>46267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2239-2026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46260</v>
      </c>
      <c r="E398" s="1" t="n">
        <v>46267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>
      <c r="A399" t="inlineStr">
        <is>
          <t>S 2266-2026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46262</v>
      </c>
      <c r="E399" s="1" t="n">
        <v>46267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2026-09-02T02:07:16Z</dcterms:created>
  <dcterms:modified xmlns:dcterms="http://purl.org/dc/terms/" xmlns:xsi="http://www.w3.org/2001/XMLSchema-instance" xsi:type="dcterms:W3CDTF">2026-09-02T02:07:17Z</dcterms:modified>
</cp:coreProperties>
</file>