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46248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t="n">
        <v>8</v>
      </c>
      <c r="V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46248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46248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46248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46248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t="n">
        <v>9</v>
      </c>
      <c r="V6" s="2" t="inlineStr">
        <is>
          <t>Grangråticka
Dofttaggsvamp
Tallticka
Blåsippa
Kråka</t>
        </is>
      </c>
      <c r="W6">
        <f>HYPERLINK("https://klasma.github.io/Logging_1904/artfynd/A 61212-2022 artfynd.xlsx", "A 61212-2022")</f>
        <v/>
      </c>
      <c r="X6">
        <f>HYPERLINK("https://klasma.github.io/Logging_1904/kartor/A 61212-2022 karta.png", "A 61212-2022")</f>
        <v/>
      </c>
      <c r="Y6">
        <f>HYPERLINK("https://klasma.github.io/Logging_1904/kartor_geotiff/A 61212-2022 georefererad karta.tif", "A 61212-2022")</f>
        <v/>
      </c>
      <c r="AA6">
        <f>HYPERLINK("https://klasma.github.io/Logging_1904/klagomål/A 61212-2022 FSC-klagomål.docx", "A 61212-2022")</f>
        <v/>
      </c>
      <c r="AB6">
        <f>HYPERLINK("https://klasma.github.io/Logging_1904/klagomålsmail/A 61212-2022 FSC-klagomål mail.docx", "A 61212-2022")</f>
        <v/>
      </c>
      <c r="AC6">
        <f>HYPERLINK("https://klasma.github.io/Logging_1904/tillsyn/A 61212-2022 tillsynsbegäran.docx", "A 61212-2022")</f>
        <v/>
      </c>
      <c r="AD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46248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36595-2024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45537</v>
      </c>
      <c r="E8" s="1" t="n">
        <v>46248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1</v>
      </c>
      <c r="K8" t="n">
        <v>0</v>
      </c>
      <c r="L8" t="n">
        <v>1</v>
      </c>
      <c r="M8" t="n">
        <v>3</v>
      </c>
      <c r="N8" t="n">
        <v>0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4</v>
      </c>
      <c r="U8" t="n">
        <v>4</v>
      </c>
      <c r="V8" s="2" t="inlineStr">
        <is>
          <t>Knärot
Lakritsmusseron
Lammticka
Skarp dropptaggsvamp</t>
        </is>
      </c>
      <c r="W8">
        <f>HYPERLINK("https://klasma.github.io/Logging_1904/artfynd/A 36595-2024 artfynd.xlsx", "A 36595-2024")</f>
        <v/>
      </c>
      <c r="X8">
        <f>HYPERLINK("https://klasma.github.io/Logging_1904/kartor/A 36595-2024 karta.png", "A 36595-2024")</f>
        <v/>
      </c>
      <c r="Y8">
        <f>HYPERLINK("https://klasma.github.io/Logging_1904/kartor_geotiff/A 36595-2024 georefererad karta.tif", "A 36595-2024")</f>
        <v/>
      </c>
      <c r="Z8">
        <f>HYPERLINK("https://klasma.github.io/Logging_1904/knärot/A 36595-2024 karta knärot.png", "A 36595-2024")</f>
        <v/>
      </c>
      <c r="AA8">
        <f>HYPERLINK("https://klasma.github.io/Logging_1904/klagomål/A 36595-2024 FSC-klagomål.docx", "A 36595-2024")</f>
        <v/>
      </c>
      <c r="AB8">
        <f>HYPERLINK("https://klasma.github.io/Logging_1904/klagomålsmail/A 36595-2024 FSC-klagomål mail.docx", "A 36595-2024")</f>
        <v/>
      </c>
      <c r="AC8">
        <f>HYPERLINK("https://klasma.github.io/Logging_1904/tillsyn/A 36595-2024 tillsynsbegäran.docx", "A 36595-2024")</f>
        <v/>
      </c>
      <c r="AD8">
        <f>HYPERLINK("https://klasma.github.io/Logging_1904/tillsynsmail/A 36595-2024 tillsynsbegäran mail.docx", "A 36595-2024")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46248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46248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Rynkskinn
Ullticka
Brandticka</t>
        </is>
      </c>
      <c r="W10">
        <f>HYPERLINK("https://klasma.github.io/Logging_1904/artfynd/A 19656-2025 artfynd.xlsx", "A 19656-2025")</f>
        <v/>
      </c>
      <c r="X10">
        <f>HYPERLINK("https://klasma.github.io/Logging_1904/kartor/A 19656-2025 karta.png", "A 19656-2025")</f>
        <v/>
      </c>
      <c r="Y10">
        <f>HYPERLINK("https://klasma.github.io/Logging_1904/kartor_geotiff/A 19656-2025 georefererad karta.tif", "A 19656-2025")</f>
        <v/>
      </c>
      <c r="AA10">
        <f>HYPERLINK("https://klasma.github.io/Logging_1904/klagomål/A 19656-2025 FSC-klagomål.docx", "A 19656-2025")</f>
        <v/>
      </c>
      <c r="AB10">
        <f>HYPERLINK("https://klasma.github.io/Logging_1904/klagomålsmail/A 19656-2025 FSC-klagomål mail.docx", "A 19656-2025")</f>
        <v/>
      </c>
      <c r="AC10">
        <f>HYPERLINK("https://klasma.github.io/Logging_1904/tillsyn/A 19656-2025 tillsynsbegäran.docx", "A 19656-2025")</f>
        <v/>
      </c>
      <c r="AD10">
        <f>HYPERLINK("https://klasma.github.io/Logging_1904/tillsynsmail/A 19656-2025 tillsynsbegäran mail.docx", "A 19656-2025")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46248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44698-2024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45574</v>
      </c>
      <c r="E12" s="1" t="n">
        <v>46248</v>
      </c>
      <c r="F12" t="inlineStr">
        <is>
          <t>VÄSTMANLANDS LÄN</t>
        </is>
      </c>
      <c r="G12" t="inlineStr">
        <is>
          <t>SKINNSKATTEBERG</t>
        </is>
      </c>
      <c r="I12" t="n">
        <v>1.3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Hässleklocka
Tibast
Gullviva</t>
        </is>
      </c>
      <c r="W12">
        <f>HYPERLINK("https://klasma.github.io/Logging_1904/artfynd/A 44698-2024 artfynd.xlsx", "A 44698-2024")</f>
        <v/>
      </c>
      <c r="X12">
        <f>HYPERLINK("https://klasma.github.io/Logging_1904/kartor/A 44698-2024 karta.png", "A 44698-2024")</f>
        <v/>
      </c>
      <c r="Y12">
        <f>HYPERLINK("https://klasma.github.io/Logging_1904/kartor_geotiff/A 44698-2024 georefererad karta.tif", "A 44698-2024")</f>
        <v/>
      </c>
      <c r="AA12">
        <f>HYPERLINK("https://klasma.github.io/Logging_1904/klagomål/A 44698-2024 FSC-klagomål.docx", "A 44698-2024")</f>
        <v/>
      </c>
      <c r="AB12">
        <f>HYPERLINK("https://klasma.github.io/Logging_1904/klagomålsmail/A 44698-2024 FSC-klagomål mail.docx", "A 44698-2024")</f>
        <v/>
      </c>
      <c r="AC12">
        <f>HYPERLINK("https://klasma.github.io/Logging_1904/tillsyn/A 44698-2024 tillsynsbegäran.docx", "A 44698-2024")</f>
        <v/>
      </c>
      <c r="AD12">
        <f>HYPERLINK("https://klasma.github.io/Logging_1904/tillsynsmail/A 44698-2024 tillsynsbegäran mail.docx", "A 44698-2024")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46248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46248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46248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46248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46248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46248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46248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46248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27565-2024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45474</v>
      </c>
      <c r="E21" s="1" t="n">
        <v>46248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HYPERLINK("https://klasma.github.io/Logging_1904/artfynd/A 27565-2024 artfynd.xlsx", "A 27565-2024")</f>
        <v/>
      </c>
      <c r="X21">
        <f>HYPERLINK("https://klasma.github.io/Logging_1904/kartor/A 27565-2024 karta.png", "A 27565-2024")</f>
        <v/>
      </c>
      <c r="Y21">
        <f>HYPERLINK("https://klasma.github.io/Logging_1904/kartor_geotiff/A 27565-2024 georefererad karta.tif", "A 27565-2024")</f>
        <v/>
      </c>
      <c r="AA21">
        <f>HYPERLINK("https://klasma.github.io/Logging_1904/klagomål/A 27565-2024 FSC-klagomål.docx", "A 27565-2024")</f>
        <v/>
      </c>
      <c r="AB21">
        <f>HYPERLINK("https://klasma.github.io/Logging_1904/klagomålsmail/A 27565-2024 FSC-klagomål mail.docx", "A 27565-2024")</f>
        <v/>
      </c>
      <c r="AC21">
        <f>HYPERLINK("https://klasma.github.io/Logging_1904/tillsyn/A 27565-2024 tillsynsbegäran.docx", "A 27565-2024")</f>
        <v/>
      </c>
      <c r="AD21">
        <f>HYPERLINK("https://klasma.github.io/Logging_1904/tillsynsmail/A 27565-2024 tillsynsbegäran mail.docx", "A 27565-2024")</f>
        <v/>
      </c>
    </row>
    <row r="22" ht="15" customHeight="1">
      <c r="A22" t="inlineStr">
        <is>
          <t>A 49630-2024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46248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HYPERLINK("https://klasma.github.io/Logging_1904/artfynd/A 49630-2024 artfynd.xlsx", "A 49630-2024")</f>
        <v/>
      </c>
      <c r="X22">
        <f>HYPERLINK("https://klasma.github.io/Logging_1904/kartor/A 49630-2024 karta.png", "A 49630-2024")</f>
        <v/>
      </c>
      <c r="Y22">
        <f>HYPERLINK("https://klasma.github.io/Logging_1904/kartor_geotiff/A 49630-2024 georefererad karta.tif", "A 49630-2024")</f>
        <v/>
      </c>
      <c r="AA22">
        <f>HYPERLINK("https://klasma.github.io/Logging_1904/klagomål/A 49630-2024 FSC-klagomål.docx", "A 49630-2024")</f>
        <v/>
      </c>
      <c r="AB22">
        <f>HYPERLINK("https://klasma.github.io/Logging_1904/klagomålsmail/A 49630-2024 FSC-klagomål mail.docx", "A 49630-2024")</f>
        <v/>
      </c>
      <c r="AC22">
        <f>HYPERLINK("https://klasma.github.io/Logging_1904/tillsyn/A 49630-2024 tillsynsbegäran.docx", "A 49630-2024")</f>
        <v/>
      </c>
      <c r="AD22">
        <f>HYPERLINK("https://klasma.github.io/Logging_1904/tillsynsmail/A 49630-2024 tillsynsbegäran mail.docx", "A 49630-2024")</f>
        <v/>
      </c>
    </row>
    <row r="23" ht="15" customHeight="1">
      <c r="A23" t="inlineStr">
        <is>
          <t>A 19205-2024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46248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Järpe</t>
        </is>
      </c>
      <c r="W23">
        <f>HYPERLINK("https://klasma.github.io/Logging_1904/artfynd/A 19205-2024 artfynd.xlsx", "A 19205-2024")</f>
        <v/>
      </c>
      <c r="X23">
        <f>HYPERLINK("https://klasma.github.io/Logging_1904/kartor/A 19205-2024 karta.png", "A 19205-2024")</f>
        <v/>
      </c>
      <c r="Y23">
        <f>HYPERLINK("https://klasma.github.io/Logging_1904/kartor_geotiff/A 19205-2024 georefererad karta.tif", "A 19205-2024")</f>
        <v/>
      </c>
      <c r="AA23">
        <f>HYPERLINK("https://klasma.github.io/Logging_1904/klagomål/A 19205-2024 FSC-klagomål.docx", "A 19205-2024")</f>
        <v/>
      </c>
      <c r="AB23">
        <f>HYPERLINK("https://klasma.github.io/Logging_1904/klagomålsmail/A 19205-2024 FSC-klagomål mail.docx", "A 19205-2024")</f>
        <v/>
      </c>
      <c r="AC23">
        <f>HYPERLINK("https://klasma.github.io/Logging_1904/tillsyn/A 19205-2024 tillsynsbegäran.docx", "A 19205-2024")</f>
        <v/>
      </c>
      <c r="AD23">
        <f>HYPERLINK("https://klasma.github.io/Logging_1904/tillsynsmail/A 19205-2024 tillsynsbegäran mail.docx", "A 19205-2024")</f>
        <v/>
      </c>
      <c r="AE23">
        <f>HYPERLINK("https://klasma.github.io/Logging_1904/fåglar/A 19205-2024 prioriterade fågelarter.docx", "A 19205-2024")</f>
        <v/>
      </c>
    </row>
    <row r="24" ht="15" customHeight="1">
      <c r="A24" t="inlineStr">
        <is>
          <t>A 41868-2022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44829</v>
      </c>
      <c r="E24" s="1" t="n">
        <v>46248</v>
      </c>
      <c r="F24" t="inlineStr">
        <is>
          <t>VÄSTMANLANDS LÄN</t>
        </is>
      </c>
      <c r="G24" t="inlineStr">
        <is>
          <t>SKINNSKATTEBERG</t>
        </is>
      </c>
      <c r="I24" t="n">
        <v>0.9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HYPERLINK("https://klasma.github.io/Logging_1904/artfynd/A 41868-2022 artfynd.xlsx", "A 41868-2022")</f>
        <v/>
      </c>
      <c r="X24">
        <f>HYPERLINK("https://klasma.github.io/Logging_1904/kartor/A 41868-2022 karta.png", "A 41868-2022")</f>
        <v/>
      </c>
      <c r="Y24">
        <f>HYPERLINK("https://klasma.github.io/Logging_1904/kartor_geotiff/A 41868-2022 georefererad karta.tif", "A 41868-2022")</f>
        <v/>
      </c>
      <c r="AA24">
        <f>HYPERLINK("https://klasma.github.io/Logging_1904/klagomål/A 41868-2022 FSC-klagomål.docx", "A 41868-2022")</f>
        <v/>
      </c>
      <c r="AB24">
        <f>HYPERLINK("https://klasma.github.io/Logging_1904/klagomålsmail/A 41868-2022 FSC-klagomål mail.docx", "A 41868-2022")</f>
        <v/>
      </c>
      <c r="AC24">
        <f>HYPERLINK("https://klasma.github.io/Logging_1904/tillsyn/A 41868-2022 tillsynsbegäran.docx", "A 41868-2022")</f>
        <v/>
      </c>
      <c r="AD24">
        <f>HYPERLINK("https://klasma.github.io/Logging_1904/tillsynsmail/A 41868-2022 tillsynsbegäran mail.docx", "A 41868-2022")</f>
        <v/>
      </c>
    </row>
    <row r="25" ht="15" customHeight="1">
      <c r="A25" t="inlineStr">
        <is>
          <t>A 12887-2024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45385</v>
      </c>
      <c r="E25" s="1" t="n">
        <v>46248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Sparvuggla</t>
        </is>
      </c>
      <c r="W25">
        <f>HYPERLINK("https://klasma.github.io/Logging_1904/artfynd/A 12887-2024 artfynd.xlsx", "A 12887-2024")</f>
        <v/>
      </c>
      <c r="X25">
        <f>HYPERLINK("https://klasma.github.io/Logging_1904/kartor/A 12887-2024 karta.png", "A 12887-2024")</f>
        <v/>
      </c>
      <c r="Y25">
        <f>HYPERLINK("https://klasma.github.io/Logging_1904/kartor_geotiff/A 12887-2024 georefererad karta.tif", "A 12887-2024")</f>
        <v/>
      </c>
      <c r="AA25">
        <f>HYPERLINK("https://klasma.github.io/Logging_1904/klagomål/A 12887-2024 FSC-klagomål.docx", "A 12887-2024")</f>
        <v/>
      </c>
      <c r="AB25">
        <f>HYPERLINK("https://klasma.github.io/Logging_1904/klagomålsmail/A 12887-2024 FSC-klagomål mail.docx", "A 12887-2024")</f>
        <v/>
      </c>
      <c r="AC25">
        <f>HYPERLINK("https://klasma.github.io/Logging_1904/tillsyn/A 12887-2024 tillsynsbegäran.docx", "A 12887-2024")</f>
        <v/>
      </c>
      <c r="AD25">
        <f>HYPERLINK("https://klasma.github.io/Logging_1904/tillsynsmail/A 12887-2024 tillsynsbegäran mail.docx", "A 12887-2024")</f>
        <v/>
      </c>
      <c r="AE25">
        <f>HYPERLINK("https://klasma.github.io/Logging_1904/fåglar/A 12887-2024 prioriterade fågelarter.docx", "A 12887-2024")</f>
        <v/>
      </c>
    </row>
    <row r="26" ht="15" customHeight="1">
      <c r="A26" t="inlineStr">
        <is>
          <t>A 54296-2023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46248</v>
      </c>
      <c r="F26" t="inlineStr">
        <is>
          <t>VÄSTMANLANDS LÄN</t>
        </is>
      </c>
      <c r="G26" t="inlineStr">
        <is>
          <t>SKINNSKATTEBERG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Kopparödla</t>
        </is>
      </c>
      <c r="W26">
        <f>HYPERLINK("https://klasma.github.io/Logging_1904/artfynd/A 54296-2023 artfynd.xlsx", "A 54296-2023")</f>
        <v/>
      </c>
      <c r="X26">
        <f>HYPERLINK("https://klasma.github.io/Logging_1904/kartor/A 54296-2023 karta.png", "A 54296-2023")</f>
        <v/>
      </c>
      <c r="Y26">
        <f>HYPERLINK("https://klasma.github.io/Logging_1904/kartor_geotiff/A 54296-2023 georefererad karta.tif", "A 54296-2023")</f>
        <v/>
      </c>
      <c r="AA26">
        <f>HYPERLINK("https://klasma.github.io/Logging_1904/klagomål/A 54296-2023 FSC-klagomål.docx", "A 54296-2023")</f>
        <v/>
      </c>
      <c r="AB26">
        <f>HYPERLINK("https://klasma.github.io/Logging_1904/klagomålsmail/A 54296-2023 FSC-klagomål mail.docx", "A 54296-2023")</f>
        <v/>
      </c>
      <c r="AC26">
        <f>HYPERLINK("https://klasma.github.io/Logging_1904/tillsyn/A 54296-2023 tillsynsbegäran.docx", "A 54296-2023")</f>
        <v/>
      </c>
      <c r="AD26">
        <f>HYPERLINK("https://klasma.github.io/Logging_1904/tillsynsmail/A 54296-2023 tillsynsbegäran mail.docx", "A 54296-2023")</f>
        <v/>
      </c>
    </row>
    <row r="27" ht="15" customHeight="1">
      <c r="A27" t="inlineStr">
        <is>
          <t>A 9491-2024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46248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HYPERLINK("https://klasma.github.io/Logging_1904/artfynd/A 9491-2024 artfynd.xlsx", "A 9491-2024")</f>
        <v/>
      </c>
      <c r="X27">
        <f>HYPERLINK("https://klasma.github.io/Logging_1904/kartor/A 9491-2024 karta.png", "A 9491-2024")</f>
        <v/>
      </c>
      <c r="Y27">
        <f>HYPERLINK("https://klasma.github.io/Logging_1904/kartor_geotiff/A 9491-2024 georefererad karta.tif", "A 9491-2024")</f>
        <v/>
      </c>
      <c r="AA27">
        <f>HYPERLINK("https://klasma.github.io/Logging_1904/klagomål/A 9491-2024 FSC-klagomål.docx", "A 9491-2024")</f>
        <v/>
      </c>
      <c r="AB27">
        <f>HYPERLINK("https://klasma.github.io/Logging_1904/klagomålsmail/A 9491-2024 FSC-klagomål mail.docx", "A 9491-2024")</f>
        <v/>
      </c>
      <c r="AC27">
        <f>HYPERLINK("https://klasma.github.io/Logging_1904/tillsyn/A 9491-2024 tillsynsbegäran.docx", "A 9491-2024")</f>
        <v/>
      </c>
      <c r="AD27">
        <f>HYPERLINK("https://klasma.github.io/Logging_1904/tillsynsmail/A 9491-2024 tillsynsbegäran mail.docx", "A 9491-2024")</f>
        <v/>
      </c>
    </row>
    <row r="28" ht="15" customHeight="1">
      <c r="A28" t="inlineStr">
        <is>
          <t>A 43413-2024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45568</v>
      </c>
      <c r="E28" s="1" t="n">
        <v>46248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Orange taggsvamp</t>
        </is>
      </c>
      <c r="W28">
        <f>HYPERLINK("https://klasma.github.io/Logging_1904/artfynd/A 43413-2024 artfynd.xlsx", "A 43413-2024")</f>
        <v/>
      </c>
      <c r="X28">
        <f>HYPERLINK("https://klasma.github.io/Logging_1904/kartor/A 43413-2024 karta.png", "A 43413-2024")</f>
        <v/>
      </c>
      <c r="Y28">
        <f>HYPERLINK("https://klasma.github.io/Logging_1904/kartor_geotiff/A 43413-2024 georefererad karta.tif", "A 43413-2024")</f>
        <v/>
      </c>
      <c r="AA28">
        <f>HYPERLINK("https://klasma.github.io/Logging_1904/klagomål/A 43413-2024 FSC-klagomål.docx", "A 43413-2024")</f>
        <v/>
      </c>
      <c r="AB28">
        <f>HYPERLINK("https://klasma.github.io/Logging_1904/klagomålsmail/A 43413-2024 FSC-klagomål mail.docx", "A 43413-2024")</f>
        <v/>
      </c>
      <c r="AC28">
        <f>HYPERLINK("https://klasma.github.io/Logging_1904/tillsyn/A 43413-2024 tillsynsbegäran.docx", "A 43413-2024")</f>
        <v/>
      </c>
      <c r="AD28">
        <f>HYPERLINK("https://klasma.github.io/Logging_1904/tillsynsmail/A 43413-2024 tillsynsbegäran mail.docx", "A 43413-2024")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46248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33435-2024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45519</v>
      </c>
      <c r="E30" s="1" t="n">
        <v>46248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33435-2024 artfynd.xlsx", "A 33435-2024")</f>
        <v/>
      </c>
      <c r="X30">
        <f>HYPERLINK("https://klasma.github.io/Logging_1904/kartor/A 33435-2024 karta.png", "A 33435-2024")</f>
        <v/>
      </c>
      <c r="Y30">
        <f>HYPERLINK("https://klasma.github.io/Logging_1904/kartor_geotiff/A 33435-2024 georefererad karta.tif", "A 33435-2024")</f>
        <v/>
      </c>
      <c r="AA30">
        <f>HYPERLINK("https://klasma.github.io/Logging_1904/klagomål/A 33435-2024 FSC-klagomål.docx", "A 33435-2024")</f>
        <v/>
      </c>
      <c r="AB30">
        <f>HYPERLINK("https://klasma.github.io/Logging_1904/klagomålsmail/A 33435-2024 FSC-klagomål mail.docx", "A 33435-2024")</f>
        <v/>
      </c>
      <c r="AC30">
        <f>HYPERLINK("https://klasma.github.io/Logging_1904/tillsyn/A 33435-2024 tillsynsbegäran.docx", "A 33435-2024")</f>
        <v/>
      </c>
      <c r="AD30">
        <f>HYPERLINK("https://klasma.github.io/Logging_1904/tillsynsmail/A 33435-2024 tillsynsbegäran mail.docx", "A 33435-2024")</f>
        <v/>
      </c>
      <c r="AE30">
        <f>HYPERLINK("https://klasma.github.io/Logging_1904/fåglar/A 33435-2024 prioriterade fågelarter.docx", "A 33435-2024")</f>
        <v/>
      </c>
    </row>
    <row r="31" ht="15" customHeight="1">
      <c r="A31" t="inlineStr">
        <is>
          <t>A 12024-2023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44995</v>
      </c>
      <c r="E31" s="1" t="n">
        <v>46248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HYPERLINK("https://klasma.github.io/Logging_1904/artfynd/A 12024-2023 artfynd.xlsx", "A 12024-2023")</f>
        <v/>
      </c>
      <c r="X31">
        <f>HYPERLINK("https://klasma.github.io/Logging_1904/kartor/A 12024-2023 karta.png", "A 12024-2023")</f>
        <v/>
      </c>
      <c r="Y31">
        <f>HYPERLINK("https://klasma.github.io/Logging_1904/kartor_geotiff/A 12024-2023 georefererad karta.tif", "A 12024-2023")</f>
        <v/>
      </c>
      <c r="AA31">
        <f>HYPERLINK("https://klasma.github.io/Logging_1904/klagomål/A 12024-2023 FSC-klagomål.docx", "A 12024-2023")</f>
        <v/>
      </c>
      <c r="AB31">
        <f>HYPERLINK("https://klasma.github.io/Logging_1904/klagomålsmail/A 12024-2023 FSC-klagomål mail.docx", "A 12024-2023")</f>
        <v/>
      </c>
      <c r="AC31">
        <f>HYPERLINK("https://klasma.github.io/Logging_1904/tillsyn/A 12024-2023 tillsynsbegäran.docx", "A 12024-2023")</f>
        <v/>
      </c>
      <c r="AD31">
        <f>HYPERLINK("https://klasma.github.io/Logging_1904/tillsynsmail/A 12024-2023 tillsynsbegäran mail.docx", "A 12024-2023")</f>
        <v/>
      </c>
    </row>
    <row r="32" ht="15" customHeight="1">
      <c r="A32" t="inlineStr">
        <is>
          <t>A 9490-2024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46248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Nattskärra</t>
        </is>
      </c>
      <c r="W32">
        <f>HYPERLINK("https://klasma.github.io/Logging_1904/artfynd/A 9490-2024 artfynd.xlsx", "A 9490-2024")</f>
        <v/>
      </c>
      <c r="X32">
        <f>HYPERLINK("https://klasma.github.io/Logging_1904/kartor/A 9490-2024 karta.png", "A 9490-2024")</f>
        <v/>
      </c>
      <c r="Y32">
        <f>HYPERLINK("https://klasma.github.io/Logging_1904/kartor_geotiff/A 9490-2024 georefererad karta.tif", "A 9490-2024")</f>
        <v/>
      </c>
      <c r="AA32">
        <f>HYPERLINK("https://klasma.github.io/Logging_1904/klagomål/A 9490-2024 FSC-klagomål.docx", "A 9490-2024")</f>
        <v/>
      </c>
      <c r="AB32">
        <f>HYPERLINK("https://klasma.github.io/Logging_1904/klagomålsmail/A 9490-2024 FSC-klagomål mail.docx", "A 9490-2024")</f>
        <v/>
      </c>
      <c r="AC32">
        <f>HYPERLINK("https://klasma.github.io/Logging_1904/tillsyn/A 9490-2024 tillsynsbegäran.docx", "A 9490-2024")</f>
        <v/>
      </c>
      <c r="AD32">
        <f>HYPERLINK("https://klasma.github.io/Logging_1904/tillsynsmail/A 9490-2024 tillsynsbegäran mail.docx", "A 9490-2024")</f>
        <v/>
      </c>
      <c r="AE32">
        <f>HYPERLINK("https://klasma.github.io/Logging_1904/fåglar/A 9490-2024 prioriterade fågelarter.docx", "A 9490-2024")</f>
        <v/>
      </c>
    </row>
    <row r="33" ht="15" customHeight="1">
      <c r="A33" t="inlineStr">
        <is>
          <t>A 4000-2024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46248</v>
      </c>
      <c r="F33" t="inlineStr">
        <is>
          <t>VÄSTMANLANDS LÄN</t>
        </is>
      </c>
      <c r="G33" t="inlineStr">
        <is>
          <t>SKINNSKATTEBERG</t>
        </is>
      </c>
      <c r="I33" t="n">
        <v>14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Klasefibbla</t>
        </is>
      </c>
      <c r="W33">
        <f>HYPERLINK("https://klasma.github.io/Logging_1904/artfynd/A 4000-2024 artfynd.xlsx", "A 4000-2024")</f>
        <v/>
      </c>
      <c r="X33">
        <f>HYPERLINK("https://klasma.github.io/Logging_1904/kartor/A 4000-2024 karta.png", "A 4000-2024")</f>
        <v/>
      </c>
      <c r="Y33">
        <f>HYPERLINK("https://klasma.github.io/Logging_1904/kartor_geotiff/A 4000-2024 georefererad karta.tif", "A 4000-2024")</f>
        <v/>
      </c>
      <c r="AA33">
        <f>HYPERLINK("https://klasma.github.io/Logging_1904/klagomål/A 4000-2024 FSC-klagomål.docx", "A 4000-2024")</f>
        <v/>
      </c>
      <c r="AB33">
        <f>HYPERLINK("https://klasma.github.io/Logging_1904/klagomålsmail/A 4000-2024 FSC-klagomål mail.docx", "A 4000-2024")</f>
        <v/>
      </c>
      <c r="AC33">
        <f>HYPERLINK("https://klasma.github.io/Logging_1904/tillsyn/A 4000-2024 tillsynsbegäran.docx", "A 4000-2024")</f>
        <v/>
      </c>
      <c r="AD33">
        <f>HYPERLINK("https://klasma.github.io/Logging_1904/tillsynsmail/A 4000-2024 tillsynsbegäran mail.docx", "A 4000-2024")</f>
        <v/>
      </c>
    </row>
    <row r="34" ht="15" customHeight="1">
      <c r="A34" t="inlineStr">
        <is>
          <t>A 31006-2025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45832</v>
      </c>
      <c r="E34" s="1" t="n">
        <v>46248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HYPERLINK("https://klasma.github.io/Logging_1904/artfynd/A 31006-2025 artfynd.xlsx", "A 31006-2025")</f>
        <v/>
      </c>
      <c r="X34">
        <f>HYPERLINK("https://klasma.github.io/Logging_1904/kartor/A 31006-2025 karta.png", "A 31006-2025")</f>
        <v/>
      </c>
      <c r="Y34">
        <f>HYPERLINK("https://klasma.github.io/Logging_1904/kartor_geotiff/A 31006-2025 georefererad karta.tif", "A 31006-2025")</f>
        <v/>
      </c>
      <c r="AA34">
        <f>HYPERLINK("https://klasma.github.io/Logging_1904/klagomål/A 31006-2025 FSC-klagomål.docx", "A 31006-2025")</f>
        <v/>
      </c>
      <c r="AB34">
        <f>HYPERLINK("https://klasma.github.io/Logging_1904/klagomålsmail/A 31006-2025 FSC-klagomål mail.docx", "A 31006-2025")</f>
        <v/>
      </c>
      <c r="AC34">
        <f>HYPERLINK("https://klasma.github.io/Logging_1904/tillsyn/A 31006-2025 tillsynsbegäran.docx", "A 31006-2025")</f>
        <v/>
      </c>
      <c r="AD34">
        <f>HYPERLINK("https://klasma.github.io/Logging_1904/tillsynsmail/A 31006-2025 tillsynsbegäran mail.docx", "A 31006-2025")</f>
        <v/>
      </c>
      <c r="AE34">
        <f>HYPERLINK("https://klasma.github.io/Logging_1904/fåglar/A 31006-2025 prioriterade fågelarter.docx", "A 31006-2025")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46248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28312-2023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45099</v>
      </c>
      <c r="E36" s="1" t="n">
        <v>46248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HYPERLINK("https://klasma.github.io/Logging_1904/artfynd/A 28312-2023 artfynd.xlsx", "A 28312-2023")</f>
        <v/>
      </c>
      <c r="X36">
        <f>HYPERLINK("https://klasma.github.io/Logging_1904/kartor/A 28312-2023 karta.png", "A 28312-2023")</f>
        <v/>
      </c>
      <c r="Y36">
        <f>HYPERLINK("https://klasma.github.io/Logging_1904/kartor_geotiff/A 28312-2023 georefererad karta.tif", "A 28312-2023")</f>
        <v/>
      </c>
      <c r="AA36">
        <f>HYPERLINK("https://klasma.github.io/Logging_1904/klagomål/A 28312-2023 FSC-klagomål.docx", "A 28312-2023")</f>
        <v/>
      </c>
      <c r="AB36">
        <f>HYPERLINK("https://klasma.github.io/Logging_1904/klagomålsmail/A 28312-2023 FSC-klagomål mail.docx", "A 28312-2023")</f>
        <v/>
      </c>
      <c r="AC36">
        <f>HYPERLINK("https://klasma.github.io/Logging_1904/tillsyn/A 28312-2023 tillsynsbegäran.docx", "A 28312-2023")</f>
        <v/>
      </c>
      <c r="AD36">
        <f>HYPERLINK("https://klasma.github.io/Logging_1904/tillsynsmail/A 28312-2023 tillsynsbegäran mail.docx", "A 28312-2023")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46248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47538-2025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46248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6.6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Svinrot</t>
        </is>
      </c>
      <c r="W38">
        <f>HYPERLINK("https://klasma.github.io/Logging_1904/artfynd/A 47538-2025 artfynd.xlsx", "A 47538-2025")</f>
        <v/>
      </c>
      <c r="X38">
        <f>HYPERLINK("https://klasma.github.io/Logging_1904/kartor/A 47538-2025 karta.png", "A 47538-2025")</f>
        <v/>
      </c>
      <c r="Y38">
        <f>HYPERLINK("https://klasma.github.io/Logging_1904/kartor_geotiff/A 47538-2025 georefererad karta.tif", "A 47538-2025")</f>
        <v/>
      </c>
      <c r="AA38">
        <f>HYPERLINK("https://klasma.github.io/Logging_1904/klagomål/A 47538-2025 FSC-klagomål.docx", "A 47538-2025")</f>
        <v/>
      </c>
      <c r="AB38">
        <f>HYPERLINK("https://klasma.github.io/Logging_1904/klagomålsmail/A 47538-2025 FSC-klagomål mail.docx", "A 47538-2025")</f>
        <v/>
      </c>
      <c r="AC38">
        <f>HYPERLINK("https://klasma.github.io/Logging_1904/tillsyn/A 47538-2025 tillsynsbegäran.docx", "A 47538-2025")</f>
        <v/>
      </c>
      <c r="AD38">
        <f>HYPERLINK("https://klasma.github.io/Logging_1904/tillsynsmail/A 47538-2025 tillsynsbegäran mail.docx", "A 47538-2025")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46248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46248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24944-2026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46248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8.4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HYPERLINK("https://klasma.github.io/Logging_1904/artfynd/A 24944-2026 artfynd.xlsx", "A 24944-2026")</f>
        <v/>
      </c>
      <c r="X41">
        <f>HYPERLINK("https://klasma.github.io/Logging_1904/kartor/A 24944-2026 karta.png", "A 24944-2026")</f>
        <v/>
      </c>
      <c r="Y41">
        <f>HYPERLINK("https://klasma.github.io/Logging_1904/kartor_geotiff/A 24944-2026 georefererad karta.tif", "A 24944-2026")</f>
        <v/>
      </c>
      <c r="AA41">
        <f>HYPERLINK("https://klasma.github.io/Logging_1904/klagomål/A 24944-2026 FSC-klagomål.docx", "A 24944-2026")</f>
        <v/>
      </c>
      <c r="AB41">
        <f>HYPERLINK("https://klasma.github.io/Logging_1904/klagomålsmail/A 24944-2026 FSC-klagomål mail.docx", "A 24944-2026")</f>
        <v/>
      </c>
      <c r="AC41">
        <f>HYPERLINK("https://klasma.github.io/Logging_1904/tillsyn/A 24944-2026 tillsynsbegäran.docx", "A 24944-2026")</f>
        <v/>
      </c>
      <c r="AD41">
        <f>HYPERLINK("https://klasma.github.io/Logging_1904/tillsynsmail/A 24944-2026 tillsynsbegäran mail.docx", "A 24944-2026")</f>
        <v/>
      </c>
    </row>
    <row r="42" ht="15" customHeight="1">
      <c r="A42" t="inlineStr">
        <is>
          <t>A 26860-2026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46248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10.3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Kungsörn</t>
        </is>
      </c>
      <c r="W42">
        <f>HYPERLINK("https://klasma.github.io/Logging_1904/artfynd/A 26860-2026 artfynd.xlsx", "A 26860-2026")</f>
        <v/>
      </c>
      <c r="X42">
        <f>HYPERLINK("https://klasma.github.io/Logging_1904/kartor/A 26860-2026 karta.png", "A 26860-2026")</f>
        <v/>
      </c>
      <c r="Y42">
        <f>HYPERLINK("https://klasma.github.io/Logging_1904/kartor_geotiff/A 26860-2026 georefererad karta.tif", "A 26860-2026")</f>
        <v/>
      </c>
      <c r="AA42">
        <f>HYPERLINK("https://klasma.github.io/Logging_1904/klagomål/A 26860-2026 FSC-klagomål.docx", "A 26860-2026")</f>
        <v/>
      </c>
      <c r="AB42">
        <f>HYPERLINK("https://klasma.github.io/Logging_1904/klagomålsmail/A 26860-2026 FSC-klagomål mail.docx", "A 26860-2026")</f>
        <v/>
      </c>
      <c r="AC42">
        <f>HYPERLINK("https://klasma.github.io/Logging_1904/tillsyn/A 26860-2026 tillsynsbegäran.docx", "A 26860-2026")</f>
        <v/>
      </c>
      <c r="AD42">
        <f>HYPERLINK("https://klasma.github.io/Logging_1904/tillsynsmail/A 26860-2026 tillsynsbegäran mail.docx", "A 26860-2026")</f>
        <v/>
      </c>
      <c r="AE42">
        <f>HYPERLINK("https://klasma.github.io/Logging_1904/fåglar/A 26860-2026 prioriterade fågelarter.docx", "A 26860-2026")</f>
        <v/>
      </c>
    </row>
    <row r="43" ht="15" customHeight="1">
      <c r="A43" t="inlineStr">
        <is>
          <t>A 57395-2025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46248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6.9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HYPERLINK("https://klasma.github.io/Logging_1904/artfynd/A 57395-2025 artfynd.xlsx", "A 57395-2025")</f>
        <v/>
      </c>
      <c r="X43">
        <f>HYPERLINK("https://klasma.github.io/Logging_1904/kartor/A 57395-2025 karta.png", "A 57395-2025")</f>
        <v/>
      </c>
      <c r="Y43">
        <f>HYPERLINK("https://klasma.github.io/Logging_1904/kartor_geotiff/A 57395-2025 georefererad karta.tif", "A 57395-2025")</f>
        <v/>
      </c>
      <c r="AA43">
        <f>HYPERLINK("https://klasma.github.io/Logging_1904/klagomål/A 57395-2025 FSC-klagomål.docx", "A 57395-2025")</f>
        <v/>
      </c>
      <c r="AB43">
        <f>HYPERLINK("https://klasma.github.io/Logging_1904/klagomålsmail/A 57395-2025 FSC-klagomål mail.docx", "A 57395-2025")</f>
        <v/>
      </c>
      <c r="AC43">
        <f>HYPERLINK("https://klasma.github.io/Logging_1904/tillsyn/A 57395-2025 tillsynsbegäran.docx", "A 57395-2025")</f>
        <v/>
      </c>
      <c r="AD43">
        <f>HYPERLINK("https://klasma.github.io/Logging_1904/tillsynsmail/A 57395-2025 tillsynsbegäran mail.docx", "A 57395-2025")</f>
        <v/>
      </c>
    </row>
    <row r="44" ht="15" customHeight="1">
      <c r="A44" t="inlineStr">
        <is>
          <t>A 15734-2026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46107</v>
      </c>
      <c r="E44" s="1" t="n">
        <v>46248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Koppartaggsvamp</t>
        </is>
      </c>
      <c r="W44">
        <f>HYPERLINK("https://klasma.github.io/Logging_1904/artfynd/A 15734-2026 artfynd.xlsx", "A 15734-2026")</f>
        <v/>
      </c>
      <c r="X44">
        <f>HYPERLINK("https://klasma.github.io/Logging_1904/kartor/A 15734-2026 karta.png", "A 15734-2026")</f>
        <v/>
      </c>
      <c r="Y44">
        <f>HYPERLINK("https://klasma.github.io/Logging_1904/kartor_geotiff/A 15734-2026 georefererad karta.tif", "A 15734-2026")</f>
        <v/>
      </c>
      <c r="AA44">
        <f>HYPERLINK("https://klasma.github.io/Logging_1904/klagomål/A 15734-2026 FSC-klagomål.docx", "A 15734-2026")</f>
        <v/>
      </c>
      <c r="AB44">
        <f>HYPERLINK("https://klasma.github.io/Logging_1904/klagomålsmail/A 15734-2026 FSC-klagomål mail.docx", "A 15734-2026")</f>
        <v/>
      </c>
      <c r="AC44">
        <f>HYPERLINK("https://klasma.github.io/Logging_1904/tillsyn/A 15734-2026 tillsynsbegäran.docx", "A 15734-2026")</f>
        <v/>
      </c>
      <c r="AD44">
        <f>HYPERLINK("https://klasma.github.io/Logging_1904/tillsynsmail/A 15734-2026 tillsynsbegäran mail.docx", "A 15734-2026")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46248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46248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46248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46248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46248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46248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46248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46248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44519</v>
      </c>
      <c r="E53" s="1" t="n">
        <v>46248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46248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46248</v>
      </c>
      <c r="F55" t="inlineStr">
        <is>
          <t>VÄSTMANLANDS LÄN</t>
        </is>
      </c>
      <c r="G55" t="inlineStr">
        <is>
          <t>SKINNSKATTEBERG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40499-2022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46248</v>
      </c>
      <c r="F56" t="inlineStr">
        <is>
          <t>VÄSTMANLANDS LÄN</t>
        </is>
      </c>
      <c r="G56" t="inlineStr">
        <is>
          <t>SKINNSKATTEBERG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71996-2021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46248</v>
      </c>
      <c r="F57" t="inlineStr">
        <is>
          <t>VÄSTMANLANDS LÄN</t>
        </is>
      </c>
      <c r="G57" t="inlineStr">
        <is>
          <t>SKINNSKATTEBERG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46248</v>
      </c>
      <c r="F58" t="inlineStr">
        <is>
          <t>VÄSTMANLANDS LÄN</t>
        </is>
      </c>
      <c r="G58" t="inlineStr">
        <is>
          <t>SKINNSKATTEBERG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46248</v>
      </c>
      <c r="F59" t="inlineStr">
        <is>
          <t>VÄSTMANLANDS LÄN</t>
        </is>
      </c>
      <c r="G59" t="inlineStr">
        <is>
          <t>SKINNSKATTEBERG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46248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69259-2021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46248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46248</v>
      </c>
      <c r="F62" t="inlineStr">
        <is>
          <t>VÄSTMANLANDS LÄN</t>
        </is>
      </c>
      <c r="G62" t="inlineStr">
        <is>
          <t>SKINNSKATTEBERG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46248</v>
      </c>
      <c r="F63" t="inlineStr">
        <is>
          <t>VÄSTMANLANDS LÄN</t>
        </is>
      </c>
      <c r="G63" t="inlineStr">
        <is>
          <t>SKINNSKATTEBERG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46248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46248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46248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46248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20430-2024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45435</v>
      </c>
      <c r="E68" s="1" t="n">
        <v>46248</v>
      </c>
      <c r="F68" t="inlineStr">
        <is>
          <t>VÄSTMANLANDS LÄN</t>
        </is>
      </c>
      <c r="G68" t="inlineStr">
        <is>
          <t>SKINNSKATTEBERG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27653-2023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46248</v>
      </c>
      <c r="F69" t="inlineStr">
        <is>
          <t>VÄSTMANLANDS LÄN</t>
        </is>
      </c>
      <c r="G69" t="inlineStr">
        <is>
          <t>SKINNSKATTEBERG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46248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46248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45762</v>
      </c>
      <c r="E72" s="1" t="n">
        <v>46248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46248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46248</v>
      </c>
      <c r="F74" t="inlineStr">
        <is>
          <t>VÄSTMANLANDS LÄN</t>
        </is>
      </c>
      <c r="G74" t="inlineStr">
        <is>
          <t>SKINNSKATTEBERG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51472-2024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45604</v>
      </c>
      <c r="E75" s="1" t="n">
        <v>46248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46248</v>
      </c>
      <c r="F76" t="inlineStr">
        <is>
          <t>VÄSTMANLANDS LÄN</t>
        </is>
      </c>
      <c r="G76" t="inlineStr">
        <is>
          <t>SKINNSKATTEBERG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46248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46248</v>
      </c>
      <c r="F78" t="inlineStr">
        <is>
          <t>VÄSTMANLANDS LÄN</t>
        </is>
      </c>
      <c r="G78" t="inlineStr">
        <is>
          <t>SKINNSKATTEBERG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46248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45114</v>
      </c>
      <c r="E80" s="1" t="n">
        <v>46248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46248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13713-2024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45390</v>
      </c>
      <c r="E82" s="1" t="n">
        <v>46248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46248</v>
      </c>
      <c r="F83" t="inlineStr">
        <is>
          <t>VÄSTMANLANDS LÄN</t>
        </is>
      </c>
      <c r="G83" t="inlineStr">
        <is>
          <t>SKINNSKATTEBERG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45447</v>
      </c>
      <c r="E84" s="1" t="n">
        <v>46248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46248</v>
      </c>
      <c r="F85" t="inlineStr">
        <is>
          <t>VÄSTMANLANDS LÄN</t>
        </is>
      </c>
      <c r="G85" t="inlineStr">
        <is>
          <t>SKINNSKATTEBERG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45571</v>
      </c>
      <c r="E86" s="1" t="n">
        <v>46248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45571</v>
      </c>
      <c r="E87" s="1" t="n">
        <v>46248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46248</v>
      </c>
      <c r="F88" t="inlineStr">
        <is>
          <t>VÄSTMANLANDS LÄN</t>
        </is>
      </c>
      <c r="G88" t="inlineStr">
        <is>
          <t>SKINNSKATTEBERG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20248-2024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45434</v>
      </c>
      <c r="E89" s="1" t="n">
        <v>46248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46248</v>
      </c>
      <c r="F90" t="inlineStr">
        <is>
          <t>VÄSTMANLANDS LÄN</t>
        </is>
      </c>
      <c r="G90" t="inlineStr">
        <is>
          <t>SKINNSKATTEBERG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45555</v>
      </c>
      <c r="E91" s="1" t="n">
        <v>46248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45387</v>
      </c>
      <c r="E92" s="1" t="n">
        <v>46248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46248</v>
      </c>
      <c r="F93" t="inlineStr">
        <is>
          <t>VÄSTMANLANDS LÄN</t>
        </is>
      </c>
      <c r="G93" t="inlineStr">
        <is>
          <t>SKINNSKATTEBERG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16729-2024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45410</v>
      </c>
      <c r="E94" s="1" t="n">
        <v>46248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45401</v>
      </c>
      <c r="E95" s="1" t="n">
        <v>46248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46248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46248</v>
      </c>
      <c r="F97" t="inlineStr">
        <is>
          <t>VÄSTMANLANDS LÄN</t>
        </is>
      </c>
      <c r="G97" t="inlineStr">
        <is>
          <t>SKINNSKATTEBERG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46248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Kyrkan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45406</v>
      </c>
      <c r="E99" s="1" t="n">
        <v>46248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45134</v>
      </c>
      <c r="E100" s="1" t="n">
        <v>46248</v>
      </c>
      <c r="F100" t="inlineStr">
        <is>
          <t>VÄSTMANLANDS LÄN</t>
        </is>
      </c>
      <c r="G100" t="inlineStr">
        <is>
          <t>SKINNSKATTEBERG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46248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46248</v>
      </c>
      <c r="F102" t="inlineStr">
        <is>
          <t>VÄSTMANLANDS LÄN</t>
        </is>
      </c>
      <c r="G102" t="inlineStr">
        <is>
          <t>SKINNSKATTEBERG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45407</v>
      </c>
      <c r="E103" s="1" t="n">
        <v>46248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46248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45376</v>
      </c>
      <c r="E105" s="1" t="n">
        <v>46248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46248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46248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Kyrkan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44910</v>
      </c>
      <c r="E108" s="1" t="n">
        <v>46248</v>
      </c>
      <c r="F108" t="inlineStr">
        <is>
          <t>VÄSTMANLANDS LÄN</t>
        </is>
      </c>
      <c r="G108" t="inlineStr">
        <is>
          <t>SKINNSKATTEBERG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18161-2024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45420</v>
      </c>
      <c r="E109" s="1" t="n">
        <v>46248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45068</v>
      </c>
      <c r="E110" s="1" t="n">
        <v>46248</v>
      </c>
      <c r="F110" t="inlineStr">
        <is>
          <t>VÄSTMANLANDS LÄN</t>
        </is>
      </c>
      <c r="G110" t="inlineStr">
        <is>
          <t>SKINNSKATTEBERG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46248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25843-2023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45090</v>
      </c>
      <c r="E112" s="1" t="n">
        <v>46248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53145-2021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44468</v>
      </c>
      <c r="E113" s="1" t="n">
        <v>46248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40545-2023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45170</v>
      </c>
      <c r="E114" s="1" t="n">
        <v>46248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46248</v>
      </c>
      <c r="F115" t="inlineStr">
        <is>
          <t>VÄSTMANLANDS LÄN</t>
        </is>
      </c>
      <c r="G115" t="inlineStr">
        <is>
          <t>SKINNSKATTEBERG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46248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45637</v>
      </c>
      <c r="E117" s="1" t="n">
        <v>46248</v>
      </c>
      <c r="F117" t="inlineStr">
        <is>
          <t>VÄSTMANLANDS LÄN</t>
        </is>
      </c>
      <c r="G117" t="inlineStr">
        <is>
          <t>SKINNSKATTEBERG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46248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46248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46248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45375</v>
      </c>
      <c r="E121" s="1" t="n">
        <v>46248</v>
      </c>
      <c r="F121" t="inlineStr">
        <is>
          <t>VÄSTMANLANDS LÄN</t>
        </is>
      </c>
      <c r="G121" t="inlineStr">
        <is>
          <t>SKINNSKATTEBERG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46248</v>
      </c>
      <c r="F122" t="inlineStr">
        <is>
          <t>VÄSTMANLANDS LÄN</t>
        </is>
      </c>
      <c r="G122" t="inlineStr">
        <is>
          <t>SKINNSKATTEBERG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46248</v>
      </c>
      <c r="F123" t="inlineStr">
        <is>
          <t>VÄSTMANLANDS LÄN</t>
        </is>
      </c>
      <c r="G123" t="inlineStr">
        <is>
          <t>SKINNSKATTEBERG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46248</v>
      </c>
      <c r="F124" t="inlineStr">
        <is>
          <t>VÄSTMANLANDS LÄN</t>
        </is>
      </c>
      <c r="G124" t="inlineStr">
        <is>
          <t>SKINNSKATTEBERG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46248</v>
      </c>
      <c r="F125" t="inlineStr">
        <is>
          <t>VÄSTMANLANDS LÄN</t>
        </is>
      </c>
      <c r="G125" t="inlineStr">
        <is>
          <t>SKINNSKATTEBERG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46248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46248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46248</v>
      </c>
      <c r="F128" t="inlineStr">
        <is>
          <t>VÄSTMANLANDS LÄN</t>
        </is>
      </c>
      <c r="G128" t="inlineStr">
        <is>
          <t>SKINNSKATTEBERG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46248</v>
      </c>
      <c r="F129" t="inlineStr">
        <is>
          <t>VÄSTMANLANDS LÄN</t>
        </is>
      </c>
      <c r="G129" t="inlineStr">
        <is>
          <t>SKINNSKATTEBERG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46248</v>
      </c>
      <c r="F130" t="inlineStr">
        <is>
          <t>VÄSTMANLANDS LÄN</t>
        </is>
      </c>
      <c r="G130" t="inlineStr">
        <is>
          <t>SKINNSKATTEBERG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46248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46248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46248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46248</v>
      </c>
      <c r="F134" t="inlineStr">
        <is>
          <t>VÄSTMANLANDS LÄN</t>
        </is>
      </c>
      <c r="G134" t="inlineStr">
        <is>
          <t>SKINNSKATTEBERG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46248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44498</v>
      </c>
      <c r="E136" s="1" t="n">
        <v>46248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46248</v>
      </c>
      <c r="F137" t="inlineStr">
        <is>
          <t>VÄSTMANLANDS LÄN</t>
        </is>
      </c>
      <c r="G137" t="inlineStr">
        <is>
          <t>SKINNSKATTEBERG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46248</v>
      </c>
      <c r="F138" t="inlineStr">
        <is>
          <t>VÄSTMANLANDS LÄN</t>
        </is>
      </c>
      <c r="G138" t="inlineStr">
        <is>
          <t>SKINNSKATTEBERG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46248</v>
      </c>
      <c r="F139" t="inlineStr">
        <is>
          <t>VÄSTMANLANDS LÄN</t>
        </is>
      </c>
      <c r="G139" t="inlineStr">
        <is>
          <t>SKINNSKATTEBERG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46248</v>
      </c>
      <c r="F140" t="inlineStr">
        <is>
          <t>VÄSTMANLANDS LÄN</t>
        </is>
      </c>
      <c r="G140" t="inlineStr">
        <is>
          <t>SKINNSKATTEBERG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46248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46248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45085</v>
      </c>
      <c r="E143" s="1" t="n">
        <v>46248</v>
      </c>
      <c r="F143" t="inlineStr">
        <is>
          <t>VÄSTMANLANDS LÄN</t>
        </is>
      </c>
      <c r="G143" t="inlineStr">
        <is>
          <t>SKINNSKATTEBERG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46248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46248</v>
      </c>
      <c r="F145" t="inlineStr">
        <is>
          <t>VÄSTMANLANDS LÄN</t>
        </is>
      </c>
      <c r="G145" t="inlineStr">
        <is>
          <t>SKINNSKATTEBERG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46248</v>
      </c>
      <c r="F146" t="inlineStr">
        <is>
          <t>VÄSTMANLANDS LÄN</t>
        </is>
      </c>
      <c r="G146" t="inlineStr">
        <is>
          <t>SKINNSKATTEBERG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46248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45114</v>
      </c>
      <c r="E148" s="1" t="n">
        <v>46248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55428-2021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44475</v>
      </c>
      <c r="E149" s="1" t="n">
        <v>46248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44469</v>
      </c>
      <c r="E150" s="1" t="n">
        <v>46248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46248</v>
      </c>
      <c r="F151" t="inlineStr">
        <is>
          <t>VÄSTMANLANDS LÄN</t>
        </is>
      </c>
      <c r="G151" t="inlineStr">
        <is>
          <t>SKINNSKATTEBERG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52600-2021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46248</v>
      </c>
      <c r="F152" t="inlineStr">
        <is>
          <t>VÄSTMANLANDS LÄN</t>
        </is>
      </c>
      <c r="G152" t="inlineStr">
        <is>
          <t>SKINNSKATTEBERG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45406</v>
      </c>
      <c r="E153" s="1" t="n">
        <v>46248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53183-2021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44468</v>
      </c>
      <c r="E154" s="1" t="n">
        <v>46248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45420</v>
      </c>
      <c r="E155" s="1" t="n">
        <v>46248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46248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Allmännings- och besparingsskogar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46248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46248</v>
      </c>
      <c r="F158" t="inlineStr">
        <is>
          <t>VÄSTMANLANDS LÄN</t>
        </is>
      </c>
      <c r="G158" t="inlineStr">
        <is>
          <t>SKINNSKATTEBERG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51508-2021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46248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46248</v>
      </c>
      <c r="F160" t="inlineStr">
        <is>
          <t>VÄSTMANLANDS LÄN</t>
        </is>
      </c>
      <c r="G160" t="inlineStr">
        <is>
          <t>SKINNSKATTEBERG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53142-2021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44468</v>
      </c>
      <c r="E161" s="1" t="n">
        <v>46248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15561-2024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45401</v>
      </c>
      <c r="E162" s="1" t="n">
        <v>46248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44967</v>
      </c>
      <c r="E163" s="1" t="n">
        <v>46248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46248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45568</v>
      </c>
      <c r="E165" s="1" t="n">
        <v>46248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45512</v>
      </c>
      <c r="E166" s="1" t="n">
        <v>46248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46248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46248</v>
      </c>
      <c r="F168" t="inlineStr">
        <is>
          <t>VÄSTMANLANDS LÄN</t>
        </is>
      </c>
      <c r="G168" t="inlineStr">
        <is>
          <t>SKINNSKATTEBERG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46248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46248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45174</v>
      </c>
      <c r="E171" s="1" t="n">
        <v>46248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44806</v>
      </c>
      <c r="E172" s="1" t="n">
        <v>46248</v>
      </c>
      <c r="F172" t="inlineStr">
        <is>
          <t>VÄSTMANLANDS LÄN</t>
        </is>
      </c>
      <c r="G172" t="inlineStr">
        <is>
          <t>SKINNSKATTEBERG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45604</v>
      </c>
      <c r="E173" s="1" t="n">
        <v>46248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46248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54657-2022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44883</v>
      </c>
      <c r="E175" s="1" t="n">
        <v>46248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46248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46248</v>
      </c>
      <c r="F177" t="inlineStr">
        <is>
          <t>VÄSTMANLANDS LÄN</t>
        </is>
      </c>
      <c r="G177" t="inlineStr">
        <is>
          <t>SKINNSKATTEBERG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46248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45407</v>
      </c>
      <c r="E179" s="1" t="n">
        <v>46248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46248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66584-2021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44519</v>
      </c>
      <c r="E181" s="1" t="n">
        <v>46248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44993</v>
      </c>
      <c r="E182" s="1" t="n">
        <v>46248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45156</v>
      </c>
      <c r="E183" s="1" t="n">
        <v>46248</v>
      </c>
      <c r="F183" t="inlineStr">
        <is>
          <t>VÄSTMANLANDS LÄN</t>
        </is>
      </c>
      <c r="G183" t="inlineStr">
        <is>
          <t>SKINNSKATTEBERG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44455</v>
      </c>
      <c r="E184" s="1" t="n">
        <v>46248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46248</v>
      </c>
      <c r="F185" t="inlineStr">
        <is>
          <t>VÄSTMANLANDS LÄN</t>
        </is>
      </c>
      <c r="G185" t="inlineStr">
        <is>
          <t>SKINNSKATTEBERG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46248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45504</v>
      </c>
      <c r="E187" s="1" t="n">
        <v>46248</v>
      </c>
      <c r="F187" t="inlineStr">
        <is>
          <t>VÄSTMANLANDS LÄN</t>
        </is>
      </c>
      <c r="G187" t="inlineStr">
        <is>
          <t>SKINNSKATTEBERG</t>
        </is>
      </c>
      <c r="I187" t="n">
        <v>17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57747-2023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45246</v>
      </c>
      <c r="E188" s="1" t="n">
        <v>46248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45306</v>
      </c>
      <c r="E189" s="1" t="n">
        <v>46248</v>
      </c>
      <c r="F189" t="inlineStr">
        <is>
          <t>VÄSTMANLANDS LÄN</t>
        </is>
      </c>
      <c r="G189" t="inlineStr">
        <is>
          <t>SKINNSKATTEBERG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45306</v>
      </c>
      <c r="E190" s="1" t="n">
        <v>46248</v>
      </c>
      <c r="F190" t="inlineStr">
        <is>
          <t>VÄSTMANLANDS LÄN</t>
        </is>
      </c>
      <c r="G190" t="inlineStr">
        <is>
          <t>SKINNSKATTEBERG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46248</v>
      </c>
      <c r="F191" t="inlineStr">
        <is>
          <t>VÄSTMANLANDS LÄN</t>
        </is>
      </c>
      <c r="G191" t="inlineStr">
        <is>
          <t>SKINNSKATTEBERG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45429</v>
      </c>
      <c r="E192" s="1" t="n">
        <v>46248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46248</v>
      </c>
      <c r="F193" t="inlineStr">
        <is>
          <t>VÄSTMANLANDS LÄN</t>
        </is>
      </c>
      <c r="G193" t="inlineStr">
        <is>
          <t>SKINNSKATTEBERG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46248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15184-2025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45744</v>
      </c>
      <c r="E195" s="1" t="n">
        <v>46248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25846-2025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45804</v>
      </c>
      <c r="E196" s="1" t="n">
        <v>46248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46248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46248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46248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46248</v>
      </c>
      <c r="F200" t="inlineStr">
        <is>
          <t>VÄSTMANLANDS LÄN</t>
        </is>
      </c>
      <c r="G200" t="inlineStr">
        <is>
          <t>SKINNSKATTEBERG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46248</v>
      </c>
      <c r="F201" t="inlineStr">
        <is>
          <t>VÄSTMANLANDS LÄN</t>
        </is>
      </c>
      <c r="G201" t="inlineStr">
        <is>
          <t>SKINNSKATTEBERG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45520</v>
      </c>
      <c r="E202" s="1" t="n">
        <v>46248</v>
      </c>
      <c r="F202" t="inlineStr">
        <is>
          <t>VÄSTMANLANDS LÄN</t>
        </is>
      </c>
      <c r="G202" t="inlineStr">
        <is>
          <t>SKINNSKATTEBERG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46248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46248</v>
      </c>
      <c r="F204" t="inlineStr">
        <is>
          <t>VÄSTMANLANDS LÄN</t>
        </is>
      </c>
      <c r="G204" t="inlineStr">
        <is>
          <t>SKINNSKATTEBERG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46248</v>
      </c>
      <c r="F205" t="inlineStr">
        <is>
          <t>VÄSTMANLANDS LÄN</t>
        </is>
      </c>
      <c r="G205" t="inlineStr">
        <is>
          <t>SKINNSKATTEBERG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46248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45480</v>
      </c>
      <c r="E207" s="1" t="n">
        <v>46248</v>
      </c>
      <c r="F207" t="inlineStr">
        <is>
          <t>VÄSTMANLANDS LÄN</t>
        </is>
      </c>
      <c r="G207" t="inlineStr">
        <is>
          <t>SKINNSKATTEBERG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19093-2023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45048</v>
      </c>
      <c r="E208" s="1" t="n">
        <v>46248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28831-2025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45820</v>
      </c>
      <c r="E209" s="1" t="n">
        <v>46248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28873-2025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45820</v>
      </c>
      <c r="E210" s="1" t="n">
        <v>46248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46248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29808-2025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45825</v>
      </c>
      <c r="E212" s="1" t="n">
        <v>46248</v>
      </c>
      <c r="F212" t="inlineStr">
        <is>
          <t>VÄSTMANLANDS LÄN</t>
        </is>
      </c>
      <c r="G212" t="inlineStr">
        <is>
          <t>SKINNSKATTEBERG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29810-2025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45825</v>
      </c>
      <c r="E213" s="1" t="n">
        <v>46248</v>
      </c>
      <c r="F213" t="inlineStr">
        <is>
          <t>VÄSTMANLANDS LÄN</t>
        </is>
      </c>
      <c r="G213" t="inlineStr">
        <is>
          <t>SKINNSKATTEBERG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46248</v>
      </c>
      <c r="F214" t="inlineStr">
        <is>
          <t>VÄSTMANLANDS LÄN</t>
        </is>
      </c>
      <c r="G214" t="inlineStr">
        <is>
          <t>SKINNSKATTEBERG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46248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46248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30439-2025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45827</v>
      </c>
      <c r="E217" s="1" t="n">
        <v>46248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46248</v>
      </c>
      <c r="F218" t="inlineStr">
        <is>
          <t>VÄSTMANLANDS LÄN</t>
        </is>
      </c>
      <c r="G218" t="inlineStr">
        <is>
          <t>SKINNSKATTEBERG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46248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46248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31234-2025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45832</v>
      </c>
      <c r="E221" s="1" t="n">
        <v>46248</v>
      </c>
      <c r="F221" t="inlineStr">
        <is>
          <t>VÄSTMANLANDS LÄN</t>
        </is>
      </c>
      <c r="G221" t="inlineStr">
        <is>
          <t>SKINNSKATTEBERG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46248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46248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19943-2026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46248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45506</v>
      </c>
      <c r="E225" s="1" t="n">
        <v>46248</v>
      </c>
      <c r="F225" t="inlineStr">
        <is>
          <t>VÄSTMANLANDS LÄN</t>
        </is>
      </c>
      <c r="G225" t="inlineStr">
        <is>
          <t>SKINNSKATTEBERG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45897</v>
      </c>
      <c r="E226" s="1" t="n">
        <v>46248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40776-2025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45897</v>
      </c>
      <c r="E227" s="1" t="n">
        <v>46248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46248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46248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40783-2025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45897</v>
      </c>
      <c r="E230" s="1" t="n">
        <v>46248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40782-2025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45897</v>
      </c>
      <c r="E231" s="1" t="n">
        <v>46248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45586</v>
      </c>
      <c r="E232" s="1" t="n">
        <v>46248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46248</v>
      </c>
      <c r="F233" t="inlineStr">
        <is>
          <t>VÄSTMANLANDS LÄN</t>
        </is>
      </c>
      <c r="G233" t="inlineStr">
        <is>
          <t>SKINNSKATTEBERG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46248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20563-2026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46140</v>
      </c>
      <c r="E235" s="1" t="n">
        <v>46248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45848</v>
      </c>
      <c r="E236" s="1" t="n">
        <v>46248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45853</v>
      </c>
      <c r="E237" s="1" t="n">
        <v>46248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45554</v>
      </c>
      <c r="E238" s="1" t="n">
        <v>46248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35205-2025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45853</v>
      </c>
      <c r="E239" s="1" t="n">
        <v>46248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45170</v>
      </c>
      <c r="E240" s="1" t="n">
        <v>46248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46248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46248</v>
      </c>
      <c r="F242" t="inlineStr">
        <is>
          <t>VÄSTMANLANDS LÄN</t>
        </is>
      </c>
      <c r="G242" t="inlineStr">
        <is>
          <t>SKINNSKATTEBERG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14736-2023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45014</v>
      </c>
      <c r="E243" s="1" t="n">
        <v>46248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45762</v>
      </c>
      <c r="E244" s="1" t="n">
        <v>46248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46248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46248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46248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46248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46248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46248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46248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46248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45592</v>
      </c>
      <c r="E253" s="1" t="n">
        <v>46248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46248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46248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46248</v>
      </c>
      <c r="F256" t="inlineStr">
        <is>
          <t>VÄSTMANLANDS LÄN</t>
        </is>
      </c>
      <c r="G256" t="inlineStr">
        <is>
          <t>SKINNSKATTEBERG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46248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45377</v>
      </c>
      <c r="E258" s="1" t="n">
        <v>46248</v>
      </c>
      <c r="F258" t="inlineStr">
        <is>
          <t>VÄSTMANLANDS LÄN</t>
        </is>
      </c>
      <c r="G258" t="inlineStr">
        <is>
          <t>SKINNSKATTEBERG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46248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46248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46248</v>
      </c>
      <c r="F261" t="inlineStr">
        <is>
          <t>VÄSTMANLANDS LÄN</t>
        </is>
      </c>
      <c r="G261" t="inlineStr">
        <is>
          <t>SKINNSKATTEBERG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46248</v>
      </c>
      <c r="F262" t="inlineStr">
        <is>
          <t>VÄSTMANLANDS LÄN</t>
        </is>
      </c>
      <c r="G262" t="inlineStr">
        <is>
          <t>SKINNSKATTEBERG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46248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46248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46248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22779-2026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46157</v>
      </c>
      <c r="E266" s="1" t="n">
        <v>46248</v>
      </c>
      <c r="F266" t="inlineStr">
        <is>
          <t>VÄSTMANLANDS LÄN</t>
        </is>
      </c>
      <c r="G266" t="inlineStr">
        <is>
          <t>SKINNSKATTEBERG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46248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28941-2024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45480</v>
      </c>
      <c r="E268" s="1" t="n">
        <v>46248</v>
      </c>
      <c r="F268" t="inlineStr">
        <is>
          <t>VÄSTMANLANDS LÄN</t>
        </is>
      </c>
      <c r="G268" t="inlineStr">
        <is>
          <t>SKINNSKATTEBERG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46248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44184-2025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45915</v>
      </c>
      <c r="E270" s="1" t="n">
        <v>46248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41581-2025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45901</v>
      </c>
      <c r="E271" s="1" t="n">
        <v>46248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22285-2025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45786</v>
      </c>
      <c r="E272" s="1" t="n">
        <v>46248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46248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46248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46248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46248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45119-2025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46248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45919</v>
      </c>
      <c r="E278" s="1" t="n">
        <v>46248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45115-2025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45919</v>
      </c>
      <c r="E279" s="1" t="n">
        <v>46248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46248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46248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46248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46248</v>
      </c>
      <c r="F283" t="inlineStr">
        <is>
          <t>VÄSTMANLANDS LÄN</t>
        </is>
      </c>
      <c r="G283" t="inlineStr">
        <is>
          <t>SKINNSKATTEBERG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46248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45476</v>
      </c>
      <c r="E285" s="1" t="n">
        <v>46248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46248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47543-2025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46248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46248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46210</v>
      </c>
      <c r="E289" s="1" t="n">
        <v>46248</v>
      </c>
      <c r="F289" t="inlineStr">
        <is>
          <t>VÄSTMANLANDS LÄN</t>
        </is>
      </c>
      <c r="G289" t="inlineStr">
        <is>
          <t>SKINNSKATTEBERG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46248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46248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46248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46248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46248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46248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51026-2025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45947</v>
      </c>
      <c r="E296" s="1" t="n">
        <v>46248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51028-2025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45947</v>
      </c>
      <c r="E297" s="1" t="n">
        <v>46248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46248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46248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46248</v>
      </c>
      <c r="F300" t="inlineStr">
        <is>
          <t>VÄSTMANLANDS LÄN</t>
        </is>
      </c>
      <c r="G300" t="inlineStr">
        <is>
          <t>SKINNSKATTEBERG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46248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46248</v>
      </c>
      <c r="F302" t="inlineStr">
        <is>
          <t>VÄSTMANLANDS LÄN</t>
        </is>
      </c>
      <c r="G302" t="inlineStr">
        <is>
          <t>SKINNSKATTEBERG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46248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45960</v>
      </c>
      <c r="E304" s="1" t="n">
        <v>46248</v>
      </c>
      <c r="F304" t="inlineStr">
        <is>
          <t>VÄSTMANLANDS LÄN</t>
        </is>
      </c>
      <c r="G304" t="inlineStr">
        <is>
          <t>SKINNSKATTEBERG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46248</v>
      </c>
      <c r="F305" t="inlineStr">
        <is>
          <t>VÄSTMANLANDS LÄN</t>
        </is>
      </c>
      <c r="G305" t="inlineStr">
        <is>
          <t>SKINNSKATTEBERG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46248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46178</v>
      </c>
      <c r="E307" s="1" t="n">
        <v>46248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46248</v>
      </c>
      <c r="F308" t="inlineStr">
        <is>
          <t>VÄSTMANLANDS LÄN</t>
        </is>
      </c>
      <c r="G308" t="inlineStr">
        <is>
          <t>SKINNSKATTEBERG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46248</v>
      </c>
      <c r="F309" t="inlineStr">
        <is>
          <t>VÄSTMANLANDS LÄN</t>
        </is>
      </c>
      <c r="G309" t="inlineStr">
        <is>
          <t>SKINNSKATTEBERG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46248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26356-2026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46182</v>
      </c>
      <c r="E311" s="1" t="n">
        <v>46248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55007-2025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46248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45967</v>
      </c>
      <c r="E313" s="1" t="n">
        <v>46248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46248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46182</v>
      </c>
      <c r="E315" s="1" t="n">
        <v>46248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46248</v>
      </c>
      <c r="F316" t="inlineStr">
        <is>
          <t>VÄSTMANLANDS LÄN</t>
        </is>
      </c>
      <c r="G316" t="inlineStr">
        <is>
          <t>SKINNSKATTEBERG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46248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46248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46248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56465-2025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45975</v>
      </c>
      <c r="E320" s="1" t="n">
        <v>46248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46248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46248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46248</v>
      </c>
      <c r="F323" t="inlineStr">
        <is>
          <t>VÄSTMANLANDS LÄN</t>
        </is>
      </c>
      <c r="G323" t="inlineStr">
        <is>
          <t>SKINNSKATTEBERG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46248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46248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46248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46248</v>
      </c>
      <c r="F327" t="inlineStr">
        <is>
          <t>VÄSTMANLANDS LÄN</t>
        </is>
      </c>
      <c r="G327" t="inlineStr">
        <is>
          <t>SKINNSKATTEBERG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46248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46248</v>
      </c>
      <c r="F329" t="inlineStr">
        <is>
          <t>VÄSTMANLANDS LÄN</t>
        </is>
      </c>
      <c r="G329" t="inlineStr">
        <is>
          <t>SKINNSKATTEBERG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46248</v>
      </c>
      <c r="F330" t="inlineStr">
        <is>
          <t>VÄSTMANLANDS LÄN</t>
        </is>
      </c>
      <c r="G330" t="inlineStr">
        <is>
          <t>SKINNSKATTEBERG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46248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6.7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46248</v>
      </c>
      <c r="F332" t="inlineStr">
        <is>
          <t>VÄSTMANLANDS LÄN</t>
        </is>
      </c>
      <c r="G332" t="inlineStr">
        <is>
          <t>SKINNSKATTEBERG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46248</v>
      </c>
      <c r="F333" t="inlineStr">
        <is>
          <t>VÄSTMANLANDS LÄN</t>
        </is>
      </c>
      <c r="G333" t="inlineStr">
        <is>
          <t>SKINNSKATTEBERG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46248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46248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46248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46248</v>
      </c>
      <c r="F337" t="inlineStr">
        <is>
          <t>VÄSTMANLANDS LÄN</t>
        </is>
      </c>
      <c r="G337" t="inlineStr">
        <is>
          <t>SKINNSKATTEBERG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46197</v>
      </c>
      <c r="E338" s="1" t="n">
        <v>46248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46248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46248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45686</v>
      </c>
      <c r="E341" s="1" t="n">
        <v>46248</v>
      </c>
      <c r="F341" t="inlineStr">
        <is>
          <t>VÄSTMANLANDS LÄN</t>
        </is>
      </c>
      <c r="G341" t="inlineStr">
        <is>
          <t>SKINNSKATTEBERG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46248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46248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46248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46248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46248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46200</v>
      </c>
      <c r="E347" s="1" t="n">
        <v>46248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46248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46248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46200</v>
      </c>
      <c r="E350" s="1" t="n">
        <v>46248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46248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46248</v>
      </c>
      <c r="F352" t="inlineStr">
        <is>
          <t>VÄSTMANLANDS LÄN</t>
        </is>
      </c>
      <c r="G352" t="inlineStr">
        <is>
          <t>SKINNSKATTEBERG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45901</v>
      </c>
      <c r="E353" s="1" t="n">
        <v>46248</v>
      </c>
      <c r="F353" t="inlineStr">
        <is>
          <t>VÄSTMANLANDS LÄN</t>
        </is>
      </c>
      <c r="G353" t="inlineStr">
        <is>
          <t>SKINNSKATTEBERG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46248</v>
      </c>
      <c r="F354" t="inlineStr">
        <is>
          <t>VÄSTMANLANDS LÄN</t>
        </is>
      </c>
      <c r="G354" t="inlineStr">
        <is>
          <t>SKINNSKATTEBERG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29026-2026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46248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46247</v>
      </c>
      <c r="E356" s="1" t="n">
        <v>46248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46248</v>
      </c>
      <c r="F357" t="inlineStr">
        <is>
          <t>VÄSTMANLANDS LÄN</t>
        </is>
      </c>
      <c r="G357" t="inlineStr">
        <is>
          <t>SKINNSKATTEBERG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46248</v>
      </c>
      <c r="F358" t="inlineStr">
        <is>
          <t>VÄSTMANLANDS LÄN</t>
        </is>
      </c>
      <c r="G358" t="inlineStr">
        <is>
          <t>SKINNSKATTEBERG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46051</v>
      </c>
      <c r="E359" s="1" t="n">
        <v>46248</v>
      </c>
      <c r="F359" t="inlineStr">
        <is>
          <t>VÄSTMANLANDS LÄN</t>
        </is>
      </c>
      <c r="G359" t="inlineStr">
        <is>
          <t>SKINNSKATTEBERG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5693-2026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46051</v>
      </c>
      <c r="E360" s="1" t="n">
        <v>46248</v>
      </c>
      <c r="F360" t="inlineStr">
        <is>
          <t>VÄSTMANLANDS LÄN</t>
        </is>
      </c>
      <c r="G360" t="inlineStr">
        <is>
          <t>SKINNSKATTEBERG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46051</v>
      </c>
      <c r="E361" s="1" t="n">
        <v>46248</v>
      </c>
      <c r="F361" t="inlineStr">
        <is>
          <t>VÄSTMANLANDS LÄN</t>
        </is>
      </c>
      <c r="G361" t="inlineStr">
        <is>
          <t>SKINNSKATTEBERG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46248</v>
      </c>
      <c r="F362" t="inlineStr">
        <is>
          <t>VÄSTMANLANDS LÄN</t>
        </is>
      </c>
      <c r="G362" t="inlineStr">
        <is>
          <t>SKINNSKATTEBERG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46248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46248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15955-2026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46108</v>
      </c>
      <c r="E365" s="1" t="n">
        <v>46248</v>
      </c>
      <c r="F365" t="inlineStr">
        <is>
          <t>VÄSTMANLANDS LÄN</t>
        </is>
      </c>
      <c r="G365" t="inlineStr">
        <is>
          <t>SKINNSKATTEBERG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46107</v>
      </c>
      <c r="E366" s="1" t="n">
        <v>46248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16136-2026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46108</v>
      </c>
      <c r="E367" s="1" t="n">
        <v>46248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46248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46111</v>
      </c>
      <c r="E369" s="1" t="n">
        <v>46248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46248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46248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46114</v>
      </c>
      <c r="E372" s="1" t="n">
        <v>46248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46248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46248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18948-2026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46248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19540-2026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46134</v>
      </c>
      <c r="E376" s="1" t="n">
        <v>46248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19541-2026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46134</v>
      </c>
      <c r="E377" s="1" t="n">
        <v>46248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19582-2026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46134</v>
      </c>
      <c r="E378" s="1" t="n">
        <v>46248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22611-2024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45447</v>
      </c>
      <c r="E379" s="1" t="n">
        <v>46248</v>
      </c>
      <c r="F379" t="inlineStr">
        <is>
          <t>VÄSTMANLANDS LÄN</t>
        </is>
      </c>
      <c r="G379" t="inlineStr">
        <is>
          <t>SKINNSKATTEBERG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36248-2024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45534</v>
      </c>
      <c r="E380" s="1" t="n">
        <v>46248</v>
      </c>
      <c r="F380" t="inlineStr">
        <is>
          <t>VÄSTMANLANDS LÄN</t>
        </is>
      </c>
      <c r="G380" t="inlineStr">
        <is>
          <t>SKINNSKATTEBERG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1765-2024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45435</v>
      </c>
      <c r="E381" s="1" t="n">
        <v>46248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1462-2025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45786</v>
      </c>
      <c r="E382" s="1" t="n">
        <v>46248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1931-2025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45827</v>
      </c>
      <c r="E383" s="1" t="n">
        <v>46248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2177-2025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45853</v>
      </c>
      <c r="E384" s="1" t="n">
        <v>46248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2422-2025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46248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2421-2025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46248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2420-2025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46248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2456-2025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45901</v>
      </c>
      <c r="E388" s="1" t="n">
        <v>46248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2578-2025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45915</v>
      </c>
      <c r="E389" s="1" t="n">
        <v>46248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1325-2026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46147</v>
      </c>
      <c r="E390" s="1" t="n">
        <v>46248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65.3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46182</v>
      </c>
      <c r="E391" s="1" t="n">
        <v>46248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1868-2026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46199</v>
      </c>
      <c r="E392" s="1" t="n">
        <v>46248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2026-08-14T01:52:17Z</dcterms:created>
  <dcterms:modified xmlns:dcterms="http://purl.org/dc/terms/" xmlns:xsi="http://www.w3.org/2001/XMLSchema-instance" xsi:type="dcterms:W3CDTF">2026-08-14T01:52:18Z</dcterms:modified>
</cp:coreProperties>
</file>