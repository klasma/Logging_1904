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46301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46301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46301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46301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46301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46301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46301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46301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46301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19656-2025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46301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3.8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Rynkskinn
Ullticka
Brandticka</t>
        </is>
      </c>
      <c r="W16">
        <f>HYPERLINK("https://klasma.github.io/Logging_1904/artfynd/A 19656-2025 artfynd.xlsx", "A 19656-2025")</f>
        <v/>
      </c>
      <c r="X16">
        <f>HYPERLINK("https://klasma.github.io/Logging_1904/kartor/A 19656-2025 karta.png", "A 19656-2025")</f>
        <v/>
      </c>
      <c r="Y16">
        <f>HYPERLINK("https://klasma.github.io/Logging_1904/kartor_geotiff/A 19656-2025 georefererad karta.tif", "A 19656-2025")</f>
        <v/>
      </c>
      <c r="AA16">
        <f>HYPERLINK("https://klasma.github.io/Logging_1904/klagomål/A 19656-2025 FSC-klagomål.docx", "A 19656-2025")</f>
        <v/>
      </c>
      <c r="AB16">
        <f>HYPERLINK("https://klasma.github.io/Logging_1904/klagomålsmail/A 19656-2025 FSC-klagomål mail.docx", "A 19656-2025")</f>
        <v/>
      </c>
      <c r="AC16">
        <f>HYPERLINK("https://klasma.github.io/Logging_1904/tillsyn/A 19656-2025 tillsynsbegäran.docx", "A 19656-2025")</f>
        <v/>
      </c>
      <c r="AD16">
        <f>HYPERLINK("https://klasma.github.io/Logging_1904/tillsynsmail/A 19656-2025 tillsynsbegäran mail.docx", "A 19656-2025")</f>
        <v/>
      </c>
    </row>
    <row r="17" ht="15" customHeight="1">
      <c r="A17" t="inlineStr">
        <is>
          <t>A 58355-2025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46301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6</v>
      </c>
      <c r="U17" t="n">
        <v>4</v>
      </c>
      <c r="V17" s="2" t="inlineStr">
        <is>
          <t>Brunpudrad nållav
Vedtrappmossa
Brandticka</t>
        </is>
      </c>
      <c r="W17">
        <f>HYPERLINK("https://klasma.github.io/Logging_1904/artfynd/A 58355-2025 artfynd.xlsx", "A 58355-2025")</f>
        <v/>
      </c>
      <c r="X17">
        <f>HYPERLINK("https://klasma.github.io/Logging_1904/kartor/A 58355-2025 karta.png", "A 58355-2025")</f>
        <v/>
      </c>
      <c r="Y17">
        <f>HYPERLINK("https://klasma.github.io/Logging_1904/kartor_geotiff/A 58355-2025 georefererad karta.tif", "A 58355-2025")</f>
        <v/>
      </c>
      <c r="AA17">
        <f>HYPERLINK("https://klasma.github.io/Logging_1904/klagomål/A 58355-2025 FSC-klagomål.docx", "A 58355-2025")</f>
        <v/>
      </c>
      <c r="AB17">
        <f>HYPERLINK("https://klasma.github.io/Logging_1904/klagomålsmail/A 58355-2025 FSC-klagomål mail.docx", "A 58355-2025")</f>
        <v/>
      </c>
      <c r="AC17">
        <f>HYPERLINK("https://klasma.github.io/Logging_1904/tillsyn/A 58355-2025 tillsynsbegäran.docx", "A 58355-2025")</f>
        <v/>
      </c>
      <c r="AD17">
        <f>HYPERLINK("https://klasma.github.io/Logging_1904/tillsynsmail/A 58355-2025 tillsynsbegäran mail.docx", "A 58355-2025")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46301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46301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46301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46301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46301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39618-2026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46301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4.3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Raggbock
Motaggsvamp</t>
        </is>
      </c>
      <c r="W23">
        <f>HYPERLINK("https://klasma.github.io/Logging_1904/artfynd/A 39618-2026 artfynd.xlsx", "A 39618-2026")</f>
        <v/>
      </c>
      <c r="X23">
        <f>HYPERLINK("https://klasma.github.io/Logging_1904/kartor/A 39618-2026 karta.png", "A 39618-2026")</f>
        <v/>
      </c>
      <c r="Y23">
        <f>HYPERLINK("https://klasma.github.io/Logging_1904/kartor_geotiff/A 39618-2026 georefererad karta.tif", "A 39618-2026")</f>
        <v/>
      </c>
      <c r="AA23">
        <f>HYPERLINK("https://klasma.github.io/Logging_1904/klagomål/A 39618-2026 FSC-klagomål.docx", "A 39618-2026")</f>
        <v/>
      </c>
      <c r="AB23">
        <f>HYPERLINK("https://klasma.github.io/Logging_1904/klagomålsmail/A 39618-2026 FSC-klagomål mail.docx", "A 39618-2026")</f>
        <v/>
      </c>
      <c r="AC23">
        <f>HYPERLINK("https://klasma.github.io/Logging_1904/tillsyn/A 39618-2026 tillsynsbegäran.docx", "A 39618-2026")</f>
        <v/>
      </c>
      <c r="AD23">
        <f>HYPERLINK("https://klasma.github.io/Logging_1904/tillsynsmail/A 39618-2026 tillsynsbegäran mail.docx", "A 39618-2026")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46301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46301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46301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46301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46301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46301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46301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46301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31006-2025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45832</v>
      </c>
      <c r="E32" s="1" t="n">
        <v>46301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HYPERLINK("https://klasma.github.io/Logging_1904/artfynd/A 31006-2025 artfynd.xlsx", "A 31006-2025")</f>
        <v/>
      </c>
      <c r="X32">
        <f>HYPERLINK("https://klasma.github.io/Logging_1904/kartor/A 31006-2025 karta.png", "A 31006-2025")</f>
        <v/>
      </c>
      <c r="Y32">
        <f>HYPERLINK("https://klasma.github.io/Logging_1904/kartor_geotiff/A 31006-2025 georefererad karta.tif", "A 31006-2025")</f>
        <v/>
      </c>
      <c r="AA32">
        <f>HYPERLINK("https://klasma.github.io/Logging_1904/klagomål/A 31006-2025 FSC-klagomål.docx", "A 31006-2025")</f>
        <v/>
      </c>
      <c r="AB32">
        <f>HYPERLINK("https://klasma.github.io/Logging_1904/klagomålsmail/A 31006-2025 FSC-klagomål mail.docx", "A 31006-2025")</f>
        <v/>
      </c>
      <c r="AC32">
        <f>HYPERLINK("https://klasma.github.io/Logging_1904/tillsyn/A 31006-2025 tillsynsbegäran.docx", "A 31006-2025")</f>
        <v/>
      </c>
      <c r="AD32">
        <f>HYPERLINK("https://klasma.github.io/Logging_1904/tillsynsmail/A 31006-2025 tillsynsbegäran mail.docx", "A 31006-2025")</f>
        <v/>
      </c>
      <c r="AE32">
        <f>HYPERLINK("https://klasma.github.io/Logging_1904/fåglar/A 31006-2025 prioriterade fågelarter.docx", "A 31006-2025")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46301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47538-2025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46301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6.6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Svinrot</t>
        </is>
      </c>
      <c r="W35">
        <f>HYPERLINK("https://klasma.github.io/Logging_1904/artfynd/A 47538-2025 artfynd.xlsx", "A 47538-2025")</f>
        <v/>
      </c>
      <c r="X35">
        <f>HYPERLINK("https://klasma.github.io/Logging_1904/kartor/A 47538-2025 karta.png", "A 47538-2025")</f>
        <v/>
      </c>
      <c r="Y35">
        <f>HYPERLINK("https://klasma.github.io/Logging_1904/kartor_geotiff/A 47538-2025 georefererad karta.tif", "A 47538-2025")</f>
        <v/>
      </c>
      <c r="AA35">
        <f>HYPERLINK("https://klasma.github.io/Logging_1904/klagomål/A 47538-2025 FSC-klagomål.docx", "A 47538-2025")</f>
        <v/>
      </c>
      <c r="AB35">
        <f>HYPERLINK("https://klasma.github.io/Logging_1904/klagomålsmail/A 47538-2025 FSC-klagomål mail.docx", "A 47538-2025")</f>
        <v/>
      </c>
      <c r="AC35">
        <f>HYPERLINK("https://klasma.github.io/Logging_1904/tillsyn/A 47538-2025 tillsynsbegäran.docx", "A 47538-2025")</f>
        <v/>
      </c>
      <c r="AD35">
        <f>HYPERLINK("https://klasma.github.io/Logging_1904/tillsynsmail/A 47538-2025 tillsynsbegäran mail.docx", "A 47538-2025")</f>
        <v/>
      </c>
    </row>
    <row r="36" ht="15" customHeight="1">
      <c r="A36" t="inlineStr">
        <is>
          <t>A 15734-2026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46107</v>
      </c>
      <c r="E36" s="1" t="n">
        <v>46301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Koppartaggsvamp</t>
        </is>
      </c>
      <c r="W36">
        <f>HYPERLINK("https://klasma.github.io/Logging_1904/artfynd/A 15734-2026 artfynd.xlsx", "A 15734-2026")</f>
        <v/>
      </c>
      <c r="X36">
        <f>HYPERLINK("https://klasma.github.io/Logging_1904/kartor/A 15734-2026 karta.png", "A 15734-2026")</f>
        <v/>
      </c>
      <c r="Y36">
        <f>HYPERLINK("https://klasma.github.io/Logging_1904/kartor_geotiff/A 15734-2026 georefererad karta.tif", "A 15734-2026")</f>
        <v/>
      </c>
      <c r="AA36">
        <f>HYPERLINK("https://klasma.github.io/Logging_1904/klagomål/A 15734-2026 FSC-klagomål.docx", "A 15734-2026")</f>
        <v/>
      </c>
      <c r="AB36">
        <f>HYPERLINK("https://klasma.github.io/Logging_1904/klagomålsmail/A 15734-2026 FSC-klagomål mail.docx", "A 15734-2026")</f>
        <v/>
      </c>
      <c r="AC36">
        <f>HYPERLINK("https://klasma.github.io/Logging_1904/tillsyn/A 15734-2026 tillsynsbegäran.docx", "A 15734-2026")</f>
        <v/>
      </c>
      <c r="AD36">
        <f>HYPERLINK("https://klasma.github.io/Logging_1904/tillsynsmail/A 15734-2026 tillsynsbegäran mail.docx", "A 15734-2026")</f>
        <v/>
      </c>
    </row>
    <row r="37" ht="15" customHeight="1">
      <c r="A37" t="inlineStr">
        <is>
          <t>A 57395-2025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46301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Vedticka</t>
        </is>
      </c>
      <c r="W37">
        <f>HYPERLINK("https://klasma.github.io/Logging_1904/artfynd/A 57395-2025 artfynd.xlsx", "A 57395-2025")</f>
        <v/>
      </c>
      <c r="X37">
        <f>HYPERLINK("https://klasma.github.io/Logging_1904/kartor/A 57395-2025 karta.png", "A 57395-2025")</f>
        <v/>
      </c>
      <c r="Y37">
        <f>HYPERLINK("https://klasma.github.io/Logging_1904/kartor_geotiff/A 57395-2025 georefererad karta.tif", "A 57395-2025")</f>
        <v/>
      </c>
      <c r="AA37">
        <f>HYPERLINK("https://klasma.github.io/Logging_1904/klagomål/A 57395-2025 FSC-klagomål.docx", "A 57395-2025")</f>
        <v/>
      </c>
      <c r="AB37">
        <f>HYPERLINK("https://klasma.github.io/Logging_1904/klagomålsmail/A 57395-2025 FSC-klagomål mail.docx", "A 57395-2025")</f>
        <v/>
      </c>
      <c r="AC37">
        <f>HYPERLINK("https://klasma.github.io/Logging_1904/tillsyn/A 57395-2025 tillsynsbegäran.docx", "A 57395-2025")</f>
        <v/>
      </c>
      <c r="AD37">
        <f>HYPERLINK("https://klasma.github.io/Logging_1904/tillsynsmail/A 57395-2025 tillsynsbegäran mail.docx", "A 57395-2025")</f>
        <v/>
      </c>
    </row>
    <row r="38" ht="15" customHeight="1">
      <c r="A38" t="inlineStr">
        <is>
          <t>A 49630-2024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46301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7.3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HYPERLINK("https://klasma.github.io/Logging_1904/artfynd/A 49630-2024 artfynd.xlsx", "A 49630-2024")</f>
        <v/>
      </c>
      <c r="X38">
        <f>HYPERLINK("https://klasma.github.io/Logging_1904/kartor/A 49630-2024 karta.png", "A 49630-2024")</f>
        <v/>
      </c>
      <c r="Y38">
        <f>HYPERLINK("https://klasma.github.io/Logging_1904/kartor_geotiff/A 49630-2024 georefererad karta.tif", "A 49630-2024")</f>
        <v/>
      </c>
      <c r="AA38">
        <f>HYPERLINK("https://klasma.github.io/Logging_1904/klagomål/A 49630-2024 FSC-klagomål.docx", "A 49630-2024")</f>
        <v/>
      </c>
      <c r="AB38">
        <f>HYPERLINK("https://klasma.github.io/Logging_1904/klagomålsmail/A 49630-2024 FSC-klagomål mail.docx", "A 49630-2024")</f>
        <v/>
      </c>
      <c r="AC38">
        <f>HYPERLINK("https://klasma.github.io/Logging_1904/tillsyn/A 49630-2024 tillsynsbegäran.docx", "A 49630-2024")</f>
        <v/>
      </c>
      <c r="AD38">
        <f>HYPERLINK("https://klasma.github.io/Logging_1904/tillsynsmail/A 49630-2024 tillsynsbegäran mail.docx", "A 49630-2024")</f>
        <v/>
      </c>
    </row>
    <row r="39" ht="15" customHeight="1">
      <c r="A39" t="inlineStr">
        <is>
          <t>A 43413-2024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45568</v>
      </c>
      <c r="E39" s="1" t="n">
        <v>46301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Orange taggsvamp</t>
        </is>
      </c>
      <c r="W39">
        <f>HYPERLINK("https://klasma.github.io/Logging_1904/artfynd/A 43413-2024 artfynd.xlsx", "A 43413-2024")</f>
        <v/>
      </c>
      <c r="X39">
        <f>HYPERLINK("https://klasma.github.io/Logging_1904/kartor/A 43413-2024 karta.png", "A 43413-2024")</f>
        <v/>
      </c>
      <c r="Y39">
        <f>HYPERLINK("https://klasma.github.io/Logging_1904/kartor_geotiff/A 43413-2024 georefererad karta.tif", "A 43413-2024")</f>
        <v/>
      </c>
      <c r="AA39">
        <f>HYPERLINK("https://klasma.github.io/Logging_1904/klagomål/A 43413-2024 FSC-klagomål.docx", "A 43413-2024")</f>
        <v/>
      </c>
      <c r="AB39">
        <f>HYPERLINK("https://klasma.github.io/Logging_1904/klagomålsmail/A 43413-2024 FSC-klagomål mail.docx", "A 43413-2024")</f>
        <v/>
      </c>
      <c r="AC39">
        <f>HYPERLINK("https://klasma.github.io/Logging_1904/tillsyn/A 43413-2024 tillsynsbegäran.docx", "A 43413-2024")</f>
        <v/>
      </c>
      <c r="AD39">
        <f>HYPERLINK("https://klasma.github.io/Logging_1904/tillsynsmail/A 43413-2024 tillsynsbegäran mail.docx", "A 43413-2024")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46301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46301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20559-2026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46301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20559-2026 artfynd.xlsx", "A 20559-2026")</f>
        <v/>
      </c>
      <c r="X42">
        <f>HYPERLINK("https://klasma.github.io/Logging_1904/kartor/A 20559-2026 karta.png", "A 20559-2026")</f>
        <v/>
      </c>
      <c r="Y42">
        <f>HYPERLINK("https://klasma.github.io/Logging_1904/kartor_geotiff/A 20559-2026 georefererad karta.tif", "A 20559-2026")</f>
        <v/>
      </c>
      <c r="AA42">
        <f>HYPERLINK("https://klasma.github.io/Logging_1904/klagomål/A 20559-2026 FSC-klagomål.docx", "A 20559-2026")</f>
        <v/>
      </c>
      <c r="AB42">
        <f>HYPERLINK("https://klasma.github.io/Logging_1904/klagomålsmail/A 20559-2026 FSC-klagomål mail.docx", "A 20559-2026")</f>
        <v/>
      </c>
      <c r="AC42">
        <f>HYPERLINK("https://klasma.github.io/Logging_1904/tillsyn/A 20559-2026 tillsynsbegäran.docx", "A 20559-2026")</f>
        <v/>
      </c>
      <c r="AD42">
        <f>HYPERLINK("https://klasma.github.io/Logging_1904/tillsynsmail/A 20559-2026 tillsynsbegäran mail.docx", "A 20559-2026")</f>
        <v/>
      </c>
      <c r="AE42">
        <f>HYPERLINK("https://klasma.github.io/Logging_1904/fåglar/A 20559-2026 prioriterade fågelarter.docx", "A 20559-2026")</f>
        <v/>
      </c>
    </row>
    <row r="43" ht="15" customHeight="1">
      <c r="A43" t="inlineStr">
        <is>
          <t>A 21849-2026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46301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12.5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HYPERLINK("https://klasma.github.io/Logging_1904/artfynd/A 21849-2026 artfynd.xlsx", "A 21849-2026")</f>
        <v/>
      </c>
      <c r="X43">
        <f>HYPERLINK("https://klasma.github.io/Logging_1904/kartor/A 21849-2026 karta.png", "A 21849-2026")</f>
        <v/>
      </c>
      <c r="Y43">
        <f>HYPERLINK("https://klasma.github.io/Logging_1904/kartor_geotiff/A 21849-2026 georefererad karta.tif", "A 21849-2026")</f>
        <v/>
      </c>
      <c r="Z43">
        <f>HYPERLINK("https://klasma.github.io/Logging_1904/knärot/A 21849-2026 karta knärot.png", "A 21849-2026")</f>
        <v/>
      </c>
      <c r="AA43">
        <f>HYPERLINK("https://klasma.github.io/Logging_1904/klagomål/A 21849-2026 FSC-klagomål.docx", "A 21849-2026")</f>
        <v/>
      </c>
      <c r="AB43">
        <f>HYPERLINK("https://klasma.github.io/Logging_1904/klagomålsmail/A 21849-2026 FSC-klagomål mail.docx", "A 21849-2026")</f>
        <v/>
      </c>
      <c r="AC43">
        <f>HYPERLINK("https://klasma.github.io/Logging_1904/tillsyn/A 21849-2026 tillsynsbegäran.docx", "A 21849-2026")</f>
        <v/>
      </c>
      <c r="AD43">
        <f>HYPERLINK("https://klasma.github.io/Logging_1904/tillsynsmail/A 21849-2026 tillsynsbegäran mail.docx", "A 21849-2026")</f>
        <v/>
      </c>
    </row>
    <row r="44" ht="15" customHeight="1">
      <c r="A44" t="inlineStr">
        <is>
          <t>A 19205-2024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46301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Järpe</t>
        </is>
      </c>
      <c r="W44">
        <f>HYPERLINK("https://klasma.github.io/Logging_1904/artfynd/A 19205-2024 artfynd.xlsx", "A 19205-2024")</f>
        <v/>
      </c>
      <c r="X44">
        <f>HYPERLINK("https://klasma.github.io/Logging_1904/kartor/A 19205-2024 karta.png", "A 19205-2024")</f>
        <v/>
      </c>
      <c r="Y44">
        <f>HYPERLINK("https://klasma.github.io/Logging_1904/kartor_geotiff/A 19205-2024 georefererad karta.tif", "A 19205-2024")</f>
        <v/>
      </c>
      <c r="AA44">
        <f>HYPERLINK("https://klasma.github.io/Logging_1904/klagomål/A 19205-2024 FSC-klagomål.docx", "A 19205-2024")</f>
        <v/>
      </c>
      <c r="AB44">
        <f>HYPERLINK("https://klasma.github.io/Logging_1904/klagomålsmail/A 19205-2024 FSC-klagomål mail.docx", "A 19205-2024")</f>
        <v/>
      </c>
      <c r="AC44">
        <f>HYPERLINK("https://klasma.github.io/Logging_1904/tillsyn/A 19205-2024 tillsynsbegäran.docx", "A 19205-2024")</f>
        <v/>
      </c>
      <c r="AD44">
        <f>HYPERLINK("https://klasma.github.io/Logging_1904/tillsynsmail/A 19205-2024 tillsynsbegäran mail.docx", "A 19205-2024")</f>
        <v/>
      </c>
      <c r="AE44">
        <f>HYPERLINK("https://klasma.github.io/Logging_1904/fåglar/A 19205-2024 prioriterade fågelarter.docx", "A 19205-2024")</f>
        <v/>
      </c>
    </row>
    <row r="45" ht="15" customHeight="1">
      <c r="A45" t="inlineStr">
        <is>
          <t>A 24492-2026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46301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24492-2026 artfynd.xlsx", "A 24492-2026")</f>
        <v/>
      </c>
      <c r="X45">
        <f>HYPERLINK("https://klasma.github.io/Logging_1904/kartor/A 24492-2026 karta.png", "A 24492-2026")</f>
        <v/>
      </c>
      <c r="Y45">
        <f>HYPERLINK("https://klasma.github.io/Logging_1904/kartor_geotiff/A 24492-2026 georefererad karta.tif", "A 24492-2026")</f>
        <v/>
      </c>
      <c r="AA45">
        <f>HYPERLINK("https://klasma.github.io/Logging_1904/klagomål/A 24492-2026 FSC-klagomål.docx", "A 24492-2026")</f>
        <v/>
      </c>
      <c r="AB45">
        <f>HYPERLINK("https://klasma.github.io/Logging_1904/klagomålsmail/A 24492-2026 FSC-klagomål mail.docx", "A 24492-2026")</f>
        <v/>
      </c>
      <c r="AC45">
        <f>HYPERLINK("https://klasma.github.io/Logging_1904/tillsyn/A 24492-2026 tillsynsbegäran.docx", "A 24492-2026")</f>
        <v/>
      </c>
      <c r="AD45">
        <f>HYPERLINK("https://klasma.github.io/Logging_1904/tillsynsmail/A 24492-2026 tillsynsbegäran mail.docx", "A 24492-2026")</f>
        <v/>
      </c>
      <c r="AE45">
        <f>HYPERLINK("https://klasma.github.io/Logging_1904/fåglar/A 24492-2026 prioriterade fågelarter.docx", "A 24492-2026")</f>
        <v/>
      </c>
    </row>
    <row r="46" ht="15" customHeight="1">
      <c r="A46" t="inlineStr">
        <is>
          <t>A 24944-2026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46174</v>
      </c>
      <c r="E46" s="1" t="n">
        <v>46301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8.4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HYPERLINK("https://klasma.github.io/Logging_1904/artfynd/A 24944-2026 artfynd.xlsx", "A 24944-2026")</f>
        <v/>
      </c>
      <c r="X46">
        <f>HYPERLINK("https://klasma.github.io/Logging_1904/kartor/A 24944-2026 karta.png", "A 24944-2026")</f>
        <v/>
      </c>
      <c r="Y46">
        <f>HYPERLINK("https://klasma.github.io/Logging_1904/kartor_geotiff/A 24944-2026 georefererad karta.tif", "A 24944-2026")</f>
        <v/>
      </c>
      <c r="AA46">
        <f>HYPERLINK("https://klasma.github.io/Logging_1904/klagomål/A 24944-2026 FSC-klagomål.docx", "A 24944-2026")</f>
        <v/>
      </c>
      <c r="AB46">
        <f>HYPERLINK("https://klasma.github.io/Logging_1904/klagomålsmail/A 24944-2026 FSC-klagomål mail.docx", "A 24944-2026")</f>
        <v/>
      </c>
      <c r="AC46">
        <f>HYPERLINK("https://klasma.github.io/Logging_1904/tillsyn/A 24944-2026 tillsynsbegäran.docx", "A 24944-2026")</f>
        <v/>
      </c>
      <c r="AD46">
        <f>HYPERLINK("https://klasma.github.io/Logging_1904/tillsynsmail/A 24944-2026 tillsynsbegäran mail.docx", "A 24944-2026")</f>
        <v/>
      </c>
    </row>
    <row r="47" ht="15" customHeight="1">
      <c r="A47" t="inlineStr">
        <is>
          <t>A 26860-2026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46301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10.3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HYPERLINK("https://klasma.github.io/Logging_1904/artfynd/A 26860-2026 artfynd.xlsx", "A 26860-2026")</f>
        <v/>
      </c>
      <c r="X47">
        <f>HYPERLINK("https://klasma.github.io/Logging_1904/kartor/A 26860-2026 karta.png", "A 26860-2026")</f>
        <v/>
      </c>
      <c r="Y47">
        <f>HYPERLINK("https://klasma.github.io/Logging_1904/kartor_geotiff/A 26860-2026 georefererad karta.tif", "A 26860-2026")</f>
        <v/>
      </c>
      <c r="AA47">
        <f>HYPERLINK("https://klasma.github.io/Logging_1904/klagomål/A 26860-2026 FSC-klagomål.docx", "A 26860-2026")</f>
        <v/>
      </c>
      <c r="AB47">
        <f>HYPERLINK("https://klasma.github.io/Logging_1904/klagomålsmail/A 26860-2026 FSC-klagomål mail.docx", "A 26860-2026")</f>
        <v/>
      </c>
      <c r="AC47">
        <f>HYPERLINK("https://klasma.github.io/Logging_1904/tillsyn/A 26860-2026 tillsynsbegäran.docx", "A 26860-2026")</f>
        <v/>
      </c>
      <c r="AD47">
        <f>HYPERLINK("https://klasma.github.io/Logging_1904/tillsynsmail/A 26860-2026 tillsynsbegäran mail.docx", "A 26860-2026")</f>
        <v/>
      </c>
      <c r="AE47">
        <f>HYPERLINK("https://klasma.github.io/Logging_1904/fåglar/A 26860-2026 prioriterade fågelarter.docx", "A 26860-2026")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46301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28312-2023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45099</v>
      </c>
      <c r="E49" s="1" t="n">
        <v>46301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Skrovlig taggsvamp</t>
        </is>
      </c>
      <c r="W49">
        <f>HYPERLINK("https://klasma.github.io/Logging_1904/artfynd/A 28312-2023 artfynd.xlsx", "A 28312-2023")</f>
        <v/>
      </c>
      <c r="X49">
        <f>HYPERLINK("https://klasma.github.io/Logging_1904/kartor/A 28312-2023 karta.png", "A 28312-2023")</f>
        <v/>
      </c>
      <c r="Y49">
        <f>HYPERLINK("https://klasma.github.io/Logging_1904/kartor_geotiff/A 28312-2023 georefererad karta.tif", "A 28312-2023")</f>
        <v/>
      </c>
      <c r="AA49">
        <f>HYPERLINK("https://klasma.github.io/Logging_1904/klagomål/A 28312-2023 FSC-klagomål.docx", "A 28312-2023")</f>
        <v/>
      </c>
      <c r="AB49">
        <f>HYPERLINK("https://klasma.github.io/Logging_1904/klagomålsmail/A 28312-2023 FSC-klagomål mail.docx", "A 28312-2023")</f>
        <v/>
      </c>
      <c r="AC49">
        <f>HYPERLINK("https://klasma.github.io/Logging_1904/tillsyn/A 28312-2023 tillsynsbegäran.docx", "A 28312-2023")</f>
        <v/>
      </c>
      <c r="AD49">
        <f>HYPERLINK("https://klasma.github.io/Logging_1904/tillsynsmail/A 28312-2023 tillsynsbegäran mail.docx", "A 28312-2023")</f>
        <v/>
      </c>
    </row>
    <row r="50" ht="15" customHeight="1">
      <c r="A50" t="inlineStr">
        <is>
          <t>A 35371-2026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46301</v>
      </c>
      <c r="F50" t="inlineStr">
        <is>
          <t>VÄSTMANLANDS LÄN</t>
        </is>
      </c>
      <c r="G50" t="inlineStr">
        <is>
          <t>SKINNSKATTEBERG</t>
        </is>
      </c>
      <c r="I50" t="n">
        <v>1.3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HYPERLINK("https://klasma.github.io/Logging_1904/artfynd/A 35371-2026 artfynd.xlsx", "A 35371-2026")</f>
        <v/>
      </c>
      <c r="X50">
        <f>HYPERLINK("https://klasma.github.io/Logging_1904/kartor/A 35371-2026 karta.png", "A 35371-2026")</f>
        <v/>
      </c>
      <c r="Y50">
        <f>HYPERLINK("https://klasma.github.io/Logging_1904/kartor_geotiff/A 35371-2026 georefererad karta.tif", "A 35371-2026")</f>
        <v/>
      </c>
      <c r="AA50">
        <f>HYPERLINK("https://klasma.github.io/Logging_1904/klagomål/A 35371-2026 FSC-klagomål.docx", "A 35371-2026")</f>
        <v/>
      </c>
      <c r="AB50">
        <f>HYPERLINK("https://klasma.github.io/Logging_1904/klagomålsmail/A 35371-2026 FSC-klagomål mail.docx", "A 35371-2026")</f>
        <v/>
      </c>
      <c r="AC50">
        <f>HYPERLINK("https://klasma.github.io/Logging_1904/tillsyn/A 35371-2026 tillsynsbegäran.docx", "A 35371-2026")</f>
        <v/>
      </c>
      <c r="AD50">
        <f>HYPERLINK("https://klasma.github.io/Logging_1904/tillsynsmail/A 35371-2026 tillsynsbegäran mail.docx", "A 35371-2026")</f>
        <v/>
      </c>
      <c r="AE50">
        <f>HYPERLINK("https://klasma.github.io/Logging_1904/fåglar/A 35371-2026 prioriterade fågelarter.docx", "A 35371-2026")</f>
        <v/>
      </c>
    </row>
    <row r="51" ht="15" customHeight="1">
      <c r="A51" t="inlineStr">
        <is>
          <t>A 57747-2023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45246</v>
      </c>
      <c r="E51" s="1" t="n">
        <v>46301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Myopa fasciata</t>
        </is>
      </c>
      <c r="W51">
        <f>HYPERLINK("https://klasma.github.io/Logging_1904/artfynd/A 57747-2023 artfynd.xlsx", "A 57747-2023")</f>
        <v/>
      </c>
      <c r="X51">
        <f>HYPERLINK("https://klasma.github.io/Logging_1904/kartor/A 57747-2023 karta.png", "A 57747-2023")</f>
        <v/>
      </c>
      <c r="Y51">
        <f>HYPERLINK("https://klasma.github.io/Logging_1904/kartor_geotiff/A 57747-2023 georefererad karta.tif", "A 57747-2023")</f>
        <v/>
      </c>
      <c r="AA51">
        <f>HYPERLINK("https://klasma.github.io/Logging_1904/klagomål/A 57747-2023 FSC-klagomål.docx", "A 57747-2023")</f>
        <v/>
      </c>
      <c r="AB51">
        <f>HYPERLINK("https://klasma.github.io/Logging_1904/klagomålsmail/A 57747-2023 FSC-klagomål mail.docx", "A 57747-2023")</f>
        <v/>
      </c>
      <c r="AC51">
        <f>HYPERLINK("https://klasma.github.io/Logging_1904/tillsyn/A 57747-2023 tillsynsbegäran.docx", "A 57747-2023")</f>
        <v/>
      </c>
      <c r="AD51">
        <f>HYPERLINK("https://klasma.github.io/Logging_1904/tillsynsmail/A 57747-2023 tillsynsbegäran mail.docx", "A 57747-2023")</f>
        <v/>
      </c>
    </row>
    <row r="52" ht="15" customHeight="1">
      <c r="A52" t="inlineStr">
        <is>
          <t>A 36263-2026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46268</v>
      </c>
      <c r="E52" s="1" t="n">
        <v>46301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HYPERLINK("https://klasma.github.io/Logging_1904/artfynd/A 36263-2026 artfynd.xlsx", "A 36263-2026")</f>
        <v/>
      </c>
      <c r="X52">
        <f>HYPERLINK("https://klasma.github.io/Logging_1904/kartor/A 36263-2026 karta.png", "A 36263-2026")</f>
        <v/>
      </c>
      <c r="Y52">
        <f>HYPERLINK("https://klasma.github.io/Logging_1904/kartor_geotiff/A 36263-2026 georefererad karta.tif", "A 36263-2026")</f>
        <v/>
      </c>
      <c r="AA52">
        <f>HYPERLINK("https://klasma.github.io/Logging_1904/klagomål/A 36263-2026 FSC-klagomål.docx", "A 36263-2026")</f>
        <v/>
      </c>
      <c r="AB52">
        <f>HYPERLINK("https://klasma.github.io/Logging_1904/klagomålsmail/A 36263-2026 FSC-klagomål mail.docx", "A 36263-2026")</f>
        <v/>
      </c>
      <c r="AC52">
        <f>HYPERLINK("https://klasma.github.io/Logging_1904/tillsyn/A 36263-2026 tillsynsbegäran.docx", "A 36263-2026")</f>
        <v/>
      </c>
      <c r="AD52">
        <f>HYPERLINK("https://klasma.github.io/Logging_1904/tillsynsmail/A 36263-2026 tillsynsbegäran mail.docx", "A 36263-2026")</f>
        <v/>
      </c>
    </row>
    <row r="53" ht="15" customHeight="1">
      <c r="A53" t="inlineStr">
        <is>
          <t>A 37900-2026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46301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9.199999999999999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HYPERLINK("https://klasma.github.io/Logging_1904/artfynd/A 37900-2026 artfynd.xlsx", "A 37900-2026")</f>
        <v/>
      </c>
      <c r="X53">
        <f>HYPERLINK("https://klasma.github.io/Logging_1904/kartor/A 37900-2026 karta.png", "A 37900-2026")</f>
        <v/>
      </c>
      <c r="Y53">
        <f>HYPERLINK("https://klasma.github.io/Logging_1904/kartor_geotiff/A 37900-2026 georefererad karta.tif", "A 37900-2026")</f>
        <v/>
      </c>
      <c r="AA53">
        <f>HYPERLINK("https://klasma.github.io/Logging_1904/klagomål/A 37900-2026 FSC-klagomål.docx", "A 37900-2026")</f>
        <v/>
      </c>
      <c r="AB53">
        <f>HYPERLINK("https://klasma.github.io/Logging_1904/klagomålsmail/A 37900-2026 FSC-klagomål mail.docx", "A 37900-2026")</f>
        <v/>
      </c>
      <c r="AC53">
        <f>HYPERLINK("https://klasma.github.io/Logging_1904/tillsyn/A 37900-2026 tillsynsbegäran.docx", "A 37900-2026")</f>
        <v/>
      </c>
      <c r="AD53">
        <f>HYPERLINK("https://klasma.github.io/Logging_1904/tillsynsmail/A 37900-2026 tillsynsbegäran mail.docx", "A 37900-2026")</f>
        <v/>
      </c>
      <c r="AE53">
        <f>HYPERLINK("https://klasma.github.io/Logging_1904/fåglar/A 37900-2026 prioriterade fågelarter.docx", "A 37900-2026")</f>
        <v/>
      </c>
    </row>
    <row r="54" ht="15" customHeight="1">
      <c r="A54" t="inlineStr">
        <is>
          <t>A 38734-2026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46285</v>
      </c>
      <c r="E54" s="1" t="n">
        <v>46301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6.1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HYPERLINK("https://klasma.github.io/Logging_1904/artfynd/A 38734-2026 artfynd.xlsx", "A 38734-2026")</f>
        <v/>
      </c>
      <c r="X54">
        <f>HYPERLINK("https://klasma.github.io/Logging_1904/kartor/A 38734-2026 karta.png", "A 38734-2026")</f>
        <v/>
      </c>
      <c r="Y54">
        <f>HYPERLINK("https://klasma.github.io/Logging_1904/kartor_geotiff/A 38734-2026 georefererad karta.tif", "A 38734-2026")</f>
        <v/>
      </c>
      <c r="AA54">
        <f>HYPERLINK("https://klasma.github.io/Logging_1904/klagomål/A 38734-2026 FSC-klagomål.docx", "A 38734-2026")</f>
        <v/>
      </c>
      <c r="AB54">
        <f>HYPERLINK("https://klasma.github.io/Logging_1904/klagomålsmail/A 38734-2026 FSC-klagomål mail.docx", "A 38734-2026")</f>
        <v/>
      </c>
      <c r="AC54">
        <f>HYPERLINK("https://klasma.github.io/Logging_1904/tillsyn/A 38734-2026 tillsynsbegäran.docx", "A 38734-2026")</f>
        <v/>
      </c>
      <c r="AD54">
        <f>HYPERLINK("https://klasma.github.io/Logging_1904/tillsynsmail/A 38734-2026 tillsynsbegäran mail.docx", "A 38734-2026")</f>
        <v/>
      </c>
    </row>
    <row r="55" ht="15" customHeight="1">
      <c r="A55" t="inlineStr">
        <is>
          <t>A 38733-2026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46285</v>
      </c>
      <c r="E55" s="1" t="n">
        <v>46301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4.2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HYPERLINK("https://klasma.github.io/Logging_1904/artfynd/A 38733-2026 artfynd.xlsx", "A 38733-2026")</f>
        <v/>
      </c>
      <c r="X55">
        <f>HYPERLINK("https://klasma.github.io/Logging_1904/kartor/A 38733-2026 karta.png", "A 38733-2026")</f>
        <v/>
      </c>
      <c r="Y55">
        <f>HYPERLINK("https://klasma.github.io/Logging_1904/kartor_geotiff/A 38733-2026 georefererad karta.tif", "A 38733-2026")</f>
        <v/>
      </c>
      <c r="AA55">
        <f>HYPERLINK("https://klasma.github.io/Logging_1904/klagomål/A 38733-2026 FSC-klagomål.docx", "A 38733-2026")</f>
        <v/>
      </c>
      <c r="AB55">
        <f>HYPERLINK("https://klasma.github.io/Logging_1904/klagomålsmail/A 38733-2026 FSC-klagomål mail.docx", "A 38733-2026")</f>
        <v/>
      </c>
      <c r="AC55">
        <f>HYPERLINK("https://klasma.github.io/Logging_1904/tillsyn/A 38733-2026 tillsynsbegäran.docx", "A 38733-2026")</f>
        <v/>
      </c>
      <c r="AD55">
        <f>HYPERLINK("https://klasma.github.io/Logging_1904/tillsynsmail/A 38733-2026 tillsynsbegäran mail.docx", "A 38733-2026")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46301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46301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46301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46301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46301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46301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46301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46301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46301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46301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46301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46301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46301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46301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46301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46301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46301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46301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46301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46301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46301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46301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Kyrkan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46301</v>
      </c>
      <c r="F78" t="inlineStr">
        <is>
          <t>VÄSTMANLANDS LÄN</t>
        </is>
      </c>
      <c r="G78" t="inlineStr">
        <is>
          <t>SKINNSKATTEBERG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46301</v>
      </c>
      <c r="F79" t="inlineStr">
        <is>
          <t>VÄSTMANLANDS LÄN</t>
        </is>
      </c>
      <c r="G79" t="inlineStr">
        <is>
          <t>SKINNSKATTEBERG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46301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46301</v>
      </c>
      <c r="F81" t="inlineStr">
        <is>
          <t>VÄSTMANLANDS LÄN</t>
        </is>
      </c>
      <c r="G81" t="inlineStr">
        <is>
          <t>SKINNSKATTEBERG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45434</v>
      </c>
      <c r="E82" s="1" t="n">
        <v>46301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46301</v>
      </c>
      <c r="F83" t="inlineStr">
        <is>
          <t>VÄSTMANLANDS LÄN</t>
        </is>
      </c>
      <c r="G83" t="inlineStr">
        <is>
          <t>SKINNSKATTEBERG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46301</v>
      </c>
      <c r="F84" t="inlineStr">
        <is>
          <t>VÄSTMANLANDS LÄN</t>
        </is>
      </c>
      <c r="G84" t="inlineStr">
        <is>
          <t>SKINNSKATTEBERG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46301</v>
      </c>
      <c r="F85" t="inlineStr">
        <is>
          <t>VÄSTMANLANDS LÄN</t>
        </is>
      </c>
      <c r="G85" t="inlineStr">
        <is>
          <t>SKINNSKATTEBERG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45447</v>
      </c>
      <c r="E86" s="1" t="n">
        <v>46301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16729-2024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45410</v>
      </c>
      <c r="E87" s="1" t="n">
        <v>46301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37210-2022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46301</v>
      </c>
      <c r="F88" t="inlineStr">
        <is>
          <t>VÄSTMANLANDS LÄN</t>
        </is>
      </c>
      <c r="G88" t="inlineStr">
        <is>
          <t>SKINNSKATTEBERG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27653-2023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46301</v>
      </c>
      <c r="F89" t="inlineStr">
        <is>
          <t>VÄSTMANLANDS LÄN</t>
        </is>
      </c>
      <c r="G89" t="inlineStr">
        <is>
          <t>SKINNSKATTEBERG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45247</v>
      </c>
      <c r="E90" s="1" t="n">
        <v>46301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46301</v>
      </c>
      <c r="F91" t="inlineStr">
        <is>
          <t>VÄSTMANLANDS LÄN</t>
        </is>
      </c>
      <c r="G91" t="inlineStr">
        <is>
          <t>SKINNSKATTEBERG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46301</v>
      </c>
      <c r="F92" t="inlineStr">
        <is>
          <t>VÄSTMANLANDS LÄN</t>
        </is>
      </c>
      <c r="G92" t="inlineStr">
        <is>
          <t>SKINNSKATTEBERG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55428-2021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44475</v>
      </c>
      <c r="E93" s="1" t="n">
        <v>46301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45054</v>
      </c>
      <c r="E94" s="1" t="n">
        <v>46301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16088-2024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45406</v>
      </c>
      <c r="E95" s="1" t="n">
        <v>46301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46301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46301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28940-2024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45480</v>
      </c>
      <c r="E98" s="1" t="n">
        <v>46301</v>
      </c>
      <c r="F98" t="inlineStr">
        <is>
          <t>VÄSTMANLANDS LÄN</t>
        </is>
      </c>
      <c r="G98" t="inlineStr">
        <is>
          <t>SKINNSKATTEBERG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31629-2024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45506</v>
      </c>
      <c r="E99" s="1" t="n">
        <v>46301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40176-2024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46301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28873-2025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45820</v>
      </c>
      <c r="E101" s="1" t="n">
        <v>46301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28831-2025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45820</v>
      </c>
      <c r="E102" s="1" t="n">
        <v>46301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29808-2025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45825</v>
      </c>
      <c r="E103" s="1" t="n">
        <v>46301</v>
      </c>
      <c r="F103" t="inlineStr">
        <is>
          <t>VÄSTMANLANDS LÄN</t>
        </is>
      </c>
      <c r="G103" t="inlineStr">
        <is>
          <t>SKINNSKATTEBERG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29810-2025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45825</v>
      </c>
      <c r="E104" s="1" t="n">
        <v>46301</v>
      </c>
      <c r="F104" t="inlineStr">
        <is>
          <t>VÄSTMANLANDS LÄN</t>
        </is>
      </c>
      <c r="G104" t="inlineStr">
        <is>
          <t>SKINNSKATTEBERG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31302-2024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45504</v>
      </c>
      <c r="E105" s="1" t="n">
        <v>46301</v>
      </c>
      <c r="F105" t="inlineStr">
        <is>
          <t>VÄSTMANLANDS LÄN</t>
        </is>
      </c>
      <c r="G105" t="inlineStr">
        <is>
          <t>SKINNSKATTEBERG</t>
        </is>
      </c>
      <c r="I105" t="n">
        <v>17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30439-2025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45827</v>
      </c>
      <c r="E106" s="1" t="n">
        <v>46301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45555</v>
      </c>
      <c r="E107" s="1" t="n">
        <v>46301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46301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5704-2026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46051</v>
      </c>
      <c r="E109" s="1" t="n">
        <v>46301</v>
      </c>
      <c r="F109" t="inlineStr">
        <is>
          <t>VÄSTMANLANDS LÄN</t>
        </is>
      </c>
      <c r="G109" t="inlineStr">
        <is>
          <t>SKINNSKATTEBERG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46051</v>
      </c>
      <c r="E110" s="1" t="n">
        <v>46301</v>
      </c>
      <c r="F110" t="inlineStr">
        <is>
          <t>VÄSTMANLANDS LÄN</t>
        </is>
      </c>
      <c r="G110" t="inlineStr">
        <is>
          <t>SKINNSKATTEBERG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5675-2026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46051</v>
      </c>
      <c r="E111" s="1" t="n">
        <v>46301</v>
      </c>
      <c r="F111" t="inlineStr">
        <is>
          <t>VÄSTMANLANDS LÄN</t>
        </is>
      </c>
      <c r="G111" t="inlineStr">
        <is>
          <t>SKINNSKATTEBERG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46301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46301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45832</v>
      </c>
      <c r="E114" s="1" t="n">
        <v>46301</v>
      </c>
      <c r="F114" t="inlineStr">
        <is>
          <t>VÄSTMANLANDS LÄN</t>
        </is>
      </c>
      <c r="G114" t="inlineStr">
        <is>
          <t>SKINNSKATTEBERG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40782-2025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45897</v>
      </c>
      <c r="E115" s="1" t="n">
        <v>46301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46301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46301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46301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46301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40776-2025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45897</v>
      </c>
      <c r="E120" s="1" t="n">
        <v>46301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46301</v>
      </c>
      <c r="F121" t="inlineStr">
        <is>
          <t>VÄSTMANLANDS LÄN</t>
        </is>
      </c>
      <c r="G121" t="inlineStr">
        <is>
          <t>SKINNSKATTEBERG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44967</v>
      </c>
      <c r="E122" s="1" t="n">
        <v>46301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45252</v>
      </c>
      <c r="E123" s="1" t="n">
        <v>46301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45848</v>
      </c>
      <c r="E124" s="1" t="n">
        <v>46301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46301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Kyrkan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45554</v>
      </c>
      <c r="E126" s="1" t="n">
        <v>46301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46301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46301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45853</v>
      </c>
      <c r="E129" s="1" t="n">
        <v>46301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46301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35205-2025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45853</v>
      </c>
      <c r="E131" s="1" t="n">
        <v>46301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46301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44184-2025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45915</v>
      </c>
      <c r="E133" s="1" t="n">
        <v>46301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45156</v>
      </c>
      <c r="E134" s="1" t="n">
        <v>46301</v>
      </c>
      <c r="F134" t="inlineStr">
        <is>
          <t>VÄSTMANLANDS LÄN</t>
        </is>
      </c>
      <c r="G134" t="inlineStr">
        <is>
          <t>SKINNSKATTEBERG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41581-2025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45901</v>
      </c>
      <c r="E135" s="1" t="n">
        <v>46301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46301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46301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46301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46301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45880</v>
      </c>
      <c r="E141" s="1" t="n">
        <v>46301</v>
      </c>
      <c r="F141" t="inlineStr">
        <is>
          <t>VÄSTMANLANDS LÄN</t>
        </is>
      </c>
      <c r="G141" t="inlineStr">
        <is>
          <t>SKINNSKATTEBERG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15184-2025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45744</v>
      </c>
      <c r="E142" s="1" t="n">
        <v>46301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46301</v>
      </c>
      <c r="F143" t="inlineStr">
        <is>
          <t>VÄSTMANLANDS LÄN</t>
        </is>
      </c>
      <c r="G143" t="inlineStr">
        <is>
          <t>SKINNSKATTEBERG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46301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46301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46301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46301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46301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46301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45610</v>
      </c>
      <c r="E150" s="1" t="n">
        <v>46301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45947</v>
      </c>
      <c r="E151" s="1" t="n">
        <v>46301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46301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46301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45947</v>
      </c>
      <c r="E154" s="1" t="n">
        <v>46301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36597-2024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45537</v>
      </c>
      <c r="E155" s="1" t="n">
        <v>46301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46301</v>
      </c>
      <c r="F156" t="inlineStr">
        <is>
          <t>VÄSTMANLANDS LÄN</t>
        </is>
      </c>
      <c r="G156" t="inlineStr">
        <is>
          <t>SKINNSKATTEBERG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46301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46301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30988-2022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44768</v>
      </c>
      <c r="E159" s="1" t="n">
        <v>46301</v>
      </c>
      <c r="F159" t="inlineStr">
        <is>
          <t>VÄSTMANLANDS LÄN</t>
        </is>
      </c>
      <c r="G159" t="inlineStr">
        <is>
          <t>SKINNSKATTEBERG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46301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46301</v>
      </c>
      <c r="F161" t="inlineStr">
        <is>
          <t>VÄSTMANLANDS LÄN</t>
        </is>
      </c>
      <c r="G161" t="inlineStr">
        <is>
          <t>SKINNSKATTEBERG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46301</v>
      </c>
      <c r="F162" t="inlineStr">
        <is>
          <t>VÄSTMANLANDS LÄN</t>
        </is>
      </c>
      <c r="G162" t="inlineStr">
        <is>
          <t>SKINNSKATTEBERG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46301</v>
      </c>
      <c r="F163" t="inlineStr">
        <is>
          <t>VÄSTMANLANDS LÄN</t>
        </is>
      </c>
      <c r="G163" t="inlineStr">
        <is>
          <t>SKINNSKATTEBERG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46301</v>
      </c>
      <c r="F164" t="inlineStr">
        <is>
          <t>VÄSTMANLANDS LÄN</t>
        </is>
      </c>
      <c r="G164" t="inlineStr">
        <is>
          <t>SKINNSKATTEBERG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46301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46301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46301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46301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46301</v>
      </c>
      <c r="F169" t="inlineStr">
        <is>
          <t>VÄSTMANLANDS LÄN</t>
        </is>
      </c>
      <c r="G169" t="inlineStr">
        <is>
          <t>SKINNSKATTEBERG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46301</v>
      </c>
      <c r="F170" t="inlineStr">
        <is>
          <t>VÄSTMANLANDS LÄN</t>
        </is>
      </c>
      <c r="G170" t="inlineStr">
        <is>
          <t>SKINNSKATTEBERG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46301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46301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46301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46301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46301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46107</v>
      </c>
      <c r="E176" s="1" t="n">
        <v>46301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15731-2026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46107</v>
      </c>
      <c r="E177" s="1" t="n">
        <v>46301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16136-2026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46108</v>
      </c>
      <c r="E178" s="1" t="n">
        <v>46301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15955-2026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46108</v>
      </c>
      <c r="E179" s="1" t="n">
        <v>46301</v>
      </c>
      <c r="F179" t="inlineStr">
        <is>
          <t>VÄSTMANLANDS LÄN</t>
        </is>
      </c>
      <c r="G179" t="inlineStr">
        <is>
          <t>SKINNSKATTEBERG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46301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46301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46301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45975</v>
      </c>
      <c r="E183" s="1" t="n">
        <v>46301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29708-2024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46301</v>
      </c>
      <c r="F184" t="inlineStr">
        <is>
          <t>VÄSTMANLANDS LÄN</t>
        </is>
      </c>
      <c r="G184" t="inlineStr">
        <is>
          <t>SKINNSKATTEBERG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46301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46119</v>
      </c>
      <c r="E186" s="1" t="n">
        <v>46301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46301</v>
      </c>
      <c r="F187" t="inlineStr">
        <is>
          <t>VÄSTMANLANDS LÄN</t>
        </is>
      </c>
      <c r="G187" t="inlineStr">
        <is>
          <t>SKINNSKATTEBERG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46301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45686</v>
      </c>
      <c r="E189" s="1" t="n">
        <v>46301</v>
      </c>
      <c r="F189" t="inlineStr">
        <is>
          <t>VÄSTMANLANDS LÄN</t>
        </is>
      </c>
      <c r="G189" t="inlineStr">
        <is>
          <t>SKINNSKATTEBERG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46301</v>
      </c>
      <c r="F190" t="inlineStr">
        <is>
          <t>VÄSTMANLANDS LÄN</t>
        </is>
      </c>
      <c r="G190" t="inlineStr">
        <is>
          <t>SKINNSKATTEBERG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45987</v>
      </c>
      <c r="E191" s="1" t="n">
        <v>46301</v>
      </c>
      <c r="F191" t="inlineStr">
        <is>
          <t>VÄSTMANLANDS LÄN</t>
        </is>
      </c>
      <c r="G191" t="inlineStr">
        <is>
          <t>SKINNSKATTEBERG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46129</v>
      </c>
      <c r="E192" s="1" t="n">
        <v>46301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46301</v>
      </c>
      <c r="F193" t="inlineStr">
        <is>
          <t>VÄSTMANLANDS LÄN</t>
        </is>
      </c>
      <c r="G193" t="inlineStr">
        <is>
          <t>SKINNSKATTEBERG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46301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46301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19582-2026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46134</v>
      </c>
      <c r="E196" s="1" t="n">
        <v>46301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19541-2026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46134</v>
      </c>
      <c r="E197" s="1" t="n">
        <v>46301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19540-2026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46134</v>
      </c>
      <c r="E198" s="1" t="n">
        <v>46301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46301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45406</v>
      </c>
      <c r="E200" s="1" t="n">
        <v>46301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46301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46301</v>
      </c>
      <c r="F202" t="inlineStr">
        <is>
          <t>VÄSTMANLANDS LÄN</t>
        </is>
      </c>
      <c r="G202" t="inlineStr">
        <is>
          <t>SKINNSKATTEBERG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46301</v>
      </c>
      <c r="F203" t="inlineStr">
        <is>
          <t>VÄSTMANLANDS LÄN</t>
        </is>
      </c>
      <c r="G203" t="inlineStr">
        <is>
          <t>SKINNSKATTEBERG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21576-2023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46301</v>
      </c>
      <c r="F204" t="inlineStr">
        <is>
          <t>VÄSTMANLANDS LÄN</t>
        </is>
      </c>
      <c r="G204" t="inlineStr">
        <is>
          <t>SKINNSKATTEBERG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46301</v>
      </c>
      <c r="F205" t="inlineStr">
        <is>
          <t>VÄSTMANLANDS LÄN</t>
        </is>
      </c>
      <c r="G205" t="inlineStr">
        <is>
          <t>SKINNSKATTEBERG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46301</v>
      </c>
      <c r="F206" t="inlineStr">
        <is>
          <t>VÄSTMANLANDS LÄN</t>
        </is>
      </c>
      <c r="G206" t="inlineStr">
        <is>
          <t>SKINNSKATTEBERG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58834-2022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44903</v>
      </c>
      <c r="E207" s="1" t="n">
        <v>46301</v>
      </c>
      <c r="F207" t="inlineStr">
        <is>
          <t>VÄSTMANLANDS LÄN</t>
        </is>
      </c>
      <c r="G207" t="inlineStr">
        <is>
          <t>SKINNSKATTEBERG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45555</v>
      </c>
      <c r="E208" s="1" t="n">
        <v>46301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45128</v>
      </c>
      <c r="E209" s="1" t="n">
        <v>46301</v>
      </c>
      <c r="F209" t="inlineStr">
        <is>
          <t>VÄSTMANLANDS LÄN</t>
        </is>
      </c>
      <c r="G209" t="inlineStr">
        <is>
          <t>SKINNSKATTEBERG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45534</v>
      </c>
      <c r="E210" s="1" t="n">
        <v>46301</v>
      </c>
      <c r="F210" t="inlineStr">
        <is>
          <t>VÄSTMANLANDS LÄN</t>
        </is>
      </c>
      <c r="G210" t="inlineStr">
        <is>
          <t>SKINNSKATTEBERG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46140</v>
      </c>
      <c r="E211" s="1" t="n">
        <v>46301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20563-2026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46140</v>
      </c>
      <c r="E212" s="1" t="n">
        <v>46301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45375</v>
      </c>
      <c r="E213" s="1" t="n">
        <v>46301</v>
      </c>
      <c r="F213" t="inlineStr">
        <is>
          <t>VÄSTMANLANDS LÄN</t>
        </is>
      </c>
      <c r="G213" t="inlineStr">
        <is>
          <t>SKINNSKATTEBERG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44965</v>
      </c>
      <c r="E214" s="1" t="n">
        <v>46301</v>
      </c>
      <c r="F214" t="inlineStr">
        <is>
          <t>VÄSTMANLANDS LÄN</t>
        </is>
      </c>
      <c r="G214" t="inlineStr">
        <is>
          <t>SKINNSKATTEBERG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45568</v>
      </c>
      <c r="E215" s="1" t="n">
        <v>46301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46301</v>
      </c>
      <c r="F216" t="inlineStr">
        <is>
          <t>VÄSTMANLANDS LÄN</t>
        </is>
      </c>
      <c r="G216" t="inlineStr">
        <is>
          <t>SKINNSKATTEBERG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46301</v>
      </c>
      <c r="F217" t="inlineStr">
        <is>
          <t>VÄSTMANLANDS LÄN</t>
        </is>
      </c>
      <c r="G217" t="inlineStr">
        <is>
          <t>SKINNSKATTEBERG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46301</v>
      </c>
      <c r="F218" t="inlineStr">
        <is>
          <t>VÄSTMANLANDS LÄN</t>
        </is>
      </c>
      <c r="G218" t="inlineStr">
        <is>
          <t>SKINNSKATTEBERG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44936</v>
      </c>
      <c r="E219" s="1" t="n">
        <v>46301</v>
      </c>
      <c r="F219" t="inlineStr">
        <is>
          <t>VÄSTMANLANDS LÄN</t>
        </is>
      </c>
      <c r="G219" t="inlineStr">
        <is>
          <t>SKINNSKATTEBERG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45527</v>
      </c>
      <c r="E220" s="1" t="n">
        <v>46301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46301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46301</v>
      </c>
      <c r="F222" t="inlineStr">
        <is>
          <t>VÄSTMANLANDS LÄN</t>
        </is>
      </c>
      <c r="G222" t="inlineStr">
        <is>
          <t>SKINNSKATTEBERG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45429</v>
      </c>
      <c r="E223" s="1" t="n">
        <v>46301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46142</v>
      </c>
      <c r="E224" s="1" t="n">
        <v>46301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66584-2021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44519</v>
      </c>
      <c r="E225" s="1" t="n">
        <v>46301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46301</v>
      </c>
      <c r="F226" t="inlineStr">
        <is>
          <t>VÄSTMANLANDS LÄN</t>
        </is>
      </c>
      <c r="G226" t="inlineStr">
        <is>
          <t>SKINNSKATTEBERG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46301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46301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46301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46301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46301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46301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46301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46301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42425-2023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45180</v>
      </c>
      <c r="E235" s="1" t="n">
        <v>46301</v>
      </c>
      <c r="F235" t="inlineStr">
        <is>
          <t>VÄSTMANLANDS LÄN</t>
        </is>
      </c>
      <c r="G235" t="inlineStr">
        <is>
          <t>SKINNSKATTEBERG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45401</v>
      </c>
      <c r="E236" s="1" t="n">
        <v>46301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18161-2024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45420</v>
      </c>
      <c r="E237" s="1" t="n">
        <v>46301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45014</v>
      </c>
      <c r="E238" s="1" t="n">
        <v>46301</v>
      </c>
      <c r="F238" t="inlineStr">
        <is>
          <t>VÄSTMANLANDS LÄN</t>
        </is>
      </c>
      <c r="G238" t="inlineStr">
        <is>
          <t>SKINNSKATTEBERG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14736-2023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46301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46301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46150</v>
      </c>
      <c r="E241" s="1" t="n">
        <v>46301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46301</v>
      </c>
      <c r="F242" t="inlineStr">
        <is>
          <t>VÄSTMANLANDS LÄN</t>
        </is>
      </c>
      <c r="G242" t="inlineStr">
        <is>
          <t>SKINNSKATTEBERG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60355-2024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45643</v>
      </c>
      <c r="E243" s="1" t="n">
        <v>46301</v>
      </c>
      <c r="F243" t="inlineStr">
        <is>
          <t>VÄSTMANLANDS LÄN</t>
        </is>
      </c>
      <c r="G243" t="inlineStr">
        <is>
          <t>SKINNSKATTEBERG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22779-2026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46157</v>
      </c>
      <c r="E244" s="1" t="n">
        <v>46301</v>
      </c>
      <c r="F244" t="inlineStr">
        <is>
          <t>VÄSTMANLANDS LÄN</t>
        </is>
      </c>
      <c r="G244" t="inlineStr">
        <is>
          <t>SKINNSKATTEBERG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45198</v>
      </c>
      <c r="E245" s="1" t="n">
        <v>46301</v>
      </c>
      <c r="F245" t="inlineStr">
        <is>
          <t>VÄSTMANLANDS LÄN</t>
        </is>
      </c>
      <c r="G245" t="inlineStr">
        <is>
          <t>SKINNSKATTEBERG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46301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46301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46301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46301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46301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46301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46301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46301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46301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46301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46301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24495-2026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46301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46301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46301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46177</v>
      </c>
      <c r="E260" s="1" t="n">
        <v>46301</v>
      </c>
      <c r="F260" t="inlineStr">
        <is>
          <t>VÄSTMANLANDS LÄN</t>
        </is>
      </c>
      <c r="G260" t="inlineStr">
        <is>
          <t>SKINNSKATTEBERG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46301</v>
      </c>
      <c r="F261" t="inlineStr">
        <is>
          <t>VÄSTMANLANDS LÄN</t>
        </is>
      </c>
      <c r="G261" t="inlineStr">
        <is>
          <t>SKINNSKATTEBERG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45174</v>
      </c>
      <c r="E262" s="1" t="n">
        <v>46301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46301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46301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46301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46301</v>
      </c>
      <c r="F266" t="inlineStr">
        <is>
          <t>VÄSTMANLANDS LÄN</t>
        </is>
      </c>
      <c r="G266" t="inlineStr">
        <is>
          <t>SKINNSKATTEBERG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46301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26356-2026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46182</v>
      </c>
      <c r="E268" s="1" t="n">
        <v>46301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44728</v>
      </c>
      <c r="E269" s="1" t="n">
        <v>46301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46182</v>
      </c>
      <c r="E270" s="1" t="n">
        <v>46301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46301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46185</v>
      </c>
      <c r="E272" s="1" t="n">
        <v>46301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46185</v>
      </c>
      <c r="E273" s="1" t="n">
        <v>46301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45407</v>
      </c>
      <c r="E274" s="1" t="n">
        <v>46301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46301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45174</v>
      </c>
      <c r="E276" s="1" t="n">
        <v>46301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40320-2023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45169</v>
      </c>
      <c r="E277" s="1" t="n">
        <v>46301</v>
      </c>
      <c r="F277" t="inlineStr">
        <is>
          <t>VÄSTMANLANDS LÄN</t>
        </is>
      </c>
      <c r="G277" t="inlineStr">
        <is>
          <t>SKINNSKATTEBERG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45420</v>
      </c>
      <c r="E278" s="1" t="n">
        <v>46301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46301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46301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46301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46301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46301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46301</v>
      </c>
      <c r="F284" t="inlineStr">
        <is>
          <t>VÄSTMANLANDS LÄN</t>
        </is>
      </c>
      <c r="G284" t="inlineStr">
        <is>
          <t>SKINNSKATTEBERG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46301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46301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45306</v>
      </c>
      <c r="E287" s="1" t="n">
        <v>46301</v>
      </c>
      <c r="F287" t="inlineStr">
        <is>
          <t>VÄSTMANLANDS LÄN</t>
        </is>
      </c>
      <c r="G287" t="inlineStr">
        <is>
          <t>SKINNSKATTEBERG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45306</v>
      </c>
      <c r="E288" s="1" t="n">
        <v>46301</v>
      </c>
      <c r="F288" t="inlineStr">
        <is>
          <t>VÄSTMANLANDS LÄN</t>
        </is>
      </c>
      <c r="G288" t="inlineStr">
        <is>
          <t>SKINNSKATTEBERG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45306</v>
      </c>
      <c r="E289" s="1" t="n">
        <v>46301</v>
      </c>
      <c r="F289" t="inlineStr">
        <is>
          <t>VÄSTMANLANDS LÄN</t>
        </is>
      </c>
      <c r="G289" t="inlineStr">
        <is>
          <t>SKINNSKATTEBERG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46301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46301</v>
      </c>
      <c r="F291" t="inlineStr">
        <is>
          <t>VÄSTMANLANDS LÄN</t>
        </is>
      </c>
      <c r="G291" t="inlineStr">
        <is>
          <t>SKINNSKATTEBERG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45686</v>
      </c>
      <c r="E292" s="1" t="n">
        <v>46301</v>
      </c>
      <c r="F292" t="inlineStr">
        <is>
          <t>VÄSTMANLANDS LÄN</t>
        </is>
      </c>
      <c r="G292" t="inlineStr">
        <is>
          <t>SKINNSKATTEBERG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44974</v>
      </c>
      <c r="E293" s="1" t="n">
        <v>46301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Kyrkan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46197</v>
      </c>
      <c r="E294" s="1" t="n">
        <v>46301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45393</v>
      </c>
      <c r="E295" s="1" t="n">
        <v>46301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46200</v>
      </c>
      <c r="E296" s="1" t="n">
        <v>46301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46301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46200</v>
      </c>
      <c r="E298" s="1" t="n">
        <v>46301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46301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46301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46301</v>
      </c>
      <c r="F301" t="inlineStr">
        <is>
          <t>VÄSTMANLANDS LÄN</t>
        </is>
      </c>
      <c r="G301" t="inlineStr">
        <is>
          <t>SKINNSKATTEBERG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46301</v>
      </c>
      <c r="F302" t="inlineStr">
        <is>
          <t>VÄSTMANLANDS LÄN</t>
        </is>
      </c>
      <c r="G302" t="inlineStr">
        <is>
          <t>SKINNSKATTEBERG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45063</v>
      </c>
      <c r="E303" s="1" t="n">
        <v>46301</v>
      </c>
      <c r="F303" t="inlineStr">
        <is>
          <t>VÄSTMANLANDS LÄN</t>
        </is>
      </c>
      <c r="G303" t="inlineStr">
        <is>
          <t>SKINNSKATTEBERG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45063</v>
      </c>
      <c r="E304" s="1" t="n">
        <v>46301</v>
      </c>
      <c r="F304" t="inlineStr">
        <is>
          <t>VÄSTMANLANDS LÄN</t>
        </is>
      </c>
      <c r="G304" t="inlineStr">
        <is>
          <t>SKINNSKATTEBERG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45532</v>
      </c>
      <c r="E305" s="1" t="n">
        <v>46301</v>
      </c>
      <c r="F305" t="inlineStr">
        <is>
          <t>VÄSTMANLANDS LÄN</t>
        </is>
      </c>
      <c r="G305" t="inlineStr">
        <is>
          <t>SKINNSKATTEBERG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46301</v>
      </c>
      <c r="F306" t="inlineStr">
        <is>
          <t>VÄSTMANLANDS LÄN</t>
        </is>
      </c>
      <c r="G306" t="inlineStr">
        <is>
          <t>SKINNSKATTEBERG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48825-2022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44859</v>
      </c>
      <c r="E307" s="1" t="n">
        <v>46301</v>
      </c>
      <c r="F307" t="inlineStr">
        <is>
          <t>VÄSTMANLANDS LÄN</t>
        </is>
      </c>
      <c r="G307" t="inlineStr">
        <is>
          <t>SKINNSKATTEBERG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46301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46301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35168-2026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46260</v>
      </c>
      <c r="E310" s="1" t="n">
        <v>46301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11826-2024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45376</v>
      </c>
      <c r="E311" s="1" t="n">
        <v>46301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46262</v>
      </c>
      <c r="E312" s="1" t="n">
        <v>46301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45058</v>
      </c>
      <c r="E313" s="1" t="n">
        <v>46301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35580-2026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46262</v>
      </c>
      <c r="E314" s="1" t="n">
        <v>46301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35582-2026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46262</v>
      </c>
      <c r="E315" s="1" t="n">
        <v>46301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46262</v>
      </c>
      <c r="E316" s="1" t="n">
        <v>46301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45048</v>
      </c>
      <c r="E317" s="1" t="n">
        <v>46301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45250</v>
      </c>
      <c r="E318" s="1" t="n">
        <v>46301</v>
      </c>
      <c r="F318" t="inlineStr">
        <is>
          <t>VÄSTMANLANDS LÄN</t>
        </is>
      </c>
      <c r="G318" t="inlineStr">
        <is>
          <t>SKINNSKATTEBERG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46301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35746-2026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46265</v>
      </c>
      <c r="E320" s="1" t="n">
        <v>46301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7103-2022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44603</v>
      </c>
      <c r="E321" s="1" t="n">
        <v>46301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Kyrkan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46301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46268</v>
      </c>
      <c r="E323" s="1" t="n">
        <v>46301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45111</v>
      </c>
      <c r="E324" s="1" t="n">
        <v>46301</v>
      </c>
      <c r="F324" t="inlineStr">
        <is>
          <t>VÄSTMANLANDS LÄN</t>
        </is>
      </c>
      <c r="G324" t="inlineStr">
        <is>
          <t>SKINNSKATTEBERG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46301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46301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46301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46274</v>
      </c>
      <c r="E328" s="1" t="n">
        <v>46301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29026-2026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46199</v>
      </c>
      <c r="E329" s="1" t="n">
        <v>46301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44964</v>
      </c>
      <c r="E330" s="1" t="n">
        <v>46301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13713-2024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45390</v>
      </c>
      <c r="E331" s="1" t="n">
        <v>46301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25843-2023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45090</v>
      </c>
      <c r="E332" s="1" t="n">
        <v>46301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46301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46301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46301</v>
      </c>
      <c r="F335" t="inlineStr">
        <is>
          <t>VÄSTMANLANDS LÄN</t>
        </is>
      </c>
      <c r="G335" t="inlineStr">
        <is>
          <t>SKINNSKATTEBERG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37899-2026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46279</v>
      </c>
      <c r="E336" s="1" t="n">
        <v>46301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59578-2024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45637</v>
      </c>
      <c r="E337" s="1" t="n">
        <v>46301</v>
      </c>
      <c r="F337" t="inlineStr">
        <is>
          <t>VÄSTMANLANDS LÄN</t>
        </is>
      </c>
      <c r="G337" t="inlineStr">
        <is>
          <t>SKINNSKATTEBERG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45006</v>
      </c>
      <c r="E338" s="1" t="n">
        <v>46301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Allmännings- och besparingsskogar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46301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45056</v>
      </c>
      <c r="E340" s="1" t="n">
        <v>46301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46262</v>
      </c>
      <c r="E341" s="1" t="n">
        <v>46301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45520</v>
      </c>
      <c r="E342" s="1" t="n">
        <v>46301</v>
      </c>
      <c r="F342" t="inlineStr">
        <is>
          <t>VÄSTMANLANDS LÄN</t>
        </is>
      </c>
      <c r="G342" t="inlineStr">
        <is>
          <t>SKINNSKATTEBERG</t>
        </is>
      </c>
      <c r="I342" t="n">
        <v>9.1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46301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54657-2022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44883</v>
      </c>
      <c r="E344" s="1" t="n">
        <v>46301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36288-2022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44803</v>
      </c>
      <c r="E345" s="1" t="n">
        <v>46301</v>
      </c>
      <c r="F345" t="inlineStr">
        <is>
          <t>VÄSTMANLANDS LÄN</t>
        </is>
      </c>
      <c r="G345" t="inlineStr">
        <is>
          <t>SKINNSKATTEBERG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44910</v>
      </c>
      <c r="E346" s="1" t="n">
        <v>46301</v>
      </c>
      <c r="F346" t="inlineStr">
        <is>
          <t>VÄSTMANLANDS LÄN</t>
        </is>
      </c>
      <c r="G346" t="inlineStr">
        <is>
          <t>SKINNSKATTEBERG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45134</v>
      </c>
      <c r="E347" s="1" t="n">
        <v>46301</v>
      </c>
      <c r="F347" t="inlineStr">
        <is>
          <t>VÄSTMANLANDS LÄN</t>
        </is>
      </c>
      <c r="G347" t="inlineStr">
        <is>
          <t>SKINNSKATTEBERG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15561-2024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45401</v>
      </c>
      <c r="E348" s="1" t="n">
        <v>46301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46301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45068</v>
      </c>
      <c r="E350" s="1" t="n">
        <v>46301</v>
      </c>
      <c r="F350" t="inlineStr">
        <is>
          <t>VÄSTMANLANDS LÄN</t>
        </is>
      </c>
      <c r="G350" t="inlineStr">
        <is>
          <t>SKINNSKATTEBERG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44713</v>
      </c>
      <c r="E351" s="1" t="n">
        <v>46301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38735-2026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46285</v>
      </c>
      <c r="E352" s="1" t="n">
        <v>46301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45592</v>
      </c>
      <c r="E353" s="1" t="n">
        <v>46301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45571</v>
      </c>
      <c r="E354" s="1" t="n">
        <v>46301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43806-2024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45571</v>
      </c>
      <c r="E355" s="1" t="n">
        <v>46301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46301</v>
      </c>
      <c r="F356" t="inlineStr">
        <is>
          <t>VÄSTMANLANDS LÄN</t>
        </is>
      </c>
      <c r="G356" t="inlineStr">
        <is>
          <t>SKINNSKATTEBERG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45506</v>
      </c>
      <c r="E357" s="1" t="n">
        <v>46301</v>
      </c>
      <c r="F357" t="inlineStr">
        <is>
          <t>VÄSTMANLANDS LÄN</t>
        </is>
      </c>
      <c r="G357" t="inlineStr">
        <is>
          <t>SKINNSKATTEBERG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40545-2023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45170</v>
      </c>
      <c r="E358" s="1" t="n">
        <v>46301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45604</v>
      </c>
      <c r="E359" s="1" t="n">
        <v>46301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32859-2026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46244</v>
      </c>
      <c r="E360" s="1" t="n">
        <v>46301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46244</v>
      </c>
      <c r="E361" s="1" t="n">
        <v>46301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46244</v>
      </c>
      <c r="E362" s="1" t="n">
        <v>46301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1069-2023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44935</v>
      </c>
      <c r="E363" s="1" t="n">
        <v>46301</v>
      </c>
      <c r="F363" t="inlineStr">
        <is>
          <t>VÄSTMANLANDS LÄN</t>
        </is>
      </c>
      <c r="G363" t="inlineStr">
        <is>
          <t>SKINNSKATTEBERG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46244</v>
      </c>
      <c r="E364" s="1" t="n">
        <v>46301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46247</v>
      </c>
      <c r="E365" s="1" t="n">
        <v>46301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46290</v>
      </c>
      <c r="E366" s="1" t="n">
        <v>46301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46301</v>
      </c>
      <c r="F367" t="inlineStr">
        <is>
          <t>VÄSTMANLANDS LÄN</t>
        </is>
      </c>
      <c r="G367" t="inlineStr">
        <is>
          <t>SKINNSKATTEBERG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46289</v>
      </c>
      <c r="E368" s="1" t="n">
        <v>46301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39863-2026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46290</v>
      </c>
      <c r="E369" s="1" t="n">
        <v>46301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46301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39869-2026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46290</v>
      </c>
      <c r="E371" s="1" t="n">
        <v>46301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39866-2026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46290</v>
      </c>
      <c r="E372" s="1" t="n">
        <v>46301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45385</v>
      </c>
      <c r="E373" s="1" t="n">
        <v>46301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45571</v>
      </c>
      <c r="E374" s="1" t="n">
        <v>46301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46301</v>
      </c>
      <c r="F375" t="inlineStr">
        <is>
          <t>VÄSTMANLANDS LÄN</t>
        </is>
      </c>
      <c r="G375" t="inlineStr">
        <is>
          <t>SKINNSKATTEBERG</t>
        </is>
      </c>
      <c r="I375" t="n">
        <v>10.4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46301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46301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46301</v>
      </c>
      <c r="F378" t="inlineStr">
        <is>
          <t>VÄSTMANLANDS LÄN</t>
        </is>
      </c>
      <c r="G378" t="inlineStr">
        <is>
          <t>SKINNSKATTEBERG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46301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46237</v>
      </c>
      <c r="E380" s="1" t="n">
        <v>46301</v>
      </c>
      <c r="F380" t="inlineStr">
        <is>
          <t>VÄSTMANLANDS LÄN</t>
        </is>
      </c>
      <c r="G380" t="inlineStr">
        <is>
          <t>SKINNSKATTEBERG</t>
        </is>
      </c>
      <c r="I380" t="n">
        <v>12.2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46301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46301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50980-2022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44867</v>
      </c>
      <c r="E383" s="1" t="n">
        <v>46301</v>
      </c>
      <c r="F383" t="inlineStr">
        <is>
          <t>VÄSTMANLANDS LÄN</t>
        </is>
      </c>
      <c r="G383" t="inlineStr">
        <is>
          <t>SKINNSKATTEBERG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12158-2024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45377</v>
      </c>
      <c r="E384" s="1" t="n">
        <v>46301</v>
      </c>
      <c r="F384" t="inlineStr">
        <is>
          <t>VÄSTMANLANDS LÄN</t>
        </is>
      </c>
      <c r="G384" t="inlineStr">
        <is>
          <t>SKINNSKATTEBERG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46301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46301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46301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28941-2024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45480</v>
      </c>
      <c r="E388" s="1" t="n">
        <v>46301</v>
      </c>
      <c r="F388" t="inlineStr">
        <is>
          <t>VÄSTMANLANDS LÄN</t>
        </is>
      </c>
      <c r="G388" t="inlineStr">
        <is>
          <t>SKINNSKATTEBERG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22285-2025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45786</v>
      </c>
      <c r="E389" s="1" t="n">
        <v>46301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46300</v>
      </c>
      <c r="E390" s="1" t="n">
        <v>46301</v>
      </c>
      <c r="F390" t="inlineStr">
        <is>
          <t>VÄSTMANLANDS LÄN</t>
        </is>
      </c>
      <c r="G390" t="inlineStr">
        <is>
          <t>SKINNSKATTEBERG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22079-2024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45443</v>
      </c>
      <c r="E391" s="1" t="n">
        <v>46301</v>
      </c>
      <c r="F391" t="inlineStr">
        <is>
          <t>VÄSTMANLANDS LÄN</t>
        </is>
      </c>
      <c r="G391" t="inlineStr">
        <is>
          <t>SKINNSKATTEBERG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45476</v>
      </c>
      <c r="E392" s="1" t="n">
        <v>46301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35051-2024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45527</v>
      </c>
      <c r="E393" s="1" t="n">
        <v>46301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25846-2025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45804</v>
      </c>
      <c r="E394" s="1" t="n">
        <v>46301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1765-2024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45435</v>
      </c>
      <c r="E395" s="1" t="n">
        <v>46301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1462-2025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46301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1931-2025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45827</v>
      </c>
      <c r="E397" s="1" t="n">
        <v>46301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2177-2025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45853</v>
      </c>
      <c r="E398" s="1" t="n">
        <v>46301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46301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46301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2420-2025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45897</v>
      </c>
      <c r="E401" s="1" t="n">
        <v>46301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2456-2025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45901</v>
      </c>
      <c r="E402" s="1" t="n">
        <v>46301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2578-2025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45915</v>
      </c>
      <c r="E403" s="1" t="n">
        <v>46301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1325-2026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46147</v>
      </c>
      <c r="E404" s="1" t="n">
        <v>46301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65.3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46182</v>
      </c>
      <c r="E405" s="1" t="n">
        <v>46301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46301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2239-2026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46260</v>
      </c>
      <c r="E407" s="1" t="n">
        <v>46301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2266-2026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46262</v>
      </c>
      <c r="E408" s="1" t="n">
        <v>46301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2525-2026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46290</v>
      </c>
      <c r="E409" s="1" t="n">
        <v>46301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2026-10-06T01:54:13Z</dcterms:created>
  <dcterms:modified xmlns:dcterms="http://purl.org/dc/terms/" xmlns:xsi="http://www.w3.org/2001/XMLSchema-instance" xsi:type="dcterms:W3CDTF">2026-10-06T01:54:13Z</dcterms:modified>
</cp:coreProperties>
</file>