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46310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46310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46310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46310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46310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46310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46310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46310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46310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46310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46310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46310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18515-2024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45425</v>
      </c>
      <c r="E14" s="1" t="n">
        <v>46310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Plattlummer
Fläcknycklar
Revlummer</t>
        </is>
      </c>
      <c r="W14">
        <f>HYPERLINK("https://klasma.github.io/Logging_1904/artfynd/A 18515-2024 artfynd.xlsx", "A 18515-2024")</f>
        <v/>
      </c>
      <c r="X14">
        <f>HYPERLINK("https://klasma.github.io/Logging_1904/kartor/A 18515-2024 karta.png", "A 18515-2024")</f>
        <v/>
      </c>
      <c r="Y14">
        <f>HYPERLINK("https://klasma.github.io/Logging_1904/kartor_geotiff/A 18515-2024 georefererad karta.tif", "A 18515-2024")</f>
        <v/>
      </c>
      <c r="AA14">
        <f>HYPERLINK("https://klasma.github.io/Logging_1904/klagomål/A 18515-2024 FSC-klagomål.docx", "A 18515-2024")</f>
        <v/>
      </c>
      <c r="AB14">
        <f>HYPERLINK("https://klasma.github.io/Logging_1904/klagomålsmail/A 18515-2024 FSC-klagomål mail.docx", "A 18515-2024")</f>
        <v/>
      </c>
      <c r="AC14">
        <f>HYPERLINK("https://klasma.github.io/Logging_1904/tillsyn/A 18515-2024 tillsynsbegäran.docx", "A 18515-2024")</f>
        <v/>
      </c>
      <c r="AD14">
        <f>HYPERLINK("https://klasma.github.io/Logging_1904/tillsynsmail/A 18515-2024 tillsynsbegäran mail.docx", "A 18515-2024")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46310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46310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46310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46310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44698-2024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45574</v>
      </c>
      <c r="E19" s="1" t="n">
        <v>46310</v>
      </c>
      <c r="F19" t="inlineStr">
        <is>
          <t>VÄSTMANLANDS LÄN</t>
        </is>
      </c>
      <c r="G19" t="inlineStr">
        <is>
          <t>SKINNSKATTEBERG</t>
        </is>
      </c>
      <c r="I19" t="n">
        <v>1.3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Hässleklocka
Tibast
Gullviva</t>
        </is>
      </c>
      <c r="W19">
        <f>HYPERLINK("https://klasma.github.io/Logging_1904/artfynd/A 44698-2024 artfynd.xlsx", "A 44698-2024")</f>
        <v/>
      </c>
      <c r="X19">
        <f>HYPERLINK("https://klasma.github.io/Logging_1904/kartor/A 44698-2024 karta.png", "A 44698-2024")</f>
        <v/>
      </c>
      <c r="Y19">
        <f>HYPERLINK("https://klasma.github.io/Logging_1904/kartor_geotiff/A 44698-2024 georefererad karta.tif", "A 44698-2024")</f>
        <v/>
      </c>
      <c r="AA19">
        <f>HYPERLINK("https://klasma.github.io/Logging_1904/klagomål/A 44698-2024 FSC-klagomål.docx", "A 44698-2024")</f>
        <v/>
      </c>
      <c r="AB19">
        <f>HYPERLINK("https://klasma.github.io/Logging_1904/klagomålsmail/A 44698-2024 FSC-klagomål mail.docx", "A 44698-2024")</f>
        <v/>
      </c>
      <c r="AC19">
        <f>HYPERLINK("https://klasma.github.io/Logging_1904/tillsyn/A 44698-2024 tillsynsbegäran.docx", "A 44698-2024")</f>
        <v/>
      </c>
      <c r="AD19">
        <f>HYPERLINK("https://klasma.github.io/Logging_1904/tillsynsmail/A 44698-2024 tillsynsbegäran mail.docx", "A 44698-2024")</f>
        <v/>
      </c>
    </row>
    <row r="20" ht="15" customHeight="1">
      <c r="A20" t="inlineStr">
        <is>
          <t>A 39619-2026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46310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6.3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Mjölsvärting
Motaggsvamp</t>
        </is>
      </c>
      <c r="W20">
        <f>HYPERLINK("https://klasma.github.io/Logging_1904/artfynd/A 39619-2026 artfynd.xlsx", "A 39619-2026")</f>
        <v/>
      </c>
      <c r="X20">
        <f>HYPERLINK("https://klasma.github.io/Logging_1904/kartor/A 39619-2026 karta.png", "A 39619-2026")</f>
        <v/>
      </c>
      <c r="Y20">
        <f>HYPERLINK("https://klasma.github.io/Logging_1904/kartor_geotiff/A 39619-2026 georefererad karta.tif", "A 39619-2026")</f>
        <v/>
      </c>
      <c r="AA20">
        <f>HYPERLINK("https://klasma.github.io/Logging_1904/klagomål/A 39619-2026 FSC-klagomål.docx", "A 39619-2026")</f>
        <v/>
      </c>
      <c r="AB20">
        <f>HYPERLINK("https://klasma.github.io/Logging_1904/klagomålsmail/A 39619-2026 FSC-klagomål mail.docx", "A 39619-2026")</f>
        <v/>
      </c>
      <c r="AC20">
        <f>HYPERLINK("https://klasma.github.io/Logging_1904/tillsyn/A 39619-2026 tillsynsbegäran.docx", "A 39619-2026")</f>
        <v/>
      </c>
      <c r="AD20">
        <f>HYPERLINK("https://klasma.github.io/Logging_1904/tillsynsmail/A 39619-2026 tillsynsbegäran mail.docx", "A 39619-2026")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46310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46310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46310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46310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46310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46310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46310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46310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46310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Kopparödla</t>
        </is>
      </c>
      <c r="W29">
        <f>HYPERLINK("https://klasma.github.io/Logging_1904/artfynd/A 54296-2023 artfynd.xlsx", "A 54296-2023")</f>
        <v/>
      </c>
      <c r="X29">
        <f>HYPERLINK("https://klasma.github.io/Logging_1904/kartor/A 54296-2023 karta.png", "A 54296-2023")</f>
        <v/>
      </c>
      <c r="Y29">
        <f>HYPERLINK("https://klasma.github.io/Logging_1904/kartor_geotiff/A 54296-2023 georefererad karta.tif", "A 54296-2023")</f>
        <v/>
      </c>
      <c r="AA29">
        <f>HYPERLINK("https://klasma.github.io/Logging_1904/klagomål/A 54296-2023 FSC-klagomål.docx", "A 54296-2023")</f>
        <v/>
      </c>
      <c r="AB29">
        <f>HYPERLINK("https://klasma.github.io/Logging_1904/klagomålsmail/A 54296-2023 FSC-klagomål mail.docx", "A 54296-2023")</f>
        <v/>
      </c>
      <c r="AC29">
        <f>HYPERLINK("https://klasma.github.io/Logging_1904/tillsyn/A 54296-2023 tillsynsbegäran.docx", "A 54296-2023")</f>
        <v/>
      </c>
      <c r="AD29">
        <f>HYPERLINK("https://klasma.github.io/Logging_1904/tillsynsmail/A 54296-2023 tillsynsbegäran mail.docx", "A 54296-2023")</f>
        <v/>
      </c>
    </row>
    <row r="30" ht="15" customHeight="1">
      <c r="A30" t="inlineStr">
        <is>
          <t>A 15734-2026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46107</v>
      </c>
      <c r="E30" s="1" t="n">
        <v>46310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Koppartaggsvamp</t>
        </is>
      </c>
      <c r="W30">
        <f>HYPERLINK("https://klasma.github.io/Logging_1904/artfynd/A 15734-2026 artfynd.xlsx", "A 15734-2026")</f>
        <v/>
      </c>
      <c r="X30">
        <f>HYPERLINK("https://klasma.github.io/Logging_1904/kartor/A 15734-2026 karta.png", "A 15734-2026")</f>
        <v/>
      </c>
      <c r="Y30">
        <f>HYPERLINK("https://klasma.github.io/Logging_1904/kartor_geotiff/A 15734-2026 georefererad karta.tif", "A 15734-2026")</f>
        <v/>
      </c>
      <c r="AA30">
        <f>HYPERLINK("https://klasma.github.io/Logging_1904/klagomål/A 15734-2026 FSC-klagomål.docx", "A 15734-2026")</f>
        <v/>
      </c>
      <c r="AB30">
        <f>HYPERLINK("https://klasma.github.io/Logging_1904/klagomålsmail/A 15734-2026 FSC-klagomål mail.docx", "A 15734-2026")</f>
        <v/>
      </c>
      <c r="AC30">
        <f>HYPERLINK("https://klasma.github.io/Logging_1904/tillsyn/A 15734-2026 tillsynsbegäran.docx", "A 15734-2026")</f>
        <v/>
      </c>
      <c r="AD30">
        <f>HYPERLINK("https://klasma.github.io/Logging_1904/tillsynsmail/A 15734-2026 tillsynsbegäran mail.docx", "A 15734-2026")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46310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Vedticka</t>
        </is>
      </c>
      <c r="W31">
        <f>HYPERLINK("https://klasma.github.io/Logging_1904/artfynd/A 57395-2025 artfynd.xlsx", "A 57395-2025")</f>
        <v/>
      </c>
      <c r="X31">
        <f>HYPERLINK("https://klasma.github.io/Logging_1904/kartor/A 57395-2025 karta.png", "A 57395-2025")</f>
        <v/>
      </c>
      <c r="Y31">
        <f>HYPERLINK("https://klasma.github.io/Logging_1904/kartor_geotiff/A 57395-2025 georefererad karta.tif", "A 57395-2025")</f>
        <v/>
      </c>
      <c r="AA31">
        <f>HYPERLINK("https://klasma.github.io/Logging_1904/klagomål/A 57395-2025 FSC-klagomål.docx", "A 57395-2025")</f>
        <v/>
      </c>
      <c r="AB31">
        <f>HYPERLINK("https://klasma.github.io/Logging_1904/klagomålsmail/A 57395-2025 FSC-klagomål mail.docx", "A 57395-2025")</f>
        <v/>
      </c>
      <c r="AC31">
        <f>HYPERLINK("https://klasma.github.io/Logging_1904/tillsyn/A 57395-2025 tillsynsbegäran.docx", "A 57395-2025")</f>
        <v/>
      </c>
      <c r="AD31">
        <f>HYPERLINK("https://klasma.github.io/Logging_1904/tillsynsmail/A 57395-2025 tillsynsbegäran mail.docx", "A 57395-2025")</f>
        <v/>
      </c>
    </row>
    <row r="32" ht="15" customHeight="1">
      <c r="A32" t="inlineStr">
        <is>
          <t>A 57747-2023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45246</v>
      </c>
      <c r="E32" s="1" t="n">
        <v>46310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Myopa fasciata</t>
        </is>
      </c>
      <c r="W32">
        <f>HYPERLINK("https://klasma.github.io/Logging_1904/artfynd/A 57747-2023 artfynd.xlsx", "A 57747-2023")</f>
        <v/>
      </c>
      <c r="X32">
        <f>HYPERLINK("https://klasma.github.io/Logging_1904/kartor/A 57747-2023 karta.png", "A 57747-2023")</f>
        <v/>
      </c>
      <c r="Y32">
        <f>HYPERLINK("https://klasma.github.io/Logging_1904/kartor_geotiff/A 57747-2023 georefererad karta.tif", "A 57747-2023")</f>
        <v/>
      </c>
      <c r="AA32">
        <f>HYPERLINK("https://klasma.github.io/Logging_1904/klagomål/A 57747-2023 FSC-klagomål.docx", "A 57747-2023")</f>
        <v/>
      </c>
      <c r="AB32">
        <f>HYPERLINK("https://klasma.github.io/Logging_1904/klagomålsmail/A 57747-2023 FSC-klagomål mail.docx", "A 57747-2023")</f>
        <v/>
      </c>
      <c r="AC32">
        <f>HYPERLINK("https://klasma.github.io/Logging_1904/tillsyn/A 57747-2023 tillsynsbegäran.docx", "A 57747-2023")</f>
        <v/>
      </c>
      <c r="AD32">
        <f>HYPERLINK("https://klasma.github.io/Logging_1904/tillsynsmail/A 57747-2023 tillsynsbegäran mail.docx", "A 57747-2023")</f>
        <v/>
      </c>
    </row>
    <row r="33" ht="15" customHeight="1">
      <c r="A33" t="inlineStr">
        <is>
          <t>A 49630-2024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46310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7.3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HYPERLINK("https://klasma.github.io/Logging_1904/artfynd/A 49630-2024 artfynd.xlsx", "A 49630-2024")</f>
        <v/>
      </c>
      <c r="X33">
        <f>HYPERLINK("https://klasma.github.io/Logging_1904/kartor/A 49630-2024 karta.png", "A 49630-2024")</f>
        <v/>
      </c>
      <c r="Y33">
        <f>HYPERLINK("https://klasma.github.io/Logging_1904/kartor_geotiff/A 49630-2024 georefererad karta.tif", "A 49630-2024")</f>
        <v/>
      </c>
      <c r="AA33">
        <f>HYPERLINK("https://klasma.github.io/Logging_1904/klagomål/A 49630-2024 FSC-klagomål.docx", "A 49630-2024")</f>
        <v/>
      </c>
      <c r="AB33">
        <f>HYPERLINK("https://klasma.github.io/Logging_1904/klagomålsmail/A 49630-2024 FSC-klagomål mail.docx", "A 49630-2024")</f>
        <v/>
      </c>
      <c r="AC33">
        <f>HYPERLINK("https://klasma.github.io/Logging_1904/tillsyn/A 49630-2024 tillsynsbegäran.docx", "A 49630-2024")</f>
        <v/>
      </c>
      <c r="AD33">
        <f>HYPERLINK("https://klasma.github.io/Logging_1904/tillsynsmail/A 49630-2024 tillsynsbegäran mail.docx", "A 49630-2024")</f>
        <v/>
      </c>
    </row>
    <row r="34" ht="15" customHeight="1">
      <c r="A34" t="inlineStr">
        <is>
          <t>A 19205-2024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46310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Järpe</t>
        </is>
      </c>
      <c r="W34">
        <f>HYPERLINK("https://klasma.github.io/Logging_1904/artfynd/A 19205-2024 artfynd.xlsx", "A 19205-2024")</f>
        <v/>
      </c>
      <c r="X34">
        <f>HYPERLINK("https://klasma.github.io/Logging_1904/kartor/A 19205-2024 karta.png", "A 19205-2024")</f>
        <v/>
      </c>
      <c r="Y34">
        <f>HYPERLINK("https://klasma.github.io/Logging_1904/kartor_geotiff/A 19205-2024 georefererad karta.tif", "A 19205-2024")</f>
        <v/>
      </c>
      <c r="AA34">
        <f>HYPERLINK("https://klasma.github.io/Logging_1904/klagomål/A 19205-2024 FSC-klagomål.docx", "A 19205-2024")</f>
        <v/>
      </c>
      <c r="AB34">
        <f>HYPERLINK("https://klasma.github.io/Logging_1904/klagomålsmail/A 19205-2024 FSC-klagomål mail.docx", "A 19205-2024")</f>
        <v/>
      </c>
      <c r="AC34">
        <f>HYPERLINK("https://klasma.github.io/Logging_1904/tillsyn/A 19205-2024 tillsynsbegäran.docx", "A 19205-2024")</f>
        <v/>
      </c>
      <c r="AD34">
        <f>HYPERLINK("https://klasma.github.io/Logging_1904/tillsynsmail/A 19205-2024 tillsynsbegäran mail.docx", "A 19205-2024")</f>
        <v/>
      </c>
      <c r="AE34">
        <f>HYPERLINK("https://klasma.github.io/Logging_1904/fåglar/A 19205-2024 prioriterade fågelarter.docx", "A 19205-2024")</f>
        <v/>
      </c>
    </row>
    <row r="35" ht="15" customHeight="1">
      <c r="A35" t="inlineStr">
        <is>
          <t>A 20559-2026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46140</v>
      </c>
      <c r="E35" s="1" t="n">
        <v>46310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20559-2026 artfynd.xlsx", "A 20559-2026")</f>
        <v/>
      </c>
      <c r="X35">
        <f>HYPERLINK("https://klasma.github.io/Logging_1904/kartor/A 20559-2026 karta.png", "A 20559-2026")</f>
        <v/>
      </c>
      <c r="Y35">
        <f>HYPERLINK("https://klasma.github.io/Logging_1904/kartor_geotiff/A 20559-2026 georefererad karta.tif", "A 20559-2026")</f>
        <v/>
      </c>
      <c r="AA35">
        <f>HYPERLINK("https://klasma.github.io/Logging_1904/klagomål/A 20559-2026 FSC-klagomål.docx", "A 20559-2026")</f>
        <v/>
      </c>
      <c r="AB35">
        <f>HYPERLINK("https://klasma.github.io/Logging_1904/klagomålsmail/A 20559-2026 FSC-klagomål mail.docx", "A 20559-2026")</f>
        <v/>
      </c>
      <c r="AC35">
        <f>HYPERLINK("https://klasma.github.io/Logging_1904/tillsyn/A 20559-2026 tillsynsbegäran.docx", "A 20559-2026")</f>
        <v/>
      </c>
      <c r="AD35">
        <f>HYPERLINK("https://klasma.github.io/Logging_1904/tillsynsmail/A 20559-2026 tillsynsbegäran mail.docx", "A 20559-2026")</f>
        <v/>
      </c>
      <c r="AE35">
        <f>HYPERLINK("https://klasma.github.io/Logging_1904/fåglar/A 20559-2026 prioriterade fågelarter.docx", "A 20559-2026")</f>
        <v/>
      </c>
    </row>
    <row r="36" ht="15" customHeight="1">
      <c r="A36" t="inlineStr">
        <is>
          <t>A 21849-2026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46310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12.5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HYPERLINK("https://klasma.github.io/Logging_1904/artfynd/A 21849-2026 artfynd.xlsx", "A 21849-2026")</f>
        <v/>
      </c>
      <c r="X36">
        <f>HYPERLINK("https://klasma.github.io/Logging_1904/kartor/A 21849-2026 karta.png", "A 21849-2026")</f>
        <v/>
      </c>
      <c r="Y36">
        <f>HYPERLINK("https://klasma.github.io/Logging_1904/kartor_geotiff/A 21849-2026 georefererad karta.tif", "A 21849-2026")</f>
        <v/>
      </c>
      <c r="Z36">
        <f>HYPERLINK("https://klasma.github.io/Logging_1904/knärot/A 21849-2026 karta knärot.png", "A 21849-2026")</f>
        <v/>
      </c>
      <c r="AA36">
        <f>HYPERLINK("https://klasma.github.io/Logging_1904/klagomål/A 21849-2026 FSC-klagomål.docx", "A 21849-2026")</f>
        <v/>
      </c>
      <c r="AB36">
        <f>HYPERLINK("https://klasma.github.io/Logging_1904/klagomålsmail/A 21849-2026 FSC-klagomål mail.docx", "A 21849-2026")</f>
        <v/>
      </c>
      <c r="AC36">
        <f>HYPERLINK("https://klasma.github.io/Logging_1904/tillsyn/A 21849-2026 tillsynsbegäran.docx", "A 21849-2026")</f>
        <v/>
      </c>
      <c r="AD36">
        <f>HYPERLINK("https://klasma.github.io/Logging_1904/tillsynsmail/A 21849-2026 tillsynsbegäran mail.docx", "A 21849-2026")</f>
        <v/>
      </c>
    </row>
    <row r="37" ht="15" customHeight="1">
      <c r="A37" t="inlineStr">
        <is>
          <t>A 24492-2026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46310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24492-2026 artfynd.xlsx", "A 24492-2026")</f>
        <v/>
      </c>
      <c r="X37">
        <f>HYPERLINK("https://klasma.github.io/Logging_1904/kartor/A 24492-2026 karta.png", "A 24492-2026")</f>
        <v/>
      </c>
      <c r="Y37">
        <f>HYPERLINK("https://klasma.github.io/Logging_1904/kartor_geotiff/A 24492-2026 georefererad karta.tif", "A 24492-2026")</f>
        <v/>
      </c>
      <c r="AA37">
        <f>HYPERLINK("https://klasma.github.io/Logging_1904/klagomål/A 24492-2026 FSC-klagomål.docx", "A 24492-2026")</f>
        <v/>
      </c>
      <c r="AB37">
        <f>HYPERLINK("https://klasma.github.io/Logging_1904/klagomålsmail/A 24492-2026 FSC-klagomål mail.docx", "A 24492-2026")</f>
        <v/>
      </c>
      <c r="AC37">
        <f>HYPERLINK("https://klasma.github.io/Logging_1904/tillsyn/A 24492-2026 tillsynsbegäran.docx", "A 24492-2026")</f>
        <v/>
      </c>
      <c r="AD37">
        <f>HYPERLINK("https://klasma.github.io/Logging_1904/tillsynsmail/A 24492-2026 tillsynsbegäran mail.docx", "A 24492-2026")</f>
        <v/>
      </c>
      <c r="AE37">
        <f>HYPERLINK("https://klasma.github.io/Logging_1904/fåglar/A 24492-2026 prioriterade fågelarter.docx", "A 24492-2026")</f>
        <v/>
      </c>
    </row>
    <row r="38" ht="15" customHeight="1">
      <c r="A38" t="inlineStr">
        <is>
          <t>A 24944-2026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46310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8.4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HYPERLINK("https://klasma.github.io/Logging_1904/artfynd/A 24944-2026 artfynd.xlsx", "A 24944-2026")</f>
        <v/>
      </c>
      <c r="X38">
        <f>HYPERLINK("https://klasma.github.io/Logging_1904/kartor/A 24944-2026 karta.png", "A 24944-2026")</f>
        <v/>
      </c>
      <c r="Y38">
        <f>HYPERLINK("https://klasma.github.io/Logging_1904/kartor_geotiff/A 24944-2026 georefererad karta.tif", "A 24944-2026")</f>
        <v/>
      </c>
      <c r="AA38">
        <f>HYPERLINK("https://klasma.github.io/Logging_1904/klagomål/A 24944-2026 FSC-klagomål.docx", "A 24944-2026")</f>
        <v/>
      </c>
      <c r="AB38">
        <f>HYPERLINK("https://klasma.github.io/Logging_1904/klagomålsmail/A 24944-2026 FSC-klagomål mail.docx", "A 24944-2026")</f>
        <v/>
      </c>
      <c r="AC38">
        <f>HYPERLINK("https://klasma.github.io/Logging_1904/tillsyn/A 24944-2026 tillsynsbegäran.docx", "A 24944-2026")</f>
        <v/>
      </c>
      <c r="AD38">
        <f>HYPERLINK("https://klasma.github.io/Logging_1904/tillsynsmail/A 24944-2026 tillsynsbegäran mail.docx", "A 24944-2026")</f>
        <v/>
      </c>
    </row>
    <row r="39" ht="15" customHeight="1">
      <c r="A39" t="inlineStr">
        <is>
          <t>A 27565-2024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45474</v>
      </c>
      <c r="E39" s="1" t="n">
        <v>46310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husmossa</t>
        </is>
      </c>
      <c r="W39">
        <f>HYPERLINK("https://klasma.github.io/Logging_1904/artfynd/A 27565-2024 artfynd.xlsx", "A 27565-2024")</f>
        <v/>
      </c>
      <c r="X39">
        <f>HYPERLINK("https://klasma.github.io/Logging_1904/kartor/A 27565-2024 karta.png", "A 27565-2024")</f>
        <v/>
      </c>
      <c r="Y39">
        <f>HYPERLINK("https://klasma.github.io/Logging_1904/kartor_geotiff/A 27565-2024 georefererad karta.tif", "A 27565-2024")</f>
        <v/>
      </c>
      <c r="AA39">
        <f>HYPERLINK("https://klasma.github.io/Logging_1904/klagomål/A 27565-2024 FSC-klagomål.docx", "A 27565-2024")</f>
        <v/>
      </c>
      <c r="AB39">
        <f>HYPERLINK("https://klasma.github.io/Logging_1904/klagomålsmail/A 27565-2024 FSC-klagomål mail.docx", "A 27565-2024")</f>
        <v/>
      </c>
      <c r="AC39">
        <f>HYPERLINK("https://klasma.github.io/Logging_1904/tillsyn/A 27565-2024 tillsynsbegäran.docx", "A 27565-2024")</f>
        <v/>
      </c>
      <c r="AD39">
        <f>HYPERLINK("https://klasma.github.io/Logging_1904/tillsynsmail/A 27565-2024 tillsynsbegäran mail.docx", "A 27565-2024")</f>
        <v/>
      </c>
    </row>
    <row r="40" ht="15" customHeight="1">
      <c r="A40" t="inlineStr">
        <is>
          <t>A 26860-2026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46310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10.3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HYPERLINK("https://klasma.github.io/Logging_1904/artfynd/A 26860-2026 artfynd.xlsx", "A 26860-2026")</f>
        <v/>
      </c>
      <c r="X40">
        <f>HYPERLINK("https://klasma.github.io/Logging_1904/kartor/A 26860-2026 karta.png", "A 26860-2026")</f>
        <v/>
      </c>
      <c r="Y40">
        <f>HYPERLINK("https://klasma.github.io/Logging_1904/kartor_geotiff/A 26860-2026 georefererad karta.tif", "A 26860-2026")</f>
        <v/>
      </c>
      <c r="AA40">
        <f>HYPERLINK("https://klasma.github.io/Logging_1904/klagomål/A 26860-2026 FSC-klagomål.docx", "A 26860-2026")</f>
        <v/>
      </c>
      <c r="AB40">
        <f>HYPERLINK("https://klasma.github.io/Logging_1904/klagomålsmail/A 26860-2026 FSC-klagomål mail.docx", "A 26860-2026")</f>
        <v/>
      </c>
      <c r="AC40">
        <f>HYPERLINK("https://klasma.github.io/Logging_1904/tillsyn/A 26860-2026 tillsynsbegäran.docx", "A 26860-2026")</f>
        <v/>
      </c>
      <c r="AD40">
        <f>HYPERLINK("https://klasma.github.io/Logging_1904/tillsynsmail/A 26860-2026 tillsynsbegäran mail.docx", "A 26860-2026")</f>
        <v/>
      </c>
      <c r="AE40">
        <f>HYPERLINK("https://klasma.github.io/Logging_1904/fåglar/A 26860-2026 prioriterade fågelarter.docx", "A 26860-2026")</f>
        <v/>
      </c>
    </row>
    <row r="41" ht="15" customHeight="1">
      <c r="A41" t="inlineStr">
        <is>
          <t>A 30579-2026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46210</v>
      </c>
      <c r="E41" s="1" t="n">
        <v>46310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2.8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Motaggsvamp</t>
        </is>
      </c>
      <c r="W41">
        <f>HYPERLINK("https://klasma.github.io/Logging_1904/artfynd/A 30579-2026 artfynd.xlsx", "A 30579-2026")</f>
        <v/>
      </c>
      <c r="X41">
        <f>HYPERLINK("https://klasma.github.io/Logging_1904/kartor/A 30579-2026 karta.png", "A 30579-2026")</f>
        <v/>
      </c>
      <c r="Y41">
        <f>HYPERLINK("https://klasma.github.io/Logging_1904/kartor_geotiff/A 30579-2026 georefererad karta.tif", "A 30579-2026")</f>
        <v/>
      </c>
      <c r="AA41">
        <f>HYPERLINK("https://klasma.github.io/Logging_1904/klagomål/A 30579-2026 FSC-klagomål.docx", "A 30579-2026")</f>
        <v/>
      </c>
      <c r="AB41">
        <f>HYPERLINK("https://klasma.github.io/Logging_1904/klagomålsmail/A 30579-2026 FSC-klagomål mail.docx", "A 30579-2026")</f>
        <v/>
      </c>
      <c r="AC41">
        <f>HYPERLINK("https://klasma.github.io/Logging_1904/tillsyn/A 30579-2026 tillsynsbegäran.docx", "A 30579-2026")</f>
        <v/>
      </c>
      <c r="AD41">
        <f>HYPERLINK("https://klasma.github.io/Logging_1904/tillsynsmail/A 30579-2026 tillsynsbegäran mail.docx", "A 30579-2026")</f>
        <v/>
      </c>
    </row>
    <row r="42" ht="15" customHeight="1">
      <c r="A42" t="inlineStr">
        <is>
          <t>A 36263-2026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46310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Lopplummer (aggregat)</t>
        </is>
      </c>
      <c r="W42">
        <f>HYPERLINK("https://klasma.github.io/Logging_1904/artfynd/A 36263-2026 artfynd.xlsx", "A 36263-2026")</f>
        <v/>
      </c>
      <c r="X42">
        <f>HYPERLINK("https://klasma.github.io/Logging_1904/kartor/A 36263-2026 karta.png", "A 36263-2026")</f>
        <v/>
      </c>
      <c r="Y42">
        <f>HYPERLINK("https://klasma.github.io/Logging_1904/kartor_geotiff/A 36263-2026 georefererad karta.tif", "A 36263-2026")</f>
        <v/>
      </c>
      <c r="AA42">
        <f>HYPERLINK("https://klasma.github.io/Logging_1904/klagomål/A 36263-2026 FSC-klagomål.docx", "A 36263-2026")</f>
        <v/>
      </c>
      <c r="AB42">
        <f>HYPERLINK("https://klasma.github.io/Logging_1904/klagomålsmail/A 36263-2026 FSC-klagomål mail.docx", "A 36263-2026")</f>
        <v/>
      </c>
      <c r="AC42">
        <f>HYPERLINK("https://klasma.github.io/Logging_1904/tillsyn/A 36263-2026 tillsynsbegäran.docx", "A 36263-2026")</f>
        <v/>
      </c>
      <c r="AD42">
        <f>HYPERLINK("https://klasma.github.io/Logging_1904/tillsynsmail/A 36263-2026 tillsynsbegäran mail.docx", "A 36263-2026")</f>
        <v/>
      </c>
    </row>
    <row r="43" ht="15" customHeight="1">
      <c r="A43" t="inlineStr">
        <is>
          <t>A 9491-2024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46310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Skogshare</t>
        </is>
      </c>
      <c r="W43">
        <f>HYPERLINK("https://klasma.github.io/Logging_1904/artfynd/A 9491-2024 artfynd.xlsx", "A 9491-2024")</f>
        <v/>
      </c>
      <c r="X43">
        <f>HYPERLINK("https://klasma.github.io/Logging_1904/kartor/A 9491-2024 karta.png", "A 9491-2024")</f>
        <v/>
      </c>
      <c r="Y43">
        <f>HYPERLINK("https://klasma.github.io/Logging_1904/kartor_geotiff/A 9491-2024 georefererad karta.tif", "A 9491-2024")</f>
        <v/>
      </c>
      <c r="AA43">
        <f>HYPERLINK("https://klasma.github.io/Logging_1904/klagomål/A 9491-2024 FSC-klagomål.docx", "A 9491-2024")</f>
        <v/>
      </c>
      <c r="AB43">
        <f>HYPERLINK("https://klasma.github.io/Logging_1904/klagomålsmail/A 9491-2024 FSC-klagomål mail.docx", "A 9491-2024")</f>
        <v/>
      </c>
      <c r="AC43">
        <f>HYPERLINK("https://klasma.github.io/Logging_1904/tillsyn/A 9491-2024 tillsynsbegäran.docx", "A 9491-2024")</f>
        <v/>
      </c>
      <c r="AD43">
        <f>HYPERLINK("https://klasma.github.io/Logging_1904/tillsynsmail/A 9491-2024 tillsynsbegäran mail.docx", "A 9491-2024")</f>
        <v/>
      </c>
    </row>
    <row r="44" ht="15" customHeight="1">
      <c r="A44" t="inlineStr">
        <is>
          <t>A 43413-2024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45568</v>
      </c>
      <c r="E44" s="1" t="n">
        <v>46310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Orange taggsvamp</t>
        </is>
      </c>
      <c r="W44">
        <f>HYPERLINK("https://klasma.github.io/Logging_1904/artfynd/A 43413-2024 artfynd.xlsx", "A 43413-2024")</f>
        <v/>
      </c>
      <c r="X44">
        <f>HYPERLINK("https://klasma.github.io/Logging_1904/kartor/A 43413-2024 karta.png", "A 43413-2024")</f>
        <v/>
      </c>
      <c r="Y44">
        <f>HYPERLINK("https://klasma.github.io/Logging_1904/kartor_geotiff/A 43413-2024 georefererad karta.tif", "A 43413-2024")</f>
        <v/>
      </c>
      <c r="AA44">
        <f>HYPERLINK("https://klasma.github.io/Logging_1904/klagomål/A 43413-2024 FSC-klagomål.docx", "A 43413-2024")</f>
        <v/>
      </c>
      <c r="AB44">
        <f>HYPERLINK("https://klasma.github.io/Logging_1904/klagomålsmail/A 43413-2024 FSC-klagomål mail.docx", "A 43413-2024")</f>
        <v/>
      </c>
      <c r="AC44">
        <f>HYPERLINK("https://klasma.github.io/Logging_1904/tillsyn/A 43413-2024 tillsynsbegäran.docx", "A 43413-2024")</f>
        <v/>
      </c>
      <c r="AD44">
        <f>HYPERLINK("https://klasma.github.io/Logging_1904/tillsynsmail/A 43413-2024 tillsynsbegäran mail.docx", "A 43413-2024")</f>
        <v/>
      </c>
    </row>
    <row r="45" ht="15" customHeight="1">
      <c r="A45" t="inlineStr">
        <is>
          <t>A 37900-2026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46310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9.199999999999999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HYPERLINK("https://klasma.github.io/Logging_1904/artfynd/A 37900-2026 artfynd.xlsx", "A 37900-2026")</f>
        <v/>
      </c>
      <c r="X45">
        <f>HYPERLINK("https://klasma.github.io/Logging_1904/kartor/A 37900-2026 karta.png", "A 37900-2026")</f>
        <v/>
      </c>
      <c r="Y45">
        <f>HYPERLINK("https://klasma.github.io/Logging_1904/kartor_geotiff/A 37900-2026 georefererad karta.tif", "A 37900-2026")</f>
        <v/>
      </c>
      <c r="AA45">
        <f>HYPERLINK("https://klasma.github.io/Logging_1904/klagomål/A 37900-2026 FSC-klagomål.docx", "A 37900-2026")</f>
        <v/>
      </c>
      <c r="AB45">
        <f>HYPERLINK("https://klasma.github.io/Logging_1904/klagomålsmail/A 37900-2026 FSC-klagomål mail.docx", "A 37900-2026")</f>
        <v/>
      </c>
      <c r="AC45">
        <f>HYPERLINK("https://klasma.github.io/Logging_1904/tillsyn/A 37900-2026 tillsynsbegäran.docx", "A 37900-2026")</f>
        <v/>
      </c>
      <c r="AD45">
        <f>HYPERLINK("https://klasma.github.io/Logging_1904/tillsynsmail/A 37900-2026 tillsynsbegäran mail.docx", "A 37900-2026")</f>
        <v/>
      </c>
      <c r="AE45">
        <f>HYPERLINK("https://klasma.github.io/Logging_1904/fåglar/A 37900-2026 prioriterade fågelarter.docx", "A 37900-2026")</f>
        <v/>
      </c>
    </row>
    <row r="46" ht="15" customHeight="1">
      <c r="A46" t="inlineStr">
        <is>
          <t>A 23893-2023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45078</v>
      </c>
      <c r="E46" s="1" t="n">
        <v>46310</v>
      </c>
      <c r="F46" t="inlineStr">
        <is>
          <t>VÄSTMANLANDS LÄN</t>
        </is>
      </c>
      <c r="G46" t="inlineStr">
        <is>
          <t>SKINNSKATTEBERG</t>
        </is>
      </c>
      <c r="I46" t="n">
        <v>1.6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Knärot</t>
        </is>
      </c>
      <c r="W46">
        <f>HYPERLINK("https://klasma.github.io/Logging_1904/artfynd/A 23893-2023 artfynd.xlsx", "A 23893-2023")</f>
        <v/>
      </c>
      <c r="X46">
        <f>HYPERLINK("https://klasma.github.io/Logging_1904/kartor/A 23893-2023 karta.png", "A 23893-2023")</f>
        <v/>
      </c>
      <c r="Y46">
        <f>HYPERLINK("https://klasma.github.io/Logging_1904/kartor_geotiff/A 23893-2023 georefererad karta.tif", "A 23893-2023")</f>
        <v/>
      </c>
      <c r="Z46">
        <f>HYPERLINK("https://klasma.github.io/Logging_1904/knärot/A 23893-2023 karta knärot.png", "A 23893-2023")</f>
        <v/>
      </c>
      <c r="AA46">
        <f>HYPERLINK("https://klasma.github.io/Logging_1904/klagomål/A 23893-2023 FSC-klagomål.docx", "A 23893-2023")</f>
        <v/>
      </c>
      <c r="AB46">
        <f>HYPERLINK("https://klasma.github.io/Logging_1904/klagomålsmail/A 23893-2023 FSC-klagomål mail.docx", "A 23893-2023")</f>
        <v/>
      </c>
      <c r="AC46">
        <f>HYPERLINK("https://klasma.github.io/Logging_1904/tillsyn/A 23893-2023 tillsynsbegäran.docx", "A 23893-2023")</f>
        <v/>
      </c>
      <c r="AD46">
        <f>HYPERLINK("https://klasma.github.io/Logging_1904/tillsynsmail/A 23893-2023 tillsynsbegäran mail.docx", "A 23893-2023")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46310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46310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33435-2024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45519</v>
      </c>
      <c r="E49" s="1" t="n">
        <v>46310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33435-2024 artfynd.xlsx", "A 33435-2024")</f>
        <v/>
      </c>
      <c r="X49">
        <f>HYPERLINK("https://klasma.github.io/Logging_1904/kartor/A 33435-2024 karta.png", "A 33435-2024")</f>
        <v/>
      </c>
      <c r="Y49">
        <f>HYPERLINK("https://klasma.github.io/Logging_1904/kartor_geotiff/A 33435-2024 georefererad karta.tif", "A 33435-2024")</f>
        <v/>
      </c>
      <c r="AA49">
        <f>HYPERLINK("https://klasma.github.io/Logging_1904/klagomål/A 33435-2024 FSC-klagomål.docx", "A 33435-2024")</f>
        <v/>
      </c>
      <c r="AB49">
        <f>HYPERLINK("https://klasma.github.io/Logging_1904/klagomålsmail/A 33435-2024 FSC-klagomål mail.docx", "A 33435-2024")</f>
        <v/>
      </c>
      <c r="AC49">
        <f>HYPERLINK("https://klasma.github.io/Logging_1904/tillsyn/A 33435-2024 tillsynsbegäran.docx", "A 33435-2024")</f>
        <v/>
      </c>
      <c r="AD49">
        <f>HYPERLINK("https://klasma.github.io/Logging_1904/tillsynsmail/A 33435-2024 tillsynsbegäran mail.docx", "A 33435-2024")</f>
        <v/>
      </c>
      <c r="AE49">
        <f>HYPERLINK("https://klasma.github.io/Logging_1904/fåglar/A 33435-2024 prioriterade fågelarter.docx", "A 33435-2024")</f>
        <v/>
      </c>
    </row>
    <row r="50" ht="15" customHeight="1">
      <c r="A50" t="inlineStr">
        <is>
          <t>A 12024-2023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44995</v>
      </c>
      <c r="E50" s="1" t="n">
        <v>46310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HYPERLINK("https://klasma.github.io/Logging_1904/artfynd/A 12024-2023 artfynd.xlsx", "A 12024-2023")</f>
        <v/>
      </c>
      <c r="X50">
        <f>HYPERLINK("https://klasma.github.io/Logging_1904/kartor/A 12024-2023 karta.png", "A 12024-2023")</f>
        <v/>
      </c>
      <c r="Y50">
        <f>HYPERLINK("https://klasma.github.io/Logging_1904/kartor_geotiff/A 12024-2023 georefererad karta.tif", "A 12024-2023")</f>
        <v/>
      </c>
      <c r="AA50">
        <f>HYPERLINK("https://klasma.github.io/Logging_1904/klagomål/A 12024-2023 FSC-klagomål.docx", "A 12024-2023")</f>
        <v/>
      </c>
      <c r="AB50">
        <f>HYPERLINK("https://klasma.github.io/Logging_1904/klagomålsmail/A 12024-2023 FSC-klagomål mail.docx", "A 12024-2023")</f>
        <v/>
      </c>
      <c r="AC50">
        <f>HYPERLINK("https://klasma.github.io/Logging_1904/tillsyn/A 12024-2023 tillsynsbegäran.docx", "A 12024-2023")</f>
        <v/>
      </c>
      <c r="AD50">
        <f>HYPERLINK("https://klasma.github.io/Logging_1904/tillsynsmail/A 12024-2023 tillsynsbegäran mail.docx", "A 12024-2023")</f>
        <v/>
      </c>
    </row>
    <row r="51" ht="15" customHeight="1">
      <c r="A51" t="inlineStr">
        <is>
          <t>A 9490-2024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46310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Nattskärra</t>
        </is>
      </c>
      <c r="W51">
        <f>HYPERLINK("https://klasma.github.io/Logging_1904/artfynd/A 9490-2024 artfynd.xlsx", "A 9490-2024")</f>
        <v/>
      </c>
      <c r="X51">
        <f>HYPERLINK("https://klasma.github.io/Logging_1904/kartor/A 9490-2024 karta.png", "A 9490-2024")</f>
        <v/>
      </c>
      <c r="Y51">
        <f>HYPERLINK("https://klasma.github.io/Logging_1904/kartor_geotiff/A 9490-2024 georefererad karta.tif", "A 9490-2024")</f>
        <v/>
      </c>
      <c r="AA51">
        <f>HYPERLINK("https://klasma.github.io/Logging_1904/klagomål/A 9490-2024 FSC-klagomål.docx", "A 9490-2024")</f>
        <v/>
      </c>
      <c r="AB51">
        <f>HYPERLINK("https://klasma.github.io/Logging_1904/klagomålsmail/A 9490-2024 FSC-klagomål mail.docx", "A 9490-2024")</f>
        <v/>
      </c>
      <c r="AC51">
        <f>HYPERLINK("https://klasma.github.io/Logging_1904/tillsyn/A 9490-2024 tillsynsbegäran.docx", "A 9490-2024")</f>
        <v/>
      </c>
      <c r="AD51">
        <f>HYPERLINK("https://klasma.github.io/Logging_1904/tillsynsmail/A 9490-2024 tillsynsbegäran mail.docx", "A 9490-2024")</f>
        <v/>
      </c>
      <c r="AE51">
        <f>HYPERLINK("https://klasma.github.io/Logging_1904/fåglar/A 9490-2024 prioriterade fågelarter.docx", "A 9490-2024")</f>
        <v/>
      </c>
    </row>
    <row r="52" ht="15" customHeight="1">
      <c r="A52" t="inlineStr">
        <is>
          <t>A 4000-2024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46310</v>
      </c>
      <c r="F52" t="inlineStr">
        <is>
          <t>VÄSTMANLANDS LÄN</t>
        </is>
      </c>
      <c r="G52" t="inlineStr">
        <is>
          <t>SKINNSKATTEBERG</t>
        </is>
      </c>
      <c r="I52" t="n">
        <v>14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Klasefibbla</t>
        </is>
      </c>
      <c r="W52">
        <f>HYPERLINK("https://klasma.github.io/Logging_1904/artfynd/A 4000-2024 artfynd.xlsx", "A 4000-2024")</f>
        <v/>
      </c>
      <c r="X52">
        <f>HYPERLINK("https://klasma.github.io/Logging_1904/kartor/A 4000-2024 karta.png", "A 4000-2024")</f>
        <v/>
      </c>
      <c r="Y52">
        <f>HYPERLINK("https://klasma.github.io/Logging_1904/kartor_geotiff/A 4000-2024 georefererad karta.tif", "A 4000-2024")</f>
        <v/>
      </c>
      <c r="AA52">
        <f>HYPERLINK("https://klasma.github.io/Logging_1904/klagomål/A 4000-2024 FSC-klagomål.docx", "A 4000-2024")</f>
        <v/>
      </c>
      <c r="AB52">
        <f>HYPERLINK("https://klasma.github.io/Logging_1904/klagomålsmail/A 4000-2024 FSC-klagomål mail.docx", "A 4000-2024")</f>
        <v/>
      </c>
      <c r="AC52">
        <f>HYPERLINK("https://klasma.github.io/Logging_1904/tillsyn/A 4000-2024 tillsynsbegäran.docx", "A 4000-2024")</f>
        <v/>
      </c>
      <c r="AD52">
        <f>HYPERLINK("https://klasma.github.io/Logging_1904/tillsynsmail/A 4000-2024 tillsynsbegäran mail.docx", "A 4000-2024")</f>
        <v/>
      </c>
    </row>
    <row r="53" ht="15" customHeight="1">
      <c r="A53" t="inlineStr">
        <is>
          <t>A 28312-2023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45099</v>
      </c>
      <c r="E53" s="1" t="n">
        <v>46310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Skrovlig taggsvamp</t>
        </is>
      </c>
      <c r="W53">
        <f>HYPERLINK("https://klasma.github.io/Logging_1904/artfynd/A 28312-2023 artfynd.xlsx", "A 28312-2023")</f>
        <v/>
      </c>
      <c r="X53">
        <f>HYPERLINK("https://klasma.github.io/Logging_1904/kartor/A 28312-2023 karta.png", "A 28312-2023")</f>
        <v/>
      </c>
      <c r="Y53">
        <f>HYPERLINK("https://klasma.github.io/Logging_1904/kartor_geotiff/A 28312-2023 georefererad karta.tif", "A 28312-2023")</f>
        <v/>
      </c>
      <c r="AA53">
        <f>HYPERLINK("https://klasma.github.io/Logging_1904/klagomål/A 28312-2023 FSC-klagomål.docx", "A 28312-2023")</f>
        <v/>
      </c>
      <c r="AB53">
        <f>HYPERLINK("https://klasma.github.io/Logging_1904/klagomålsmail/A 28312-2023 FSC-klagomål mail.docx", "A 28312-2023")</f>
        <v/>
      </c>
      <c r="AC53">
        <f>HYPERLINK("https://klasma.github.io/Logging_1904/tillsyn/A 28312-2023 tillsynsbegäran.docx", "A 28312-2023")</f>
        <v/>
      </c>
      <c r="AD53">
        <f>HYPERLINK("https://klasma.github.io/Logging_1904/tillsynsmail/A 28312-2023 tillsynsbegäran mail.docx", "A 28312-2023")</f>
        <v/>
      </c>
    </row>
    <row r="54" ht="15" customHeight="1">
      <c r="A54" t="inlineStr">
        <is>
          <t>A 35371-2026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46310</v>
      </c>
      <c r="F54" t="inlineStr">
        <is>
          <t>VÄSTMANLANDS LÄN</t>
        </is>
      </c>
      <c r="G54" t="inlineStr">
        <is>
          <t>SKINNSKATTEBERG</t>
        </is>
      </c>
      <c r="I54" t="n">
        <v>1.3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HYPERLINK("https://klasma.github.io/Logging_1904/artfynd/A 35371-2026 artfynd.xlsx", "A 35371-2026")</f>
        <v/>
      </c>
      <c r="X54">
        <f>HYPERLINK("https://klasma.github.io/Logging_1904/kartor/A 35371-2026 karta.png", "A 35371-2026")</f>
        <v/>
      </c>
      <c r="Y54">
        <f>HYPERLINK("https://klasma.github.io/Logging_1904/kartor_geotiff/A 35371-2026 georefererad karta.tif", "A 35371-2026")</f>
        <v/>
      </c>
      <c r="AA54">
        <f>HYPERLINK("https://klasma.github.io/Logging_1904/klagomål/A 35371-2026 FSC-klagomål.docx", "A 35371-2026")</f>
        <v/>
      </c>
      <c r="AB54">
        <f>HYPERLINK("https://klasma.github.io/Logging_1904/klagomålsmail/A 35371-2026 FSC-klagomål mail.docx", "A 35371-2026")</f>
        <v/>
      </c>
      <c r="AC54">
        <f>HYPERLINK("https://klasma.github.io/Logging_1904/tillsyn/A 35371-2026 tillsynsbegäran.docx", "A 35371-2026")</f>
        <v/>
      </c>
      <c r="AD54">
        <f>HYPERLINK("https://klasma.github.io/Logging_1904/tillsynsmail/A 35371-2026 tillsynsbegäran mail.docx", "A 35371-2026")</f>
        <v/>
      </c>
      <c r="AE54">
        <f>HYPERLINK("https://klasma.github.io/Logging_1904/fåglar/A 35371-2026 prioriterade fågelarter.docx", "A 35371-2026")</f>
        <v/>
      </c>
    </row>
    <row r="55" ht="15" customHeight="1">
      <c r="A55" t="inlineStr">
        <is>
          <t>S 3632-2024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45548</v>
      </c>
      <c r="E55" s="1" t="n">
        <v>46310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196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Tjäder</t>
        </is>
      </c>
      <c r="W55">
        <f>HYPERLINK("https://klasma.github.io/Logging_1904/artfynd/S 3632-2024 artfynd.xlsx", "S 3632-2024")</f>
        <v/>
      </c>
      <c r="X55">
        <f>HYPERLINK("https://klasma.github.io/Logging_1904/kartor/S 3632-2024 karta.png", "S 3632-2024")</f>
        <v/>
      </c>
      <c r="Y55">
        <f>HYPERLINK("https://klasma.github.io/Logging_1904/kartor_geotiff/S 3632-2024 georefererad karta.tif", "S 3632-2024")</f>
        <v/>
      </c>
      <c r="AA55">
        <f>HYPERLINK("https://klasma.github.io/Logging_1904/klagomål/S 3632-2024 FSC-klagomål.docx", "S 3632-2024")</f>
        <v/>
      </c>
      <c r="AB55">
        <f>HYPERLINK("https://klasma.github.io/Logging_1904/klagomålsmail/S 3632-2024 FSC-klagomål mail.docx", "S 3632-2024")</f>
        <v/>
      </c>
      <c r="AC55">
        <f>HYPERLINK("https://klasma.github.io/Logging_1904/tillsyn/S 3632-2024 tillsynsbegäran.docx", "S 3632-2024")</f>
        <v/>
      </c>
      <c r="AD55">
        <f>HYPERLINK("https://klasma.github.io/Logging_1904/tillsynsmail/S 3632-2024 tillsynsbegäran mail.docx", "S 3632-2024")</f>
        <v/>
      </c>
      <c r="AE55">
        <f>HYPERLINK("https://klasma.github.io/Logging_1904/fåglar/S 3632-2024 prioriterade fågelarter.docx", "S 3632-2024")</f>
        <v/>
      </c>
    </row>
    <row r="56" ht="15" customHeight="1">
      <c r="A56" t="inlineStr">
        <is>
          <t>S 1982-2025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45832</v>
      </c>
      <c r="E56" s="1" t="n">
        <v>46310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HYPERLINK("https://klasma.github.io/Logging_1904/artfynd/S 1982-2025 artfynd.xlsx", "S 1982-2025")</f>
        <v/>
      </c>
      <c r="X56">
        <f>HYPERLINK("https://klasma.github.io/Logging_1904/kartor/S 1982-2025 karta.png", "S 1982-2025")</f>
        <v/>
      </c>
      <c r="Y56">
        <f>HYPERLINK("https://klasma.github.io/Logging_1904/kartor_geotiff/S 1982-2025 georefererad karta.tif", "S 1982-2025")</f>
        <v/>
      </c>
      <c r="AA56">
        <f>HYPERLINK("https://klasma.github.io/Logging_1904/klagomål/S 1982-2025 FSC-klagomål.docx", "S 1982-2025")</f>
        <v/>
      </c>
      <c r="AB56">
        <f>HYPERLINK("https://klasma.github.io/Logging_1904/klagomålsmail/S 1982-2025 FSC-klagomål mail.docx", "S 1982-2025")</f>
        <v/>
      </c>
      <c r="AC56">
        <f>HYPERLINK("https://klasma.github.io/Logging_1904/tillsyn/S 1982-2025 tillsynsbegäran.docx", "S 1982-2025")</f>
        <v/>
      </c>
      <c r="AD56">
        <f>HYPERLINK("https://klasma.github.io/Logging_1904/tillsynsmail/S 1982-2025 tillsynsbegäran mail.docx", "S 1982-2025")</f>
        <v/>
      </c>
      <c r="AE56">
        <f>HYPERLINK("https://klasma.github.io/Logging_1904/fåglar/S 1982-2025 prioriterade fågelarter.docx", "S 1982-2025")</f>
        <v/>
      </c>
    </row>
    <row r="57" ht="15" customHeight="1">
      <c r="A57" t="inlineStr">
        <is>
          <t>S 870-2026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46107</v>
      </c>
      <c r="E57" s="1" t="n">
        <v>46310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Koppartaggsvamp</t>
        </is>
      </c>
      <c r="W57">
        <f>HYPERLINK("https://klasma.github.io/Logging_1904/artfynd/S 870-2026 artfynd.xlsx", "S 870-2026")</f>
        <v/>
      </c>
      <c r="X57">
        <f>HYPERLINK("https://klasma.github.io/Logging_1904/kartor/S 870-2026 karta.png", "S 870-2026")</f>
        <v/>
      </c>
      <c r="Y57">
        <f>HYPERLINK("https://klasma.github.io/Logging_1904/kartor_geotiff/S 870-2026 georefererad karta.tif", "S 870-2026")</f>
        <v/>
      </c>
      <c r="AA57">
        <f>HYPERLINK("https://klasma.github.io/Logging_1904/klagomål/S 870-2026 FSC-klagomål.docx", "S 870-2026")</f>
        <v/>
      </c>
      <c r="AB57">
        <f>HYPERLINK("https://klasma.github.io/Logging_1904/klagomålsmail/S 870-2026 FSC-klagomål mail.docx", "S 870-2026")</f>
        <v/>
      </c>
      <c r="AC57">
        <f>HYPERLINK("https://klasma.github.io/Logging_1904/tillsyn/S 870-2026 tillsynsbegäran.docx", "S 870-2026")</f>
        <v/>
      </c>
      <c r="AD57">
        <f>HYPERLINK("https://klasma.github.io/Logging_1904/tillsynsmail/S 870-2026 tillsynsbegäran mail.docx", "S 870-2026")</f>
        <v/>
      </c>
    </row>
    <row r="58" ht="15" customHeight="1">
      <c r="A58" t="inlineStr">
        <is>
          <t>A 33600-2022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44789</v>
      </c>
      <c r="E58" s="1" t="n">
        <v>46310</v>
      </c>
      <c r="F58" t="inlineStr">
        <is>
          <t>VÄSTMANLANDS LÄN</t>
        </is>
      </c>
      <c r="G58" t="inlineStr">
        <is>
          <t>SKINNSKATTEBERG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46310</v>
      </c>
      <c r="F59" t="inlineStr">
        <is>
          <t>VÄSTMANLANDS LÄN</t>
        </is>
      </c>
      <c r="G59" t="inlineStr">
        <is>
          <t>SKINNSKATTEBERG</t>
        </is>
      </c>
      <c r="I59" t="n">
        <v>7.9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53454-2022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44879</v>
      </c>
      <c r="E60" s="1" t="n">
        <v>46310</v>
      </c>
      <c r="F60" t="inlineStr">
        <is>
          <t>VÄSTMANLANDS LÄN</t>
        </is>
      </c>
      <c r="G60" t="inlineStr">
        <is>
          <t>SKINNSKATTEBERG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16860-2022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44674</v>
      </c>
      <c r="E61" s="1" t="n">
        <v>46310</v>
      </c>
      <c r="F61" t="inlineStr">
        <is>
          <t>VÄSTMANLANDS LÄN</t>
        </is>
      </c>
      <c r="G61" t="inlineStr">
        <is>
          <t>SKINNSKATTEBERG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46310</v>
      </c>
      <c r="F62" t="inlineStr">
        <is>
          <t>VÄSTMANLANDS LÄN</t>
        </is>
      </c>
      <c r="G62" t="inlineStr">
        <is>
          <t>SKINNSKATTEBERG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46310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46310</v>
      </c>
      <c r="F64" t="inlineStr">
        <is>
          <t>VÄSTMANLANDS LÄN</t>
        </is>
      </c>
      <c r="G64" t="inlineStr">
        <is>
          <t>SKINNSKATTEBERG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40499-2022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46310</v>
      </c>
      <c r="F65" t="inlineStr">
        <is>
          <t>VÄSTMANLANDS LÄN</t>
        </is>
      </c>
      <c r="G65" t="inlineStr">
        <is>
          <t>SKINNSKATTEBERG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46310</v>
      </c>
      <c r="F66" t="inlineStr">
        <is>
          <t>VÄSTMANLANDS LÄN</t>
        </is>
      </c>
      <c r="G66" t="inlineStr">
        <is>
          <t>SKINNSKATTEBERG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46310</v>
      </c>
      <c r="F67" t="inlineStr">
        <is>
          <t>VÄSTMANLANDS LÄN</t>
        </is>
      </c>
      <c r="G67" t="inlineStr">
        <is>
          <t>SKINNSKATTEBERG</t>
        </is>
      </c>
      <c r="H67" t="inlineStr">
        <is>
          <t>Sveaskog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46310</v>
      </c>
      <c r="F68" t="inlineStr">
        <is>
          <t>VÄSTMANLANDS LÄN</t>
        </is>
      </c>
      <c r="G68" t="inlineStr">
        <is>
          <t>SKINNSKATTEBERG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46310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66587-2021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44519</v>
      </c>
      <c r="E70" s="1" t="n">
        <v>46310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44545</v>
      </c>
      <c r="E71" s="1" t="n">
        <v>46310</v>
      </c>
      <c r="F71" t="inlineStr">
        <is>
          <t>VÄSTMANLANDS LÄN</t>
        </is>
      </c>
      <c r="G71" t="inlineStr">
        <is>
          <t>SKINNSKATTEBERG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46310</v>
      </c>
      <c r="F72" t="inlineStr">
        <is>
          <t>VÄSTMANLANDS LÄN</t>
        </is>
      </c>
      <c r="G72" t="inlineStr">
        <is>
          <t>SKINNSKATTEBERG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46310</v>
      </c>
      <c r="F73" t="inlineStr">
        <is>
          <t>VÄSTMANLANDS LÄN</t>
        </is>
      </c>
      <c r="G73" t="inlineStr">
        <is>
          <t>SKINNSKATTEBERG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46310</v>
      </c>
      <c r="F74" t="inlineStr">
        <is>
          <t>VÄSTMANLANDS LÄN</t>
        </is>
      </c>
      <c r="G74" t="inlineStr">
        <is>
          <t>SKINNSKATTEBERG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8218-2023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44974</v>
      </c>
      <c r="E75" s="1" t="n">
        <v>46310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Kyrkan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46310</v>
      </c>
      <c r="F76" t="inlineStr">
        <is>
          <t>VÄSTMANLANDS LÄN</t>
        </is>
      </c>
      <c r="G76" t="inlineStr">
        <is>
          <t>SKINNSKATTEBERG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25843-2023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45090</v>
      </c>
      <c r="E77" s="1" t="n">
        <v>46310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22079-2024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45443</v>
      </c>
      <c r="E78" s="1" t="n">
        <v>46310</v>
      </c>
      <c r="F78" t="inlineStr">
        <is>
          <t>VÄSTMANLANDS LÄN</t>
        </is>
      </c>
      <c r="G78" t="inlineStr">
        <is>
          <t>SKINNSKATTEBERG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46310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45476</v>
      </c>
      <c r="E80" s="1" t="n">
        <v>46310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45329</v>
      </c>
      <c r="E81" s="1" t="n">
        <v>46310</v>
      </c>
      <c r="F81" t="inlineStr">
        <is>
          <t>VÄSTMANLANDS LÄN</t>
        </is>
      </c>
      <c r="G81" t="inlineStr">
        <is>
          <t>SKINNSKATTEBERG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46310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25846-2025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45804</v>
      </c>
      <c r="E83" s="1" t="n">
        <v>46310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24793-2022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44728</v>
      </c>
      <c r="E84" s="1" t="n">
        <v>46310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46310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28940-2024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45480</v>
      </c>
      <c r="E86" s="1" t="n">
        <v>46310</v>
      </c>
      <c r="F86" t="inlineStr">
        <is>
          <t>VÄSTMANLANDS LÄN</t>
        </is>
      </c>
      <c r="G86" t="inlineStr">
        <is>
          <t>SKINNSKATTEBERG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46310</v>
      </c>
      <c r="F87" t="inlineStr">
        <is>
          <t>VÄSTMANLANDS LÄN</t>
        </is>
      </c>
      <c r="G87" t="inlineStr">
        <is>
          <t>SKINNSKATTEBERG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44648</v>
      </c>
      <c r="E88" s="1" t="n">
        <v>46310</v>
      </c>
      <c r="F88" t="inlineStr">
        <is>
          <t>VÄSTMANLANDS LÄN</t>
        </is>
      </c>
      <c r="G88" t="inlineStr">
        <is>
          <t>SKINNSKATTEBERG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44728</v>
      </c>
      <c r="E89" s="1" t="n">
        <v>46310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28831-2025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45820</v>
      </c>
      <c r="E90" s="1" t="n">
        <v>46310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28873-2025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45820</v>
      </c>
      <c r="E91" s="1" t="n">
        <v>46310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29808-2025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45825</v>
      </c>
      <c r="E92" s="1" t="n">
        <v>46310</v>
      </c>
      <c r="F92" t="inlineStr">
        <is>
          <t>VÄSTMANLANDS LÄN</t>
        </is>
      </c>
      <c r="G92" t="inlineStr">
        <is>
          <t>SKINNSKATTEBERG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29810-2025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45825</v>
      </c>
      <c r="E93" s="1" t="n">
        <v>46310</v>
      </c>
      <c r="F93" t="inlineStr">
        <is>
          <t>VÄSTMANLANDS LÄN</t>
        </is>
      </c>
      <c r="G93" t="inlineStr">
        <is>
          <t>SKINNSKATTEBERG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46310</v>
      </c>
      <c r="F94" t="inlineStr">
        <is>
          <t>VÄSTMANLANDS LÄN</t>
        </is>
      </c>
      <c r="G94" t="inlineStr">
        <is>
          <t>SKINNSKATTEBERG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46310</v>
      </c>
      <c r="F95" t="inlineStr">
        <is>
          <t>VÄSTMANLANDS LÄN</t>
        </is>
      </c>
      <c r="G95" t="inlineStr">
        <is>
          <t>SKINNSKATTEBERG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30439-2025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45827</v>
      </c>
      <c r="E96" s="1" t="n">
        <v>46310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20816-2023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45058</v>
      </c>
      <c r="E97" s="1" t="n">
        <v>46310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46310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45832</v>
      </c>
      <c r="E99" s="1" t="n">
        <v>46310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45832</v>
      </c>
      <c r="E100" s="1" t="n">
        <v>46310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45832</v>
      </c>
      <c r="E101" s="1" t="n">
        <v>46310</v>
      </c>
      <c r="F101" t="inlineStr">
        <is>
          <t>VÄSTMANLANDS LÄN</t>
        </is>
      </c>
      <c r="G101" t="inlineStr">
        <is>
          <t>SKINNSKATTEBERG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45604</v>
      </c>
      <c r="E102" s="1" t="n">
        <v>46310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55229-2023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45237</v>
      </c>
      <c r="E103" s="1" t="n">
        <v>46310</v>
      </c>
      <c r="F103" t="inlineStr">
        <is>
          <t>VÄSTMANLANDS LÄN</t>
        </is>
      </c>
      <c r="G103" t="inlineStr">
        <is>
          <t>SKINNSKATTEBERG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45425</v>
      </c>
      <c r="E104" s="1" t="n">
        <v>46310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46310</v>
      </c>
      <c r="F105" t="inlineStr">
        <is>
          <t>VÄSTMANLANDS LÄN</t>
        </is>
      </c>
      <c r="G105" t="inlineStr">
        <is>
          <t>SKINNSKATTEBERG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46310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46310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40776-2025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46310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46310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46310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45609</v>
      </c>
      <c r="E111" s="1" t="n">
        <v>46310</v>
      </c>
      <c r="F111" t="inlineStr">
        <is>
          <t>VÄSTMANLANDS LÄN</t>
        </is>
      </c>
      <c r="G111" t="inlineStr">
        <is>
          <t>SKINNSKATTEBERG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46310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40782-2025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46310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30353-2023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46310</v>
      </c>
      <c r="F114" t="inlineStr">
        <is>
          <t>VÄSTMANLANDS LÄN</t>
        </is>
      </c>
      <c r="G114" t="inlineStr">
        <is>
          <t>SKINNSKATTEBERG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45848</v>
      </c>
      <c r="E115" s="1" t="n">
        <v>46310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45853</v>
      </c>
      <c r="E116" s="1" t="n">
        <v>46310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46310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35205-2025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45853</v>
      </c>
      <c r="E118" s="1" t="n">
        <v>46310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30988-2022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44768</v>
      </c>
      <c r="E119" s="1" t="n">
        <v>46310</v>
      </c>
      <c r="F119" t="inlineStr">
        <is>
          <t>VÄSTMANLANDS LÄN</t>
        </is>
      </c>
      <c r="G119" t="inlineStr">
        <is>
          <t>SKINNSKATTEBERG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43185-2025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46310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46310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46310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16088-2024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45406</v>
      </c>
      <c r="E123" s="1" t="n">
        <v>46310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46310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46310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44184-2025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45915</v>
      </c>
      <c r="E126" s="1" t="n">
        <v>46310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31629-2024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45506</v>
      </c>
      <c r="E127" s="1" t="n">
        <v>46310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41581-2025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45901</v>
      </c>
      <c r="E128" s="1" t="n">
        <v>46310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44910</v>
      </c>
      <c r="E129" s="1" t="n">
        <v>46310</v>
      </c>
      <c r="F129" t="inlineStr">
        <is>
          <t>VÄSTMANLANDS LÄN</t>
        </is>
      </c>
      <c r="G129" t="inlineStr">
        <is>
          <t>SKINNSKATTEBERG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18161-2024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45420</v>
      </c>
      <c r="E130" s="1" t="n">
        <v>46310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36597-2024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46310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37763-2025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45880</v>
      </c>
      <c r="E132" s="1" t="n">
        <v>46310</v>
      </c>
      <c r="F132" t="inlineStr">
        <is>
          <t>VÄSTMANLANDS LÄN</t>
        </is>
      </c>
      <c r="G132" t="inlineStr">
        <is>
          <t>SKINNSKATTEBERG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46310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46310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46310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46310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46310</v>
      </c>
      <c r="F137" t="inlineStr">
        <is>
          <t>VÄSTMANLANDS LÄN</t>
        </is>
      </c>
      <c r="G137" t="inlineStr">
        <is>
          <t>SKINNSKATTEBERG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46310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44974</v>
      </c>
      <c r="E139" s="1" t="n">
        <v>46310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Kyrkan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45375</v>
      </c>
      <c r="E140" s="1" t="n">
        <v>46310</v>
      </c>
      <c r="F140" t="inlineStr">
        <is>
          <t>VÄSTMANLANDS LÄN</t>
        </is>
      </c>
      <c r="G140" t="inlineStr">
        <is>
          <t>SKINNSKATTEBERG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46310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46310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46310</v>
      </c>
      <c r="F143" t="inlineStr">
        <is>
          <t>VÄSTMANLANDS LÄN</t>
        </is>
      </c>
      <c r="G143" t="inlineStr">
        <is>
          <t>SKINNSKATTEBERG</t>
        </is>
      </c>
      <c r="I143" t="n">
        <v>10.1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20243-2024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45434</v>
      </c>
      <c r="E144" s="1" t="n">
        <v>46310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46310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46310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52696-2024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45610</v>
      </c>
      <c r="E147" s="1" t="n">
        <v>46310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46310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45947</v>
      </c>
      <c r="E149" s="1" t="n">
        <v>46310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45947</v>
      </c>
      <c r="E150" s="1" t="n">
        <v>46310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45686</v>
      </c>
      <c r="E151" s="1" t="n">
        <v>46310</v>
      </c>
      <c r="F151" t="inlineStr">
        <is>
          <t>VÄSTMANLANDS LÄN</t>
        </is>
      </c>
      <c r="G151" t="inlineStr">
        <is>
          <t>SKINNSKATTEBERG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46310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46310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46310</v>
      </c>
      <c r="F154" t="inlineStr">
        <is>
          <t>VÄSTMANLANDS LÄN</t>
        </is>
      </c>
      <c r="G154" t="inlineStr">
        <is>
          <t>SKINNSKATTEBERG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46310</v>
      </c>
      <c r="F155" t="inlineStr">
        <is>
          <t>VÄSTMANLANDS LÄN</t>
        </is>
      </c>
      <c r="G155" t="inlineStr">
        <is>
          <t>SKINNSKATTEBERG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45770</v>
      </c>
      <c r="E156" s="1" t="n">
        <v>46310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46310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43807-2024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45571</v>
      </c>
      <c r="E158" s="1" t="n">
        <v>46310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46310</v>
      </c>
      <c r="F159" t="inlineStr">
        <is>
          <t>VÄSTMANLANDS LÄN</t>
        </is>
      </c>
      <c r="G159" t="inlineStr">
        <is>
          <t>SKINNSKATTEBERG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46310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46310</v>
      </c>
      <c r="F161" t="inlineStr">
        <is>
          <t>VÄSTMANLANDS LÄN</t>
        </is>
      </c>
      <c r="G161" t="inlineStr">
        <is>
          <t>SKINNSKATTEBERG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46310</v>
      </c>
      <c r="F162" t="inlineStr">
        <is>
          <t>VÄSTMANLANDS LÄN</t>
        </is>
      </c>
      <c r="G162" t="inlineStr">
        <is>
          <t>SKINNSKATTEBERG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46310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46310</v>
      </c>
      <c r="F164" t="inlineStr">
        <is>
          <t>VÄSTMANLANDS LÄN</t>
        </is>
      </c>
      <c r="G164" t="inlineStr">
        <is>
          <t>SKINNSKATTEBERG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46310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46310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8.699999999999999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46310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46310</v>
      </c>
      <c r="F168" t="inlineStr">
        <is>
          <t>VÄSTMANLANDS LÄN</t>
        </is>
      </c>
      <c r="G168" t="inlineStr">
        <is>
          <t>SKINNSKATTEBERG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55952-2025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46310</v>
      </c>
      <c r="F169" t="inlineStr">
        <is>
          <t>VÄSTMANLANDS LÄN</t>
        </is>
      </c>
      <c r="G169" t="inlineStr">
        <is>
          <t>SKINNSKATTEBERG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46310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46310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15094-2026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46310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46310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56465-2025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45975</v>
      </c>
      <c r="E174" s="1" t="n">
        <v>46310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46310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15955-2026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46108</v>
      </c>
      <c r="E176" s="1" t="n">
        <v>46310</v>
      </c>
      <c r="F176" t="inlineStr">
        <is>
          <t>VÄSTMANLANDS LÄN</t>
        </is>
      </c>
      <c r="G176" t="inlineStr">
        <is>
          <t>SKINNSKATTEBERG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46310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18163-2024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46310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16136-2026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46108</v>
      </c>
      <c r="E179" s="1" t="n">
        <v>46310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15731-2026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46107</v>
      </c>
      <c r="E180" s="1" t="n">
        <v>46310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46310</v>
      </c>
      <c r="F181" t="inlineStr">
        <is>
          <t>VÄSTMANLANDS LÄN</t>
        </is>
      </c>
      <c r="G181" t="inlineStr">
        <is>
          <t>SKINNSKATTEBERG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46310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46310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45527</v>
      </c>
      <c r="E184" s="1" t="n">
        <v>46310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46310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46114</v>
      </c>
      <c r="E186" s="1" t="n">
        <v>46310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46310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17344-2026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46119</v>
      </c>
      <c r="E188" s="1" t="n">
        <v>46310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44603</v>
      </c>
      <c r="E189" s="1" t="n">
        <v>46310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Kyrkan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46310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58882-2025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45987</v>
      </c>
      <c r="E191" s="1" t="n">
        <v>46310</v>
      </c>
      <c r="F191" t="inlineStr">
        <is>
          <t>VÄSTMANLANDS LÄN</t>
        </is>
      </c>
      <c r="G191" t="inlineStr">
        <is>
          <t>SKINNSKATTEBERG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45198</v>
      </c>
      <c r="E192" s="1" t="n">
        <v>46310</v>
      </c>
      <c r="F192" t="inlineStr">
        <is>
          <t>VÄSTMANLANDS LÄN</t>
        </is>
      </c>
      <c r="G192" t="inlineStr">
        <is>
          <t>SKINNSKATTEBERG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17933-2026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46122</v>
      </c>
      <c r="E193" s="1" t="n">
        <v>46310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44964</v>
      </c>
      <c r="E194" s="1" t="n">
        <v>46310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44993</v>
      </c>
      <c r="E195" s="1" t="n">
        <v>46310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45992</v>
      </c>
      <c r="E196" s="1" t="n">
        <v>46310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46310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18948-2026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46129</v>
      </c>
      <c r="E198" s="1" t="n">
        <v>46310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45531</v>
      </c>
      <c r="E199" s="1" t="n">
        <v>46310</v>
      </c>
      <c r="F199" t="inlineStr">
        <is>
          <t>VÄSTMANLANDS LÄN</t>
        </is>
      </c>
      <c r="G199" t="inlineStr">
        <is>
          <t>SKINNSKATTEBERG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46310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19540-2026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46134</v>
      </c>
      <c r="E201" s="1" t="n">
        <v>46310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19541-2026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46134</v>
      </c>
      <c r="E202" s="1" t="n">
        <v>46310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19582-2026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46134</v>
      </c>
      <c r="E203" s="1" t="n">
        <v>46310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46310</v>
      </c>
      <c r="F204" t="inlineStr">
        <is>
          <t>VÄSTMANLANDS LÄN</t>
        </is>
      </c>
      <c r="G204" t="inlineStr">
        <is>
          <t>SKINNSKATTEBERG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62934-2025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46310</v>
      </c>
      <c r="F205" t="inlineStr">
        <is>
          <t>VÄSTMANLANDS LÄN</t>
        </is>
      </c>
      <c r="G205" t="inlineStr">
        <is>
          <t>SKINNSKATTEBERG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45901</v>
      </c>
      <c r="E206" s="1" t="n">
        <v>46310</v>
      </c>
      <c r="F206" t="inlineStr">
        <is>
          <t>VÄSTMANLANDS LÄN</t>
        </is>
      </c>
      <c r="G206" t="inlineStr">
        <is>
          <t>SKINNSKATTEBERG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46310</v>
      </c>
      <c r="F207" t="inlineStr">
        <is>
          <t>VÄSTMANLANDS LÄN</t>
        </is>
      </c>
      <c r="G207" t="inlineStr">
        <is>
          <t>SKINNSKATTEBERG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46310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46310</v>
      </c>
      <c r="F209" t="inlineStr">
        <is>
          <t>VÄSTMANLANDS LÄN</t>
        </is>
      </c>
      <c r="G209" t="inlineStr">
        <is>
          <t>SKINNSKATTEBERG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46310</v>
      </c>
      <c r="F210" t="inlineStr">
        <is>
          <t>VÄSTMANLANDS LÄN</t>
        </is>
      </c>
      <c r="G210" t="inlineStr">
        <is>
          <t>SKINNSKATTEBERG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46310</v>
      </c>
      <c r="F211" t="inlineStr">
        <is>
          <t>VÄSTMANLANDS LÄN</t>
        </is>
      </c>
      <c r="G211" t="inlineStr">
        <is>
          <t>SKINNSKATTEBERG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21579-2023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46310</v>
      </c>
      <c r="F212" t="inlineStr">
        <is>
          <t>VÄSTMANLANDS LÄN</t>
        </is>
      </c>
      <c r="G212" t="inlineStr">
        <is>
          <t>SKINNSKATTEBERG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45114</v>
      </c>
      <c r="E213" s="1" t="n">
        <v>46310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36248-2024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46310</v>
      </c>
      <c r="F214" t="inlineStr">
        <is>
          <t>VÄSTMANLANDS LÄN</t>
        </is>
      </c>
      <c r="G214" t="inlineStr">
        <is>
          <t>SKINNSKATTEBERG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45571</v>
      </c>
      <c r="E215" s="1" t="n">
        <v>46310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43806-2024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45571</v>
      </c>
      <c r="E216" s="1" t="n">
        <v>46310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55210-2023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45237</v>
      </c>
      <c r="E217" s="1" t="n">
        <v>46310</v>
      </c>
      <c r="F217" t="inlineStr">
        <is>
          <t>VÄSTMANLANDS LÄN</t>
        </is>
      </c>
      <c r="G217" t="inlineStr">
        <is>
          <t>SKINNSKATTEBERG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46310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20248-2024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45434</v>
      </c>
      <c r="E219" s="1" t="n">
        <v>46310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46310</v>
      </c>
      <c r="F220" t="inlineStr">
        <is>
          <t>VÄSTMANLANDS LÄN</t>
        </is>
      </c>
      <c r="G220" t="inlineStr">
        <is>
          <t>SKINNSKATTEBERG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46310</v>
      </c>
      <c r="F221" t="inlineStr">
        <is>
          <t>VÄSTMANLANDS LÄN</t>
        </is>
      </c>
      <c r="G221" t="inlineStr">
        <is>
          <t>SKINNSKATTEBERG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46310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16729-2024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45410</v>
      </c>
      <c r="E223" s="1" t="n">
        <v>46310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45586</v>
      </c>
      <c r="E224" s="1" t="n">
        <v>46310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5704-2026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46051</v>
      </c>
      <c r="E225" s="1" t="n">
        <v>46310</v>
      </c>
      <c r="F225" t="inlineStr">
        <is>
          <t>VÄSTMANLANDS LÄN</t>
        </is>
      </c>
      <c r="G225" t="inlineStr">
        <is>
          <t>SKINNSKATTEBERG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5693-2026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46051</v>
      </c>
      <c r="E226" s="1" t="n">
        <v>46310</v>
      </c>
      <c r="F226" t="inlineStr">
        <is>
          <t>VÄSTMANLANDS LÄN</t>
        </is>
      </c>
      <c r="G226" t="inlineStr">
        <is>
          <t>SKINNSKATTEBERG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45134</v>
      </c>
      <c r="E227" s="1" t="n">
        <v>46310</v>
      </c>
      <c r="F227" t="inlineStr">
        <is>
          <t>VÄSTMANLANDS LÄN</t>
        </is>
      </c>
      <c r="G227" t="inlineStr">
        <is>
          <t>SKINNSKATTEBERG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45096</v>
      </c>
      <c r="E228" s="1" t="n">
        <v>46310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20623-2026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46310</v>
      </c>
      <c r="F229" t="inlineStr">
        <is>
          <t>VÄSTMANLANDS LÄN</t>
        </is>
      </c>
      <c r="G229" t="inlineStr">
        <is>
          <t>SKINNSKATTEBERG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46051</v>
      </c>
      <c r="E230" s="1" t="n">
        <v>46310</v>
      </c>
      <c r="F230" t="inlineStr">
        <is>
          <t>VÄSTMANLANDS LÄN</t>
        </is>
      </c>
      <c r="G230" t="inlineStr">
        <is>
          <t>SKINNSKATTEBERG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46140</v>
      </c>
      <c r="E231" s="1" t="n">
        <v>46310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20563-2026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46140</v>
      </c>
      <c r="E232" s="1" t="n">
        <v>46310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45740</v>
      </c>
      <c r="E233" s="1" t="n">
        <v>46310</v>
      </c>
      <c r="F233" t="inlineStr">
        <is>
          <t>VÄSTMANLANDS LÄN</t>
        </is>
      </c>
      <c r="G233" t="inlineStr">
        <is>
          <t>SKINNSKATTEBERG</t>
        </is>
      </c>
      <c r="I233" t="n">
        <v>10.4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45407</v>
      </c>
      <c r="E234" s="1" t="n">
        <v>46310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11826-2024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46310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46310</v>
      </c>
      <c r="F236" t="inlineStr">
        <is>
          <t>VÄSTMANLANDS LÄN</t>
        </is>
      </c>
      <c r="G236" t="inlineStr">
        <is>
          <t>SKINNSKATTEBERG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46310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46310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46142</v>
      </c>
      <c r="E239" s="1" t="n">
        <v>46310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46310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46310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46142</v>
      </c>
      <c r="E242" s="1" t="n">
        <v>46310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46142</v>
      </c>
      <c r="E243" s="1" t="n">
        <v>46310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46310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46310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46310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21848-2026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46150</v>
      </c>
      <c r="E247" s="1" t="n">
        <v>46310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46310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46154</v>
      </c>
      <c r="E249" s="1" t="n">
        <v>46310</v>
      </c>
      <c r="F249" t="inlineStr">
        <is>
          <t>VÄSTMANLANDS LÄN</t>
        </is>
      </c>
      <c r="G249" t="inlineStr">
        <is>
          <t>SKINNSKATTEBERG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22779-2026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46157</v>
      </c>
      <c r="E250" s="1" t="n">
        <v>46310</v>
      </c>
      <c r="F250" t="inlineStr">
        <is>
          <t>VÄSTMANLANDS LÄN</t>
        </is>
      </c>
      <c r="G250" t="inlineStr">
        <is>
          <t>SKINNSKATTEBERG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36288-2022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44803</v>
      </c>
      <c r="E251" s="1" t="n">
        <v>46310</v>
      </c>
      <c r="F251" t="inlineStr">
        <is>
          <t>VÄSTMANLANDS LÄN</t>
        </is>
      </c>
      <c r="G251" t="inlineStr">
        <is>
          <t>SKINNSKATTEBERG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46310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46310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46310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46310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46310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45429</v>
      </c>
      <c r="E257" s="1" t="n">
        <v>46310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46310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20074-2023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46310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46170</v>
      </c>
      <c r="E260" s="1" t="n">
        <v>46310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46310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46170</v>
      </c>
      <c r="E262" s="1" t="n">
        <v>46310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46310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20430-2023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45056</v>
      </c>
      <c r="E264" s="1" t="n">
        <v>46310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13713-2024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45390</v>
      </c>
      <c r="E265" s="1" t="n">
        <v>46310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22591-2024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45447</v>
      </c>
      <c r="E266" s="1" t="n">
        <v>46310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46310</v>
      </c>
      <c r="F267" t="inlineStr">
        <is>
          <t>VÄSTMANLANDS LÄN</t>
        </is>
      </c>
      <c r="G267" t="inlineStr">
        <is>
          <t>SKINNSKATTEBERG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25753-2026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46310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25750-2026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46178</v>
      </c>
      <c r="E269" s="1" t="n">
        <v>46310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7.5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45485</v>
      </c>
      <c r="E270" s="1" t="n">
        <v>46310</v>
      </c>
      <c r="F270" t="inlineStr">
        <is>
          <t>VÄSTMANLANDS LÄN</t>
        </is>
      </c>
      <c r="G270" t="inlineStr">
        <is>
          <t>SKINNSKATTEBERG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46177</v>
      </c>
      <c r="E271" s="1" t="n">
        <v>46310</v>
      </c>
      <c r="F271" t="inlineStr">
        <is>
          <t>VÄSTMANLANDS LÄN</t>
        </is>
      </c>
      <c r="G271" t="inlineStr">
        <is>
          <t>SKINNSKATTEBERG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25748-2026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46178</v>
      </c>
      <c r="E272" s="1" t="n">
        <v>46310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26356-2026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46182</v>
      </c>
      <c r="E273" s="1" t="n">
        <v>46310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46310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13385-2024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45387</v>
      </c>
      <c r="E275" s="1" t="n">
        <v>46310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46310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46310</v>
      </c>
      <c r="F277" t="inlineStr">
        <is>
          <t>VÄSTMANLANDS LÄN</t>
        </is>
      </c>
      <c r="G277" t="inlineStr">
        <is>
          <t>SKINNSKATTEBERG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45401</v>
      </c>
      <c r="E278" s="1" t="n">
        <v>46310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37432-2023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45156</v>
      </c>
      <c r="E279" s="1" t="n">
        <v>46310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26866-2026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46310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26865-2026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46310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46310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27637-2026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46190</v>
      </c>
      <c r="E283" s="1" t="n">
        <v>46310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27639-2026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46310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46190</v>
      </c>
      <c r="E285" s="1" t="n">
        <v>46310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46310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27921-2026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46191</v>
      </c>
      <c r="E287" s="1" t="n">
        <v>46310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45096</v>
      </c>
      <c r="E288" s="1" t="n">
        <v>46310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46310</v>
      </c>
      <c r="F289" t="inlineStr">
        <is>
          <t>VÄSTMANLANDS LÄN</t>
        </is>
      </c>
      <c r="G289" t="inlineStr">
        <is>
          <t>SKINNSKATTEBERG</t>
        </is>
      </c>
      <c r="I289" t="n">
        <v>8.5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40545-2023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45170</v>
      </c>
      <c r="E290" s="1" t="n">
        <v>46310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46197</v>
      </c>
      <c r="E291" s="1" t="n">
        <v>46310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46197</v>
      </c>
      <c r="E292" s="1" t="n">
        <v>46310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46310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45686</v>
      </c>
      <c r="E294" s="1" t="n">
        <v>46310</v>
      </c>
      <c r="F294" t="inlineStr">
        <is>
          <t>VÄSTMANLANDS LÄN</t>
        </is>
      </c>
      <c r="G294" t="inlineStr">
        <is>
          <t>SKINNSKATTEBERG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46310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46199</v>
      </c>
      <c r="E296" s="1" t="n">
        <v>46310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45558</v>
      </c>
      <c r="E297" s="1" t="n">
        <v>46310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29091-2026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46200</v>
      </c>
      <c r="E298" s="1" t="n">
        <v>46310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29090-2026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46200</v>
      </c>
      <c r="E299" s="1" t="n">
        <v>46310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29021-2026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46199</v>
      </c>
      <c r="E300" s="1" t="n">
        <v>46310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10232-2025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45720</v>
      </c>
      <c r="E301" s="1" t="n">
        <v>46310</v>
      </c>
      <c r="F301" t="inlineStr">
        <is>
          <t>VÄSTMANLANDS LÄN</t>
        </is>
      </c>
      <c r="G301" t="inlineStr">
        <is>
          <t>SKINNSKATTEBERG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44693-2024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45574</v>
      </c>
      <c r="E302" s="1" t="n">
        <v>46310</v>
      </c>
      <c r="F302" t="inlineStr">
        <is>
          <t>VÄSTMANLANDS LÄN</t>
        </is>
      </c>
      <c r="G302" t="inlineStr">
        <is>
          <t>SKINNSKATTEBERG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44694-2024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45574</v>
      </c>
      <c r="E303" s="1" t="n">
        <v>46310</v>
      </c>
      <c r="F303" t="inlineStr">
        <is>
          <t>VÄSTMANLANDS LÄN</t>
        </is>
      </c>
      <c r="G303" t="inlineStr">
        <is>
          <t>SKINNSKATTEBERG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46210</v>
      </c>
      <c r="E304" s="1" t="n">
        <v>46310</v>
      </c>
      <c r="F304" t="inlineStr">
        <is>
          <t>VÄSTMANLANDS LÄN</t>
        </is>
      </c>
      <c r="G304" t="inlineStr">
        <is>
          <t>SKINNSKATTEBERG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45082</v>
      </c>
      <c r="E305" s="1" t="n">
        <v>46310</v>
      </c>
      <c r="F305" t="inlineStr">
        <is>
          <t>VÄSTMANLANDS LÄN</t>
        </is>
      </c>
      <c r="G305" t="inlineStr">
        <is>
          <t>SKINNSKATTEBERG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61181-2021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44498</v>
      </c>
      <c r="E306" s="1" t="n">
        <v>46310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33396-2023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46310</v>
      </c>
      <c r="F307" t="inlineStr">
        <is>
          <t>VÄSTMANLANDS LÄN</t>
        </is>
      </c>
      <c r="G307" t="inlineStr">
        <is>
          <t>SKINNSKATTEBERG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46310</v>
      </c>
      <c r="F308" t="inlineStr">
        <is>
          <t>VÄSTMANLANDS LÄN</t>
        </is>
      </c>
      <c r="G308" t="inlineStr">
        <is>
          <t>SKINNSKATTEBERG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46310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40179-2024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45554</v>
      </c>
      <c r="E310" s="1" t="n">
        <v>46310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24884-2023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45085</v>
      </c>
      <c r="E311" s="1" t="n">
        <v>46310</v>
      </c>
      <c r="F311" t="inlineStr">
        <is>
          <t>VÄSTMANLANDS LÄN</t>
        </is>
      </c>
      <c r="G311" t="inlineStr">
        <is>
          <t>SKINNSKATTEBERG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46268</v>
      </c>
      <c r="E312" s="1" t="n">
        <v>46310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46310</v>
      </c>
      <c r="F313" t="inlineStr">
        <is>
          <t>VÄSTMANLANDS LÄN</t>
        </is>
      </c>
      <c r="G313" t="inlineStr">
        <is>
          <t>SKINNSKATTEBERG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46310</v>
      </c>
      <c r="F314" t="inlineStr">
        <is>
          <t>VÄSTMANLANDS LÄN</t>
        </is>
      </c>
      <c r="G314" t="inlineStr">
        <is>
          <t>SKINNSKATTEBERG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31260-2023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45114</v>
      </c>
      <c r="E315" s="1" t="n">
        <v>46310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29026-2026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46199</v>
      </c>
      <c r="E316" s="1" t="n">
        <v>46310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37168-2026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46274</v>
      </c>
      <c r="E317" s="1" t="n">
        <v>46310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45006</v>
      </c>
      <c r="E318" s="1" t="n">
        <v>46310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Allmännings- och besparingsskogar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45385</v>
      </c>
      <c r="E319" s="1" t="n">
        <v>46310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15561-2024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45401</v>
      </c>
      <c r="E320" s="1" t="n">
        <v>46310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6943-2023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44967</v>
      </c>
      <c r="E321" s="1" t="n">
        <v>46310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43400-2024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45568</v>
      </c>
      <c r="E322" s="1" t="n">
        <v>46310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46279</v>
      </c>
      <c r="E323" s="1" t="n">
        <v>46310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32217-2026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46237</v>
      </c>
      <c r="E324" s="1" t="n">
        <v>46310</v>
      </c>
      <c r="F324" t="inlineStr">
        <is>
          <t>VÄSTMANLANDS LÄN</t>
        </is>
      </c>
      <c r="G324" t="inlineStr">
        <is>
          <t>SKINNSKATTEBERG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60355-2024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45643</v>
      </c>
      <c r="E325" s="1" t="n">
        <v>46310</v>
      </c>
      <c r="F325" t="inlineStr">
        <is>
          <t>VÄSTMANLANDS LÄN</t>
        </is>
      </c>
      <c r="G325" t="inlineStr">
        <is>
          <t>SKINNSKATTEBERG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45435</v>
      </c>
      <c r="E326" s="1" t="n">
        <v>46310</v>
      </c>
      <c r="F326" t="inlineStr">
        <is>
          <t>VÄSTMANLANDS LÄN</t>
        </is>
      </c>
      <c r="G326" t="inlineStr">
        <is>
          <t>SKINNSKATTEBERG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44995</v>
      </c>
      <c r="E327" s="1" t="n">
        <v>46310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44806</v>
      </c>
      <c r="E328" s="1" t="n">
        <v>46310</v>
      </c>
      <c r="F328" t="inlineStr">
        <is>
          <t>VÄSTMANLANDS LÄN</t>
        </is>
      </c>
      <c r="G328" t="inlineStr">
        <is>
          <t>SKINNSKATTEBERG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46310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54657-2022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44883</v>
      </c>
      <c r="E330" s="1" t="n">
        <v>46310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46310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46310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66584-2021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44519</v>
      </c>
      <c r="E333" s="1" t="n">
        <v>46310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45156</v>
      </c>
      <c r="E334" s="1" t="n">
        <v>46310</v>
      </c>
      <c r="F334" t="inlineStr">
        <is>
          <t>VÄSTMANLANDS LÄN</t>
        </is>
      </c>
      <c r="G334" t="inlineStr">
        <is>
          <t>SKINNSKATTEBERG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45252</v>
      </c>
      <c r="E335" s="1" t="n">
        <v>46310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31302-2024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45504</v>
      </c>
      <c r="E336" s="1" t="n">
        <v>46310</v>
      </c>
      <c r="F336" t="inlineStr">
        <is>
          <t>VÄSTMANLANDS LÄN</t>
        </is>
      </c>
      <c r="G336" t="inlineStr">
        <is>
          <t>SKINNSKATTEBERG</t>
        </is>
      </c>
      <c r="I336" t="n">
        <v>17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32870-2026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46310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45306</v>
      </c>
      <c r="E338" s="1" t="n">
        <v>46310</v>
      </c>
      <c r="F338" t="inlineStr">
        <is>
          <t>VÄSTMANLANDS LÄN</t>
        </is>
      </c>
      <c r="G338" t="inlineStr">
        <is>
          <t>SKINNSKATTEBERG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46310</v>
      </c>
      <c r="F339" t="inlineStr">
        <is>
          <t>VÄSTMANLANDS LÄN</t>
        </is>
      </c>
      <c r="G339" t="inlineStr">
        <is>
          <t>SKINNSKATTEBERG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45306</v>
      </c>
      <c r="E340" s="1" t="n">
        <v>46310</v>
      </c>
      <c r="F340" t="inlineStr">
        <is>
          <t>VÄSTMANLANDS LÄN</t>
        </is>
      </c>
      <c r="G340" t="inlineStr">
        <is>
          <t>SKINNSKATTEBERG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46244</v>
      </c>
      <c r="E341" s="1" t="n">
        <v>46310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46310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46310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46310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38735-2026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46285</v>
      </c>
      <c r="E345" s="1" t="n">
        <v>46310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39620-2026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46289</v>
      </c>
      <c r="E346" s="1" t="n">
        <v>46310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15184-2025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45744</v>
      </c>
      <c r="E347" s="1" t="n">
        <v>46310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41332-2023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45174</v>
      </c>
      <c r="E348" s="1" t="n">
        <v>46310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39863-2026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46290</v>
      </c>
      <c r="E349" s="1" t="n">
        <v>46310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46290</v>
      </c>
      <c r="E350" s="1" t="n">
        <v>46310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39869-2026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46310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46247</v>
      </c>
      <c r="E352" s="1" t="n">
        <v>46310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40549-2024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45555</v>
      </c>
      <c r="E353" s="1" t="n">
        <v>46310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42425-2023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45180</v>
      </c>
      <c r="E354" s="1" t="n">
        <v>46310</v>
      </c>
      <c r="F354" t="inlineStr">
        <is>
          <t>VÄSTMANLANDS LÄN</t>
        </is>
      </c>
      <c r="G354" t="inlineStr">
        <is>
          <t>SKINNSKATTEBERG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61424-2023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45264</v>
      </c>
      <c r="E355" s="1" t="n">
        <v>46310</v>
      </c>
      <c r="F355" t="inlineStr">
        <is>
          <t>VÄSTMANLANDS LÄN</t>
        </is>
      </c>
      <c r="G355" t="inlineStr">
        <is>
          <t>SKINNSKATTEBERG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46310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46248</v>
      </c>
      <c r="E357" s="1" t="n">
        <v>46310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33789-2024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45520</v>
      </c>
      <c r="E358" s="1" t="n">
        <v>46310</v>
      </c>
      <c r="F358" t="inlineStr">
        <is>
          <t>VÄSTMANLANDS LÄN</t>
        </is>
      </c>
      <c r="G358" t="inlineStr">
        <is>
          <t>SKINNSKATTEBERG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22394-2022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44713</v>
      </c>
      <c r="E359" s="1" t="n">
        <v>46310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35831-2024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45532</v>
      </c>
      <c r="E360" s="1" t="n">
        <v>46310</v>
      </c>
      <c r="F360" t="inlineStr">
        <is>
          <t>VÄSTMANLANDS LÄN</t>
        </is>
      </c>
      <c r="G360" t="inlineStr">
        <is>
          <t>SKINNSKATTEBERG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35834-2024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45532</v>
      </c>
      <c r="E361" s="1" t="n">
        <v>46310</v>
      </c>
      <c r="F361" t="inlineStr">
        <is>
          <t>VÄSTMANLANDS LÄN</t>
        </is>
      </c>
      <c r="G361" t="inlineStr">
        <is>
          <t>SKINNSKATTEBERG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40176-2024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45554</v>
      </c>
      <c r="E362" s="1" t="n">
        <v>46310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45048</v>
      </c>
      <c r="E363" s="1" t="n">
        <v>46310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35683-2024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45532</v>
      </c>
      <c r="E364" s="1" t="n">
        <v>46310</v>
      </c>
      <c r="F364" t="inlineStr">
        <is>
          <t>VÄSTMANLANDS LÄN</t>
        </is>
      </c>
      <c r="G364" t="inlineStr">
        <is>
          <t>SKINNSKATTEBERG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32205-2026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46237</v>
      </c>
      <c r="E365" s="1" t="n">
        <v>46310</v>
      </c>
      <c r="F365" t="inlineStr">
        <is>
          <t>VÄSTMANLANDS LÄN</t>
        </is>
      </c>
      <c r="G365" t="inlineStr">
        <is>
          <t>SKINNSKATTEBERG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34272-2026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46310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31268-2023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45114</v>
      </c>
      <c r="E367" s="1" t="n">
        <v>46310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45506</v>
      </c>
      <c r="E368" s="1" t="n">
        <v>46310</v>
      </c>
      <c r="F368" t="inlineStr">
        <is>
          <t>VÄSTMANLANDS LÄN</t>
        </is>
      </c>
      <c r="G368" t="inlineStr">
        <is>
          <t>SKINNSKATTEBERG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41207-2026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46310</v>
      </c>
      <c r="F369" t="inlineStr">
        <is>
          <t>VÄSTMANLANDS LÄN</t>
        </is>
      </c>
      <c r="G369" t="inlineStr">
        <is>
          <t>SKINNSKATTEBERG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46310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46310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45014</v>
      </c>
      <c r="E372" s="1" t="n">
        <v>46310</v>
      </c>
      <c r="F372" t="inlineStr">
        <is>
          <t>VÄSTMANLANDS LÄN</t>
        </is>
      </c>
      <c r="G372" t="inlineStr">
        <is>
          <t>SKINNSKATTEBERG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14736-2023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45014</v>
      </c>
      <c r="E373" s="1" t="n">
        <v>46310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18409-2025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45762</v>
      </c>
      <c r="E374" s="1" t="n">
        <v>46310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41610-2026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46302</v>
      </c>
      <c r="E375" s="1" t="n">
        <v>46310</v>
      </c>
      <c r="F375" t="inlineStr">
        <is>
          <t>VÄSTMANLANDS LÄN</t>
        </is>
      </c>
      <c r="G375" t="inlineStr">
        <is>
          <t>SKINNSKATTEBERG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45040</v>
      </c>
      <c r="E376" s="1" t="n">
        <v>46310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35168-2026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46260</v>
      </c>
      <c r="E377" s="1" t="n">
        <v>46310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48492-2024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45592</v>
      </c>
      <c r="E378" s="1" t="n">
        <v>46310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35171-2026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46260</v>
      </c>
      <c r="E379" s="1" t="n">
        <v>46310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45777</v>
      </c>
      <c r="E380" s="1" t="n">
        <v>46310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46310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35582-2026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46262</v>
      </c>
      <c r="E382" s="1" t="n">
        <v>46310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46310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46262</v>
      </c>
      <c r="E384" s="1" t="n">
        <v>46310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46262</v>
      </c>
      <c r="E385" s="1" t="n">
        <v>46310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12158-2024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45377</v>
      </c>
      <c r="E386" s="1" t="n">
        <v>46310</v>
      </c>
      <c r="F386" t="inlineStr">
        <is>
          <t>VÄSTMANLANDS LÄN</t>
        </is>
      </c>
      <c r="G386" t="inlineStr">
        <is>
          <t>SKINNSKATTEBERG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46262</v>
      </c>
      <c r="E387" s="1" t="n">
        <v>46310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46308</v>
      </c>
      <c r="E388" s="1" t="n">
        <v>46310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37730-2024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46310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46310</v>
      </c>
      <c r="F390" t="inlineStr">
        <is>
          <t>VÄSTMANLANDS LÄN</t>
        </is>
      </c>
      <c r="G390" t="inlineStr">
        <is>
          <t>SKINNSKATTEBERG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35746-2026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46265</v>
      </c>
      <c r="E391" s="1" t="n">
        <v>46310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46308</v>
      </c>
      <c r="E392" s="1" t="n">
        <v>46310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46308</v>
      </c>
      <c r="E393" s="1" t="n">
        <v>46310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46308</v>
      </c>
      <c r="E394" s="1" t="n">
        <v>46310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46308</v>
      </c>
      <c r="E395" s="1" t="n">
        <v>46310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38783-2024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45547</v>
      </c>
      <c r="E396" s="1" t="n">
        <v>46310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42564-2026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46310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42547-2026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46308</v>
      </c>
      <c r="E398" s="1" t="n">
        <v>46310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45480</v>
      </c>
      <c r="E399" s="1" t="n">
        <v>46310</v>
      </c>
      <c r="F399" t="inlineStr">
        <is>
          <t>VÄSTMANLANDS LÄN</t>
        </is>
      </c>
      <c r="G399" t="inlineStr">
        <is>
          <t>SKINNSKATTEBERG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22285-2025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45786</v>
      </c>
      <c r="E400" s="1" t="n">
        <v>46310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46310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46310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46310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46310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46310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46310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46310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46310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46310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46310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46310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46310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46310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46310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46310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2026-10-15T02:04:31Z</dcterms:created>
  <dcterms:modified xmlns:dcterms="http://purl.org/dc/terms/" xmlns:xsi="http://www.w3.org/2001/XMLSchema-instance" xsi:type="dcterms:W3CDTF">2026-10-15T02:04:32Z</dcterms:modified>
</cp:coreProperties>
</file>