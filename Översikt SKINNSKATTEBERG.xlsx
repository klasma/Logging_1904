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46316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46316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46316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46316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46316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46316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39621-2026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46289</v>
      </c>
      <c r="E11" s="1" t="n">
        <v>46316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1.6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Motaggsvamp
Orange taggsvamp
Vedskivlav
Zontaggsvamp</t>
        </is>
      </c>
      <c r="W11">
        <f>HYPERLINK("https://klasma.github.io/Logging_1904/artfynd/A 39621-2026 artfynd.xlsx", "A 39621-2026")</f>
        <v/>
      </c>
      <c r="X11">
        <f>HYPERLINK("https://klasma.github.io/Logging_1904/kartor/A 39621-2026 karta.png", "A 39621-2026")</f>
        <v/>
      </c>
      <c r="Y11">
        <f>HYPERLINK("https://klasma.github.io/Logging_1904/kartor_geotiff/A 39621-2026 georefererad karta.tif", "A 39621-2026")</f>
        <v/>
      </c>
      <c r="AA11">
        <f>HYPERLINK("https://klasma.github.io/Logging_1904/klagomål/A 39621-2026 FSC-klagomål.docx", "A 39621-2026")</f>
        <v/>
      </c>
      <c r="AB11">
        <f>HYPERLINK("https://klasma.github.io/Logging_1904/klagomålsmail/A 39621-2026 FSC-klagomål mail.docx", "A 39621-2026")</f>
        <v/>
      </c>
      <c r="AC11">
        <f>HYPERLINK("https://klasma.github.io/Logging_1904/tillsyn/A 39621-2026 tillsynsbegäran.docx", "A 39621-2026")</f>
        <v/>
      </c>
      <c r="AD11">
        <f>HYPERLINK("https://klasma.github.io/Logging_1904/tillsynsmail/A 39621-2026 tillsynsbegäran mail.docx", "A 39621-2026")</f>
        <v/>
      </c>
    </row>
    <row r="12" ht="15" customHeight="1">
      <c r="A12" t="inlineStr">
        <is>
          <t>A 39619-2026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6.3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Skrovlig taggsvamp
Mjölsvärting
Motaggsvamp
Plattlummer</t>
        </is>
      </c>
      <c r="W12">
        <f>HYPERLINK("https://klasma.github.io/Logging_1904/artfynd/A 39619-2026 artfynd.xlsx", "A 39619-2026")</f>
        <v/>
      </c>
      <c r="X12">
        <f>HYPERLINK("https://klasma.github.io/Logging_1904/kartor/A 39619-2026 karta.png", "A 39619-2026")</f>
        <v/>
      </c>
      <c r="Y12">
        <f>HYPERLINK("https://klasma.github.io/Logging_1904/kartor_geotiff/A 39619-2026 georefererad karta.tif", "A 39619-2026")</f>
        <v/>
      </c>
      <c r="AA12">
        <f>HYPERLINK("https://klasma.github.io/Logging_1904/klagomål/A 39619-2026 FSC-klagomål.docx", "A 39619-2026")</f>
        <v/>
      </c>
      <c r="AB12">
        <f>HYPERLINK("https://klasma.github.io/Logging_1904/klagomålsmail/A 39619-2026 FSC-klagomål mail.docx", "A 39619-2026")</f>
        <v/>
      </c>
      <c r="AC12">
        <f>HYPERLINK("https://klasma.github.io/Logging_1904/tillsyn/A 39619-2026 tillsynsbegäran.docx", "A 39619-2026")</f>
        <v/>
      </c>
      <c r="AD12">
        <f>HYPERLINK("https://klasma.github.io/Logging_1904/tillsynsmail/A 39619-2026 tillsynsbegäran mail.docx", "A 39619-2026")</f>
        <v/>
      </c>
    </row>
    <row r="13" ht="15" customHeight="1">
      <c r="A13" t="inlineStr">
        <is>
          <t>A 36595-2024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45537</v>
      </c>
      <c r="E13" s="1" t="n">
        <v>46316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</v>
      </c>
      <c r="J13" t="n">
        <v>1</v>
      </c>
      <c r="K13" t="n">
        <v>0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4</v>
      </c>
      <c r="T13" t="n">
        <v>4</v>
      </c>
      <c r="U13" t="n">
        <v>4</v>
      </c>
      <c r="V13" s="2" t="inlineStr">
        <is>
          <t>Knärot
Lakritsmusseron
Lammticka
Skarp dropptaggsvamp</t>
        </is>
      </c>
      <c r="W13">
        <f>HYPERLINK("https://klasma.github.io/Logging_1904/artfynd/A 36595-2024 artfynd.xlsx", "A 36595-2024")</f>
        <v/>
      </c>
      <c r="X13">
        <f>HYPERLINK("https://klasma.github.io/Logging_1904/kartor/A 36595-2024 karta.png", "A 36595-2024")</f>
        <v/>
      </c>
      <c r="Y13">
        <f>HYPERLINK("https://klasma.github.io/Logging_1904/kartor_geotiff/A 36595-2024 georefererad karta.tif", "A 36595-2024")</f>
        <v/>
      </c>
      <c r="Z13">
        <f>HYPERLINK("https://klasma.github.io/Logging_1904/knärot/A 36595-2024 karta knärot.png", "A 36595-2024")</f>
        <v/>
      </c>
      <c r="AA13">
        <f>HYPERLINK("https://klasma.github.io/Logging_1904/klagomål/A 36595-2024 FSC-klagomål.docx", "A 36595-2024")</f>
        <v/>
      </c>
      <c r="AB13">
        <f>HYPERLINK("https://klasma.github.io/Logging_1904/klagomålsmail/A 36595-2024 FSC-klagomål mail.docx", "A 36595-2024")</f>
        <v/>
      </c>
      <c r="AC13">
        <f>HYPERLINK("https://klasma.github.io/Logging_1904/tillsyn/A 36595-2024 tillsynsbegäran.docx", "A 36595-2024")</f>
        <v/>
      </c>
      <c r="AD13">
        <f>HYPERLINK("https://klasma.github.io/Logging_1904/tillsynsmail/A 36595-2024 tillsynsbegäran mail.docx", "A 36595-2024")</f>
        <v/>
      </c>
    </row>
    <row r="14" ht="15" customHeight="1">
      <c r="A14" t="inlineStr">
        <is>
          <t>A 34303-2026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46254</v>
      </c>
      <c r="E14" s="1" t="n">
        <v>46316</v>
      </c>
      <c r="F14" t="inlineStr">
        <is>
          <t>VÄSTMANLANDS LÄN</t>
        </is>
      </c>
      <c r="G14" t="inlineStr">
        <is>
          <t>SKINNSKATTEBERG</t>
        </is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Skogsalm
Svart trolldruva
Tibast
Brudborste</t>
        </is>
      </c>
      <c r="W14">
        <f>HYPERLINK("https://klasma.github.io/Logging_1904/artfynd/A 34303-2026 artfynd.xlsx", "A 34303-2026")</f>
        <v/>
      </c>
      <c r="X14">
        <f>HYPERLINK("https://klasma.github.io/Logging_1904/kartor/A 34303-2026 karta.png", "A 34303-2026")</f>
        <v/>
      </c>
      <c r="Y14">
        <f>HYPERLINK("https://klasma.github.io/Logging_1904/kartor_geotiff/A 34303-2026 georefererad karta.tif", "A 34303-2026")</f>
        <v/>
      </c>
      <c r="AA14">
        <f>HYPERLINK("https://klasma.github.io/Logging_1904/klagomål/A 34303-2026 FSC-klagomål.docx", "A 34303-2026")</f>
        <v/>
      </c>
      <c r="AB14">
        <f>HYPERLINK("https://klasma.github.io/Logging_1904/klagomålsmail/A 34303-2026 FSC-klagomål mail.docx", "A 34303-2026")</f>
        <v/>
      </c>
      <c r="AC14">
        <f>HYPERLINK("https://klasma.github.io/Logging_1904/tillsyn/A 34303-2026 tillsynsbegäran.docx", "A 34303-2026")</f>
        <v/>
      </c>
      <c r="AD14">
        <f>HYPERLINK("https://klasma.github.io/Logging_1904/tillsynsmail/A 34303-2026 tillsynsbegäran mail.docx", "A 34303-2026")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46316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46316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58355-2025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46316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6</v>
      </c>
      <c r="U17" t="n">
        <v>4</v>
      </c>
      <c r="V17" s="2" t="inlineStr">
        <is>
          <t>Brunpudrad nållav
Vedtrappmossa
Brandticka</t>
        </is>
      </c>
      <c r="W17">
        <f>HYPERLINK("https://klasma.github.io/Logging_1904/artfynd/A 58355-2025 artfynd.xlsx", "A 58355-2025")</f>
        <v/>
      </c>
      <c r="X17">
        <f>HYPERLINK("https://klasma.github.io/Logging_1904/kartor/A 58355-2025 karta.png", "A 58355-2025")</f>
        <v/>
      </c>
      <c r="Y17">
        <f>HYPERLINK("https://klasma.github.io/Logging_1904/kartor_geotiff/A 58355-2025 georefererad karta.tif", "A 58355-2025")</f>
        <v/>
      </c>
      <c r="AA17">
        <f>HYPERLINK("https://klasma.github.io/Logging_1904/klagomål/A 58355-2025 FSC-klagomål.docx", "A 58355-2025")</f>
        <v/>
      </c>
      <c r="AB17">
        <f>HYPERLINK("https://klasma.github.io/Logging_1904/klagomålsmail/A 58355-2025 FSC-klagomål mail.docx", "A 58355-2025")</f>
        <v/>
      </c>
      <c r="AC17">
        <f>HYPERLINK("https://klasma.github.io/Logging_1904/tillsyn/A 58355-2025 tillsynsbegäran.docx", "A 58355-2025")</f>
        <v/>
      </c>
      <c r="AD17">
        <f>HYPERLINK("https://klasma.github.io/Logging_1904/tillsynsmail/A 58355-2025 tillsynsbegäran mail.docx", "A 58355-2025")</f>
        <v/>
      </c>
    </row>
    <row r="18" ht="15" customHeight="1">
      <c r="A18" t="inlineStr">
        <is>
          <t>A 18515-2024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46316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Plattlummer
Fläcknycklar
Revlummer</t>
        </is>
      </c>
      <c r="W18">
        <f>HYPERLINK("https://klasma.github.io/Logging_1904/artfynd/A 18515-2024 artfynd.xlsx", "A 18515-2024")</f>
        <v/>
      </c>
      <c r="X18">
        <f>HYPERLINK("https://klasma.github.io/Logging_1904/kartor/A 18515-2024 karta.png", "A 18515-2024")</f>
        <v/>
      </c>
      <c r="Y18">
        <f>HYPERLINK("https://klasma.github.io/Logging_1904/kartor_geotiff/A 18515-2024 georefererad karta.tif", "A 18515-2024")</f>
        <v/>
      </c>
      <c r="AA18">
        <f>HYPERLINK("https://klasma.github.io/Logging_1904/klagomål/A 18515-2024 FSC-klagomål.docx", "A 18515-2024")</f>
        <v/>
      </c>
      <c r="AB18">
        <f>HYPERLINK("https://klasma.github.io/Logging_1904/klagomålsmail/A 18515-2024 FSC-klagomål mail.docx", "A 18515-2024")</f>
        <v/>
      </c>
      <c r="AC18">
        <f>HYPERLINK("https://klasma.github.io/Logging_1904/tillsyn/A 18515-2024 tillsynsbegäran.docx", "A 18515-2024")</f>
        <v/>
      </c>
      <c r="AD18">
        <f>HYPERLINK("https://klasma.github.io/Logging_1904/tillsynsmail/A 18515-2024 tillsynsbegäran mail.docx", "A 18515-2024")</f>
        <v/>
      </c>
    </row>
    <row r="19" ht="15" customHeight="1">
      <c r="A19" t="inlineStr">
        <is>
          <t>A 21846-2026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46150</v>
      </c>
      <c r="E19" s="1" t="n">
        <v>46316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Gränsticka
Brunpudrad nållav
Vedtrappmossa</t>
        </is>
      </c>
      <c r="W19">
        <f>HYPERLINK("https://klasma.github.io/Logging_1904/artfynd/A 21846-2026 artfynd.xlsx", "A 21846-2026")</f>
        <v/>
      </c>
      <c r="X19">
        <f>HYPERLINK("https://klasma.github.io/Logging_1904/kartor/A 21846-2026 karta.png", "A 21846-2026")</f>
        <v/>
      </c>
      <c r="Y19">
        <f>HYPERLINK("https://klasma.github.io/Logging_1904/kartor_geotiff/A 21846-2026 georefererad karta.tif", "A 21846-2026")</f>
        <v/>
      </c>
      <c r="AA19">
        <f>HYPERLINK("https://klasma.github.io/Logging_1904/klagomål/A 21846-2026 FSC-klagomål.docx", "A 21846-2026")</f>
        <v/>
      </c>
      <c r="AB19">
        <f>HYPERLINK("https://klasma.github.io/Logging_1904/klagomålsmail/A 21846-2026 FSC-klagomål mail.docx", "A 21846-2026")</f>
        <v/>
      </c>
      <c r="AC19">
        <f>HYPERLINK("https://klasma.github.io/Logging_1904/tillsyn/A 21846-2026 tillsynsbegäran.docx", "A 21846-2026")</f>
        <v/>
      </c>
      <c r="AD19">
        <f>HYPERLINK("https://klasma.github.io/Logging_1904/tillsynsmail/A 21846-2026 tillsynsbegäran mail.docx", "A 21846-2026")</f>
        <v/>
      </c>
    </row>
    <row r="20" ht="15" customHeight="1">
      <c r="A20" t="inlineStr">
        <is>
          <t>A 44698-2024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45574</v>
      </c>
      <c r="E20" s="1" t="n">
        <v>46316</v>
      </c>
      <c r="F20" t="inlineStr">
        <is>
          <t>VÄSTMANLANDS LÄN</t>
        </is>
      </c>
      <c r="G20" t="inlineStr">
        <is>
          <t>SKINNSKATTEBERG</t>
        </is>
      </c>
      <c r="I20" t="n">
        <v>1.3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Hässleklocka
Tibast
Gullviva</t>
        </is>
      </c>
      <c r="W20">
        <f>HYPERLINK("https://klasma.github.io/Logging_1904/artfynd/A 44698-2024 artfynd.xlsx", "A 44698-2024")</f>
        <v/>
      </c>
      <c r="X20">
        <f>HYPERLINK("https://klasma.github.io/Logging_1904/kartor/A 44698-2024 karta.png", "A 44698-2024")</f>
        <v/>
      </c>
      <c r="Y20">
        <f>HYPERLINK("https://klasma.github.io/Logging_1904/kartor_geotiff/A 44698-2024 georefererad karta.tif", "A 44698-2024")</f>
        <v/>
      </c>
      <c r="AA20">
        <f>HYPERLINK("https://klasma.github.io/Logging_1904/klagomål/A 44698-2024 FSC-klagomål.docx", "A 44698-2024")</f>
        <v/>
      </c>
      <c r="AB20">
        <f>HYPERLINK("https://klasma.github.io/Logging_1904/klagomålsmail/A 44698-2024 FSC-klagomål mail.docx", "A 44698-2024")</f>
        <v/>
      </c>
      <c r="AC20">
        <f>HYPERLINK("https://klasma.github.io/Logging_1904/tillsyn/A 44698-2024 tillsynsbegäran.docx", "A 44698-2024")</f>
        <v/>
      </c>
      <c r="AD20">
        <f>HYPERLINK("https://klasma.github.io/Logging_1904/tillsynsmail/A 44698-2024 tillsynsbegäran mail.docx", "A 44698-2024")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46316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46316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46316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46316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46316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46316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46316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15734-2026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46107</v>
      </c>
      <c r="E29" s="1" t="n">
        <v>46316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Koppartaggsvamp</t>
        </is>
      </c>
      <c r="W29">
        <f>HYPERLINK("https://klasma.github.io/Logging_1904/artfynd/A 15734-2026 artfynd.xlsx", "A 15734-2026")</f>
        <v/>
      </c>
      <c r="X29">
        <f>HYPERLINK("https://klasma.github.io/Logging_1904/kartor/A 15734-2026 karta.png", "A 15734-2026")</f>
        <v/>
      </c>
      <c r="Y29">
        <f>HYPERLINK("https://klasma.github.io/Logging_1904/kartor_geotiff/A 15734-2026 georefererad karta.tif", "A 15734-2026")</f>
        <v/>
      </c>
      <c r="AA29">
        <f>HYPERLINK("https://klasma.github.io/Logging_1904/klagomål/A 15734-2026 FSC-klagomål.docx", "A 15734-2026")</f>
        <v/>
      </c>
      <c r="AB29">
        <f>HYPERLINK("https://klasma.github.io/Logging_1904/klagomålsmail/A 15734-2026 FSC-klagomål mail.docx", "A 15734-2026")</f>
        <v/>
      </c>
      <c r="AC29">
        <f>HYPERLINK("https://klasma.github.io/Logging_1904/tillsyn/A 15734-2026 tillsynsbegäran.docx", "A 15734-2026")</f>
        <v/>
      </c>
      <c r="AD29">
        <f>HYPERLINK("https://klasma.github.io/Logging_1904/tillsynsmail/A 15734-2026 tillsynsbegäran mail.docx", "A 15734-2026")</f>
        <v/>
      </c>
    </row>
    <row r="30" ht="15" customHeight="1">
      <c r="A30" t="inlineStr">
        <is>
          <t>A 31006-2025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45832</v>
      </c>
      <c r="E30" s="1" t="n">
        <v>46316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HYPERLINK("https://klasma.github.io/Logging_1904/artfynd/A 31006-2025 artfynd.xlsx", "A 31006-2025")</f>
        <v/>
      </c>
      <c r="X30">
        <f>HYPERLINK("https://klasma.github.io/Logging_1904/kartor/A 31006-2025 karta.png", "A 31006-2025")</f>
        <v/>
      </c>
      <c r="Y30">
        <f>HYPERLINK("https://klasma.github.io/Logging_1904/kartor_geotiff/A 31006-2025 georefererad karta.tif", "A 31006-2025")</f>
        <v/>
      </c>
      <c r="AA30">
        <f>HYPERLINK("https://klasma.github.io/Logging_1904/klagomål/A 31006-2025 FSC-klagomål.docx", "A 31006-2025")</f>
        <v/>
      </c>
      <c r="AB30">
        <f>HYPERLINK("https://klasma.github.io/Logging_1904/klagomålsmail/A 31006-2025 FSC-klagomål mail.docx", "A 31006-2025")</f>
        <v/>
      </c>
      <c r="AC30">
        <f>HYPERLINK("https://klasma.github.io/Logging_1904/tillsyn/A 31006-2025 tillsynsbegäran.docx", "A 31006-2025")</f>
        <v/>
      </c>
      <c r="AD30">
        <f>HYPERLINK("https://klasma.github.io/Logging_1904/tillsynsmail/A 31006-2025 tillsynsbegäran mail.docx", "A 31006-2025")</f>
        <v/>
      </c>
      <c r="AE30">
        <f>HYPERLINK("https://klasma.github.io/Logging_1904/fåglar/A 31006-2025 prioriterade fågelarter.docx", "A 31006-2025")</f>
        <v/>
      </c>
    </row>
    <row r="31" ht="15" customHeight="1">
      <c r="A31" t="inlineStr">
        <is>
          <t>A 57747-2023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45246</v>
      </c>
      <c r="E31" s="1" t="n">
        <v>46316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Myopa fasciata</t>
        </is>
      </c>
      <c r="W31">
        <f>HYPERLINK("https://klasma.github.io/Logging_1904/artfynd/A 57747-2023 artfynd.xlsx", "A 57747-2023")</f>
        <v/>
      </c>
      <c r="X31">
        <f>HYPERLINK("https://klasma.github.io/Logging_1904/kartor/A 57747-2023 karta.png", "A 57747-2023")</f>
        <v/>
      </c>
      <c r="Y31">
        <f>HYPERLINK("https://klasma.github.io/Logging_1904/kartor_geotiff/A 57747-2023 georefererad karta.tif", "A 57747-2023")</f>
        <v/>
      </c>
      <c r="AA31">
        <f>HYPERLINK("https://klasma.github.io/Logging_1904/klagomål/A 57747-2023 FSC-klagomål.docx", "A 57747-2023")</f>
        <v/>
      </c>
      <c r="AB31">
        <f>HYPERLINK("https://klasma.github.io/Logging_1904/klagomålsmail/A 57747-2023 FSC-klagomål mail.docx", "A 57747-2023")</f>
        <v/>
      </c>
      <c r="AC31">
        <f>HYPERLINK("https://klasma.github.io/Logging_1904/tillsyn/A 57747-2023 tillsynsbegäran.docx", "A 57747-2023")</f>
        <v/>
      </c>
      <c r="AD31">
        <f>HYPERLINK("https://klasma.github.io/Logging_1904/tillsynsmail/A 57747-2023 tillsynsbegäran mail.docx", "A 57747-2023")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46316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Vedticka</t>
        </is>
      </c>
      <c r="W32">
        <f>HYPERLINK("https://klasma.github.io/Logging_1904/artfynd/A 57395-2025 artfynd.xlsx", "A 57395-2025")</f>
        <v/>
      </c>
      <c r="X32">
        <f>HYPERLINK("https://klasma.github.io/Logging_1904/kartor/A 57395-2025 karta.png", "A 57395-2025")</f>
        <v/>
      </c>
      <c r="Y32">
        <f>HYPERLINK("https://klasma.github.io/Logging_1904/kartor_geotiff/A 57395-2025 georefererad karta.tif", "A 57395-2025")</f>
        <v/>
      </c>
      <c r="AA32">
        <f>HYPERLINK("https://klasma.github.io/Logging_1904/klagomål/A 57395-2025 FSC-klagomål.docx", "A 57395-2025")</f>
        <v/>
      </c>
      <c r="AB32">
        <f>HYPERLINK("https://klasma.github.io/Logging_1904/klagomålsmail/A 57395-2025 FSC-klagomål mail.docx", "A 57395-2025")</f>
        <v/>
      </c>
      <c r="AC32">
        <f>HYPERLINK("https://klasma.github.io/Logging_1904/tillsyn/A 57395-2025 tillsynsbegäran.docx", "A 57395-2025")</f>
        <v/>
      </c>
      <c r="AD32">
        <f>HYPERLINK("https://klasma.github.io/Logging_1904/tillsynsmail/A 57395-2025 tillsynsbegäran mail.docx", "A 57395-2025")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46316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19205-2024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46316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Järpe</t>
        </is>
      </c>
      <c r="W34">
        <f>HYPERLINK("https://klasma.github.io/Logging_1904/artfynd/A 19205-2024 artfynd.xlsx", "A 19205-2024")</f>
        <v/>
      </c>
      <c r="X34">
        <f>HYPERLINK("https://klasma.github.io/Logging_1904/kartor/A 19205-2024 karta.png", "A 19205-2024")</f>
        <v/>
      </c>
      <c r="Y34">
        <f>HYPERLINK("https://klasma.github.io/Logging_1904/kartor_geotiff/A 19205-2024 georefererad karta.tif", "A 19205-2024")</f>
        <v/>
      </c>
      <c r="AA34">
        <f>HYPERLINK("https://klasma.github.io/Logging_1904/klagomål/A 19205-2024 FSC-klagomål.docx", "A 19205-2024")</f>
        <v/>
      </c>
      <c r="AB34">
        <f>HYPERLINK("https://klasma.github.io/Logging_1904/klagomålsmail/A 19205-2024 FSC-klagomål mail.docx", "A 19205-2024")</f>
        <v/>
      </c>
      <c r="AC34">
        <f>HYPERLINK("https://klasma.github.io/Logging_1904/tillsyn/A 19205-2024 tillsynsbegäran.docx", "A 19205-2024")</f>
        <v/>
      </c>
      <c r="AD34">
        <f>HYPERLINK("https://klasma.github.io/Logging_1904/tillsynsmail/A 19205-2024 tillsynsbegäran mail.docx", "A 19205-2024")</f>
        <v/>
      </c>
      <c r="AE34">
        <f>HYPERLINK("https://klasma.github.io/Logging_1904/fåglar/A 19205-2024 prioriterade fågelarter.docx", "A 19205-2024")</f>
        <v/>
      </c>
    </row>
    <row r="35" ht="15" customHeight="1">
      <c r="A35" t="inlineStr">
        <is>
          <t>A 20559-2026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46316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20559-2026 artfynd.xlsx", "A 20559-2026")</f>
        <v/>
      </c>
      <c r="X35">
        <f>HYPERLINK("https://klasma.github.io/Logging_1904/kartor/A 20559-2026 karta.png", "A 20559-2026")</f>
        <v/>
      </c>
      <c r="Y35">
        <f>HYPERLINK("https://klasma.github.io/Logging_1904/kartor_geotiff/A 20559-2026 georefererad karta.tif", "A 20559-2026")</f>
        <v/>
      </c>
      <c r="AA35">
        <f>HYPERLINK("https://klasma.github.io/Logging_1904/klagomål/A 20559-2026 FSC-klagomål.docx", "A 20559-2026")</f>
        <v/>
      </c>
      <c r="AB35">
        <f>HYPERLINK("https://klasma.github.io/Logging_1904/klagomålsmail/A 20559-2026 FSC-klagomål mail.docx", "A 20559-2026")</f>
        <v/>
      </c>
      <c r="AC35">
        <f>HYPERLINK("https://klasma.github.io/Logging_1904/tillsyn/A 20559-2026 tillsynsbegäran.docx", "A 20559-2026")</f>
        <v/>
      </c>
      <c r="AD35">
        <f>HYPERLINK("https://klasma.github.io/Logging_1904/tillsynsmail/A 20559-2026 tillsynsbegäran mail.docx", "A 20559-2026")</f>
        <v/>
      </c>
      <c r="AE35">
        <f>HYPERLINK("https://klasma.github.io/Logging_1904/fåglar/A 20559-2026 prioriterade fågelarter.docx", "A 20559-2026")</f>
        <v/>
      </c>
    </row>
    <row r="36" ht="15" customHeight="1">
      <c r="A36" t="inlineStr">
        <is>
          <t>A 21849-2026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46316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12.5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HYPERLINK("https://klasma.github.io/Logging_1904/artfynd/A 21849-2026 artfynd.xlsx", "A 21849-2026")</f>
        <v/>
      </c>
      <c r="X36">
        <f>HYPERLINK("https://klasma.github.io/Logging_1904/kartor/A 21849-2026 karta.png", "A 21849-2026")</f>
        <v/>
      </c>
      <c r="Y36">
        <f>HYPERLINK("https://klasma.github.io/Logging_1904/kartor_geotiff/A 21849-2026 georefererad karta.tif", "A 21849-2026")</f>
        <v/>
      </c>
      <c r="Z36">
        <f>HYPERLINK("https://klasma.github.io/Logging_1904/knärot/A 21849-2026 karta knärot.png", "A 21849-2026")</f>
        <v/>
      </c>
      <c r="AA36">
        <f>HYPERLINK("https://klasma.github.io/Logging_1904/klagomål/A 21849-2026 FSC-klagomål.docx", "A 21849-2026")</f>
        <v/>
      </c>
      <c r="AB36">
        <f>HYPERLINK("https://klasma.github.io/Logging_1904/klagomålsmail/A 21849-2026 FSC-klagomål mail.docx", "A 21849-2026")</f>
        <v/>
      </c>
      <c r="AC36">
        <f>HYPERLINK("https://klasma.github.io/Logging_1904/tillsyn/A 21849-2026 tillsynsbegäran.docx", "A 21849-2026")</f>
        <v/>
      </c>
      <c r="AD36">
        <f>HYPERLINK("https://klasma.github.io/Logging_1904/tillsynsmail/A 21849-2026 tillsynsbegäran mail.docx", "A 21849-2026")</f>
        <v/>
      </c>
    </row>
    <row r="37" ht="15" customHeight="1">
      <c r="A37" t="inlineStr">
        <is>
          <t>A 24492-2026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46316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24492-2026 artfynd.xlsx", "A 24492-2026")</f>
        <v/>
      </c>
      <c r="X37">
        <f>HYPERLINK("https://klasma.github.io/Logging_1904/kartor/A 24492-2026 karta.png", "A 24492-2026")</f>
        <v/>
      </c>
      <c r="Y37">
        <f>HYPERLINK("https://klasma.github.io/Logging_1904/kartor_geotiff/A 24492-2026 georefererad karta.tif", "A 24492-2026")</f>
        <v/>
      </c>
      <c r="AA37">
        <f>HYPERLINK("https://klasma.github.io/Logging_1904/klagomål/A 24492-2026 FSC-klagomål.docx", "A 24492-2026")</f>
        <v/>
      </c>
      <c r="AB37">
        <f>HYPERLINK("https://klasma.github.io/Logging_1904/klagomålsmail/A 24492-2026 FSC-klagomål mail.docx", "A 24492-2026")</f>
        <v/>
      </c>
      <c r="AC37">
        <f>HYPERLINK("https://klasma.github.io/Logging_1904/tillsyn/A 24492-2026 tillsynsbegäran.docx", "A 24492-2026")</f>
        <v/>
      </c>
      <c r="AD37">
        <f>HYPERLINK("https://klasma.github.io/Logging_1904/tillsynsmail/A 24492-2026 tillsynsbegäran mail.docx", "A 24492-2026")</f>
        <v/>
      </c>
      <c r="AE37">
        <f>HYPERLINK("https://klasma.github.io/Logging_1904/fåglar/A 24492-2026 prioriterade fågelarter.docx", "A 24492-2026")</f>
        <v/>
      </c>
    </row>
    <row r="38" ht="15" customHeight="1">
      <c r="A38" t="inlineStr">
        <is>
          <t>A 24944-2026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46316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8.4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HYPERLINK("https://klasma.github.io/Logging_1904/artfynd/A 24944-2026 artfynd.xlsx", "A 24944-2026")</f>
        <v/>
      </c>
      <c r="X38">
        <f>HYPERLINK("https://klasma.github.io/Logging_1904/kartor/A 24944-2026 karta.png", "A 24944-2026")</f>
        <v/>
      </c>
      <c r="Y38">
        <f>HYPERLINK("https://klasma.github.io/Logging_1904/kartor_geotiff/A 24944-2026 georefererad karta.tif", "A 24944-2026")</f>
        <v/>
      </c>
      <c r="AA38">
        <f>HYPERLINK("https://klasma.github.io/Logging_1904/klagomål/A 24944-2026 FSC-klagomål.docx", "A 24944-2026")</f>
        <v/>
      </c>
      <c r="AB38">
        <f>HYPERLINK("https://klasma.github.io/Logging_1904/klagomålsmail/A 24944-2026 FSC-klagomål mail.docx", "A 24944-2026")</f>
        <v/>
      </c>
      <c r="AC38">
        <f>HYPERLINK("https://klasma.github.io/Logging_1904/tillsyn/A 24944-2026 tillsynsbegäran.docx", "A 24944-2026")</f>
        <v/>
      </c>
      <c r="AD38">
        <f>HYPERLINK("https://klasma.github.io/Logging_1904/tillsynsmail/A 24944-2026 tillsynsbegäran mail.docx", "A 24944-2026")</f>
        <v/>
      </c>
    </row>
    <row r="39" ht="15" customHeight="1">
      <c r="A39" t="inlineStr">
        <is>
          <t>A 26860-2026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46316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10.3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Kungsörn</t>
        </is>
      </c>
      <c r="W39">
        <f>HYPERLINK("https://klasma.github.io/Logging_1904/artfynd/A 26860-2026 artfynd.xlsx", "A 26860-2026")</f>
        <v/>
      </c>
      <c r="X39">
        <f>HYPERLINK("https://klasma.github.io/Logging_1904/kartor/A 26860-2026 karta.png", "A 26860-2026")</f>
        <v/>
      </c>
      <c r="Y39">
        <f>HYPERLINK("https://klasma.github.io/Logging_1904/kartor_geotiff/A 26860-2026 georefererad karta.tif", "A 26860-2026")</f>
        <v/>
      </c>
      <c r="AA39">
        <f>HYPERLINK("https://klasma.github.io/Logging_1904/klagomål/A 26860-2026 FSC-klagomål.docx", "A 26860-2026")</f>
        <v/>
      </c>
      <c r="AB39">
        <f>HYPERLINK("https://klasma.github.io/Logging_1904/klagomålsmail/A 26860-2026 FSC-klagomål mail.docx", "A 26860-2026")</f>
        <v/>
      </c>
      <c r="AC39">
        <f>HYPERLINK("https://klasma.github.io/Logging_1904/tillsyn/A 26860-2026 tillsynsbegäran.docx", "A 26860-2026")</f>
        <v/>
      </c>
      <c r="AD39">
        <f>HYPERLINK("https://klasma.github.io/Logging_1904/tillsynsmail/A 26860-2026 tillsynsbegäran mail.docx", "A 26860-2026")</f>
        <v/>
      </c>
      <c r="AE39">
        <f>HYPERLINK("https://klasma.github.io/Logging_1904/fåglar/A 26860-2026 prioriterade fågelarter.docx", "A 26860-2026")</f>
        <v/>
      </c>
    </row>
    <row r="40" ht="15" customHeight="1">
      <c r="A40" t="inlineStr">
        <is>
          <t>A 27565-2024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45474</v>
      </c>
      <c r="E40" s="1" t="n">
        <v>46316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HYPERLINK("https://klasma.github.io/Logging_1904/artfynd/A 27565-2024 artfynd.xlsx", "A 27565-2024")</f>
        <v/>
      </c>
      <c r="X40">
        <f>HYPERLINK("https://klasma.github.io/Logging_1904/kartor/A 27565-2024 karta.png", "A 27565-2024")</f>
        <v/>
      </c>
      <c r="Y40">
        <f>HYPERLINK("https://klasma.github.io/Logging_1904/kartor_geotiff/A 27565-2024 georefererad karta.tif", "A 27565-2024")</f>
        <v/>
      </c>
      <c r="AA40">
        <f>HYPERLINK("https://klasma.github.io/Logging_1904/klagomål/A 27565-2024 FSC-klagomål.docx", "A 27565-2024")</f>
        <v/>
      </c>
      <c r="AB40">
        <f>HYPERLINK("https://klasma.github.io/Logging_1904/klagomålsmail/A 27565-2024 FSC-klagomål mail.docx", "A 27565-2024")</f>
        <v/>
      </c>
      <c r="AC40">
        <f>HYPERLINK("https://klasma.github.io/Logging_1904/tillsyn/A 27565-2024 tillsynsbegäran.docx", "A 27565-2024")</f>
        <v/>
      </c>
      <c r="AD40">
        <f>HYPERLINK("https://klasma.github.io/Logging_1904/tillsynsmail/A 27565-2024 tillsynsbegäran mail.docx", "A 27565-2024")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46316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HYPERLINK("https://klasma.github.io/Logging_1904/artfynd/A 30579-2026 artfynd.xlsx", "A 30579-2026")</f>
        <v/>
      </c>
      <c r="X41">
        <f>HYPERLINK("https://klasma.github.io/Logging_1904/kartor/A 30579-2026 karta.png", "A 30579-2026")</f>
        <v/>
      </c>
      <c r="Y41">
        <f>HYPERLINK("https://klasma.github.io/Logging_1904/kartor_geotiff/A 30579-2026 georefererad karta.tif", "A 30579-2026")</f>
        <v/>
      </c>
      <c r="AA41">
        <f>HYPERLINK("https://klasma.github.io/Logging_1904/klagomål/A 30579-2026 FSC-klagomål.docx", "A 30579-2026")</f>
        <v/>
      </c>
      <c r="AB41">
        <f>HYPERLINK("https://klasma.github.io/Logging_1904/klagomålsmail/A 30579-2026 FSC-klagomål mail.docx", "A 30579-2026")</f>
        <v/>
      </c>
      <c r="AC41">
        <f>HYPERLINK("https://klasma.github.io/Logging_1904/tillsyn/A 30579-2026 tillsynsbegäran.docx", "A 30579-2026")</f>
        <v/>
      </c>
      <c r="AD41">
        <f>HYPERLINK("https://klasma.github.io/Logging_1904/tillsynsmail/A 30579-2026 tillsynsbegäran mail.docx", "A 30579-2026")</f>
        <v/>
      </c>
    </row>
    <row r="42" ht="15" customHeight="1">
      <c r="A42" t="inlineStr">
        <is>
          <t>A 37900-2026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46316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9.199999999999999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37900-2026 artfynd.xlsx", "A 37900-2026")</f>
        <v/>
      </c>
      <c r="X42">
        <f>HYPERLINK("https://klasma.github.io/Logging_1904/kartor/A 37900-2026 karta.png", "A 37900-2026")</f>
        <v/>
      </c>
      <c r="Y42">
        <f>HYPERLINK("https://klasma.github.io/Logging_1904/kartor_geotiff/A 37900-2026 georefererad karta.tif", "A 37900-2026")</f>
        <v/>
      </c>
      <c r="AA42">
        <f>HYPERLINK("https://klasma.github.io/Logging_1904/klagomål/A 37900-2026 FSC-klagomål.docx", "A 37900-2026")</f>
        <v/>
      </c>
      <c r="AB42">
        <f>HYPERLINK("https://klasma.github.io/Logging_1904/klagomålsmail/A 37900-2026 FSC-klagomål mail.docx", "A 37900-2026")</f>
        <v/>
      </c>
      <c r="AC42">
        <f>HYPERLINK("https://klasma.github.io/Logging_1904/tillsyn/A 37900-2026 tillsynsbegäran.docx", "A 37900-2026")</f>
        <v/>
      </c>
      <c r="AD42">
        <f>HYPERLINK("https://klasma.github.io/Logging_1904/tillsynsmail/A 37900-2026 tillsynsbegäran mail.docx", "A 37900-2026")</f>
        <v/>
      </c>
      <c r="AE42">
        <f>HYPERLINK("https://klasma.github.io/Logging_1904/fåglar/A 37900-2026 prioriterade fågelarter.docx", "A 37900-2026")</f>
        <v/>
      </c>
    </row>
    <row r="43" ht="15" customHeight="1">
      <c r="A43" t="inlineStr">
        <is>
          <t>A 38733-2026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46285</v>
      </c>
      <c r="E43" s="1" t="n">
        <v>46316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4.2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HYPERLINK("https://klasma.github.io/Logging_1904/artfynd/A 38733-2026 artfynd.xlsx", "A 38733-2026")</f>
        <v/>
      </c>
      <c r="X43">
        <f>HYPERLINK("https://klasma.github.io/Logging_1904/kartor/A 38733-2026 karta.png", "A 38733-2026")</f>
        <v/>
      </c>
      <c r="Y43">
        <f>HYPERLINK("https://klasma.github.io/Logging_1904/kartor_geotiff/A 38733-2026 georefererad karta.tif", "A 38733-2026")</f>
        <v/>
      </c>
      <c r="AA43">
        <f>HYPERLINK("https://klasma.github.io/Logging_1904/klagomål/A 38733-2026 FSC-klagomål.docx", "A 38733-2026")</f>
        <v/>
      </c>
      <c r="AB43">
        <f>HYPERLINK("https://klasma.github.io/Logging_1904/klagomålsmail/A 38733-2026 FSC-klagomål mail.docx", "A 38733-2026")</f>
        <v/>
      </c>
      <c r="AC43">
        <f>HYPERLINK("https://klasma.github.io/Logging_1904/tillsyn/A 38733-2026 tillsynsbegäran.docx", "A 38733-2026")</f>
        <v/>
      </c>
      <c r="AD43">
        <f>HYPERLINK("https://klasma.github.io/Logging_1904/tillsynsmail/A 38733-2026 tillsynsbegäran mail.docx", "A 38733-2026")</f>
        <v/>
      </c>
    </row>
    <row r="44" ht="15" customHeight="1">
      <c r="A44" t="inlineStr">
        <is>
          <t>A 38734-2026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46285</v>
      </c>
      <c r="E44" s="1" t="n">
        <v>46316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6.1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HYPERLINK("https://klasma.github.io/Logging_1904/artfynd/A 38734-2026 artfynd.xlsx", "A 38734-2026")</f>
        <v/>
      </c>
      <c r="X44">
        <f>HYPERLINK("https://klasma.github.io/Logging_1904/kartor/A 38734-2026 karta.png", "A 38734-2026")</f>
        <v/>
      </c>
      <c r="Y44">
        <f>HYPERLINK("https://klasma.github.io/Logging_1904/kartor_geotiff/A 38734-2026 georefererad karta.tif", "A 38734-2026")</f>
        <v/>
      </c>
      <c r="AA44">
        <f>HYPERLINK("https://klasma.github.io/Logging_1904/klagomål/A 38734-2026 FSC-klagomål.docx", "A 38734-2026")</f>
        <v/>
      </c>
      <c r="AB44">
        <f>HYPERLINK("https://klasma.github.io/Logging_1904/klagomålsmail/A 38734-2026 FSC-klagomål mail.docx", "A 38734-2026")</f>
        <v/>
      </c>
      <c r="AC44">
        <f>HYPERLINK("https://klasma.github.io/Logging_1904/tillsyn/A 38734-2026 tillsynsbegäran.docx", "A 38734-2026")</f>
        <v/>
      </c>
      <c r="AD44">
        <f>HYPERLINK("https://klasma.github.io/Logging_1904/tillsynsmail/A 38734-2026 tillsynsbegäran mail.docx", "A 38734-2026")</f>
        <v/>
      </c>
    </row>
    <row r="45" ht="15" customHeight="1">
      <c r="A45" t="inlineStr">
        <is>
          <t>A 9491-2024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46316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Skogshare</t>
        </is>
      </c>
      <c r="W45">
        <f>HYPERLINK("https://klasma.github.io/Logging_1904/artfynd/A 9491-2024 artfynd.xlsx", "A 9491-2024")</f>
        <v/>
      </c>
      <c r="X45">
        <f>HYPERLINK("https://klasma.github.io/Logging_1904/kartor/A 9491-2024 karta.png", "A 9491-2024")</f>
        <v/>
      </c>
      <c r="Y45">
        <f>HYPERLINK("https://klasma.github.io/Logging_1904/kartor_geotiff/A 9491-2024 georefererad karta.tif", "A 9491-2024")</f>
        <v/>
      </c>
      <c r="AA45">
        <f>HYPERLINK("https://klasma.github.io/Logging_1904/klagomål/A 9491-2024 FSC-klagomål.docx", "A 9491-2024")</f>
        <v/>
      </c>
      <c r="AB45">
        <f>HYPERLINK("https://klasma.github.io/Logging_1904/klagomålsmail/A 9491-2024 FSC-klagomål mail.docx", "A 9491-2024")</f>
        <v/>
      </c>
      <c r="AC45">
        <f>HYPERLINK("https://klasma.github.io/Logging_1904/tillsyn/A 9491-2024 tillsynsbegäran.docx", "A 9491-2024")</f>
        <v/>
      </c>
      <c r="AD45">
        <f>HYPERLINK("https://klasma.github.io/Logging_1904/tillsynsmail/A 9491-2024 tillsynsbegäran mail.docx", "A 9491-2024")</f>
        <v/>
      </c>
    </row>
    <row r="46" ht="15" customHeight="1">
      <c r="A46" t="inlineStr">
        <is>
          <t>A 43413-2024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45568</v>
      </c>
      <c r="E46" s="1" t="n">
        <v>46316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Orange taggsvamp</t>
        </is>
      </c>
      <c r="W46">
        <f>HYPERLINK("https://klasma.github.io/Logging_1904/artfynd/A 43413-2024 artfynd.xlsx", "A 43413-2024")</f>
        <v/>
      </c>
      <c r="X46">
        <f>HYPERLINK("https://klasma.github.io/Logging_1904/kartor/A 43413-2024 karta.png", "A 43413-2024")</f>
        <v/>
      </c>
      <c r="Y46">
        <f>HYPERLINK("https://klasma.github.io/Logging_1904/kartor_geotiff/A 43413-2024 georefererad karta.tif", "A 43413-2024")</f>
        <v/>
      </c>
      <c r="AA46">
        <f>HYPERLINK("https://klasma.github.io/Logging_1904/klagomål/A 43413-2024 FSC-klagomål.docx", "A 43413-2024")</f>
        <v/>
      </c>
      <c r="AB46">
        <f>HYPERLINK("https://klasma.github.io/Logging_1904/klagomålsmail/A 43413-2024 FSC-klagomål mail.docx", "A 43413-2024")</f>
        <v/>
      </c>
      <c r="AC46">
        <f>HYPERLINK("https://klasma.github.io/Logging_1904/tillsyn/A 43413-2024 tillsynsbegäran.docx", "A 43413-2024")</f>
        <v/>
      </c>
      <c r="AD46">
        <f>HYPERLINK("https://klasma.github.io/Logging_1904/tillsynsmail/A 43413-2024 tillsynsbegäran mail.docx", "A 43413-2024")</f>
        <v/>
      </c>
    </row>
    <row r="47" ht="15" customHeight="1">
      <c r="A47" t="inlineStr">
        <is>
          <t>A 23893-2023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46316</v>
      </c>
      <c r="F47" t="inlineStr">
        <is>
          <t>VÄSTMANLANDS LÄN</t>
        </is>
      </c>
      <c r="G47" t="inlineStr">
        <is>
          <t>SKINNSKATTEBERG</t>
        </is>
      </c>
      <c r="I47" t="n">
        <v>1.6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2</v>
      </c>
      <c r="V47" s="2" t="inlineStr">
        <is>
          <t>Knärot</t>
        </is>
      </c>
      <c r="W47">
        <f>HYPERLINK("https://klasma.github.io/Logging_1904/artfynd/A 23893-2023 artfynd.xlsx", "A 23893-2023")</f>
        <v/>
      </c>
      <c r="X47">
        <f>HYPERLINK("https://klasma.github.io/Logging_1904/kartor/A 23893-2023 karta.png", "A 23893-2023")</f>
        <v/>
      </c>
      <c r="Y47">
        <f>HYPERLINK("https://klasma.github.io/Logging_1904/kartor_geotiff/A 23893-2023 georefererad karta.tif", "A 23893-2023")</f>
        <v/>
      </c>
      <c r="Z47">
        <f>HYPERLINK("https://klasma.github.io/Logging_1904/knärot/A 23893-2023 karta knärot.png", "A 23893-2023")</f>
        <v/>
      </c>
      <c r="AA47">
        <f>HYPERLINK("https://klasma.github.io/Logging_1904/klagomål/A 23893-2023 FSC-klagomål.docx", "A 23893-2023")</f>
        <v/>
      </c>
      <c r="AB47">
        <f>HYPERLINK("https://klasma.github.io/Logging_1904/klagomålsmail/A 23893-2023 FSC-klagomål mail.docx", "A 23893-2023")</f>
        <v/>
      </c>
      <c r="AC47">
        <f>HYPERLINK("https://klasma.github.io/Logging_1904/tillsyn/A 23893-2023 tillsynsbegäran.docx", "A 23893-2023")</f>
        <v/>
      </c>
      <c r="AD47">
        <f>HYPERLINK("https://klasma.github.io/Logging_1904/tillsynsmail/A 23893-2023 tillsynsbegäran mail.docx", "A 23893-2023")</f>
        <v/>
      </c>
    </row>
    <row r="48" ht="15" customHeight="1">
      <c r="A48" t="inlineStr">
        <is>
          <t>A 35371-2026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46316</v>
      </c>
      <c r="F48" t="inlineStr">
        <is>
          <t>VÄSTMANLANDS LÄN</t>
        </is>
      </c>
      <c r="G48" t="inlineStr">
        <is>
          <t>SKINNSKATTEBERG</t>
        </is>
      </c>
      <c r="I48" t="n">
        <v>1.3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HYPERLINK("https://klasma.github.io/Logging_1904/artfynd/A 35371-2026 artfynd.xlsx", "A 35371-2026")</f>
        <v/>
      </c>
      <c r="X48">
        <f>HYPERLINK("https://klasma.github.io/Logging_1904/kartor/A 35371-2026 karta.png", "A 35371-2026")</f>
        <v/>
      </c>
      <c r="Y48">
        <f>HYPERLINK("https://klasma.github.io/Logging_1904/kartor_geotiff/A 35371-2026 georefererad karta.tif", "A 35371-2026")</f>
        <v/>
      </c>
      <c r="AA48">
        <f>HYPERLINK("https://klasma.github.io/Logging_1904/klagomål/A 35371-2026 FSC-klagomål.docx", "A 35371-2026")</f>
        <v/>
      </c>
      <c r="AB48">
        <f>HYPERLINK("https://klasma.github.io/Logging_1904/klagomålsmail/A 35371-2026 FSC-klagomål mail.docx", "A 35371-2026")</f>
        <v/>
      </c>
      <c r="AC48">
        <f>HYPERLINK("https://klasma.github.io/Logging_1904/tillsyn/A 35371-2026 tillsynsbegäran.docx", "A 35371-2026")</f>
        <v/>
      </c>
      <c r="AD48">
        <f>HYPERLINK("https://klasma.github.io/Logging_1904/tillsynsmail/A 35371-2026 tillsynsbegäran mail.docx", "A 35371-2026")</f>
        <v/>
      </c>
      <c r="AE48">
        <f>HYPERLINK("https://klasma.github.io/Logging_1904/fåglar/A 35371-2026 prioriterade fågelarter.docx", "A 35371-2026")</f>
        <v/>
      </c>
    </row>
    <row r="49" ht="15" customHeight="1">
      <c r="A49" t="inlineStr">
        <is>
          <t>A 33435-2024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45519</v>
      </c>
      <c r="E49" s="1" t="n">
        <v>46316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33435-2024 artfynd.xlsx", "A 33435-2024")</f>
        <v/>
      </c>
      <c r="X49">
        <f>HYPERLINK("https://klasma.github.io/Logging_1904/kartor/A 33435-2024 karta.png", "A 33435-2024")</f>
        <v/>
      </c>
      <c r="Y49">
        <f>HYPERLINK("https://klasma.github.io/Logging_1904/kartor_geotiff/A 33435-2024 georefererad karta.tif", "A 33435-2024")</f>
        <v/>
      </c>
      <c r="AA49">
        <f>HYPERLINK("https://klasma.github.io/Logging_1904/klagomål/A 33435-2024 FSC-klagomål.docx", "A 33435-2024")</f>
        <v/>
      </c>
      <c r="AB49">
        <f>HYPERLINK("https://klasma.github.io/Logging_1904/klagomålsmail/A 33435-2024 FSC-klagomål mail.docx", "A 33435-2024")</f>
        <v/>
      </c>
      <c r="AC49">
        <f>HYPERLINK("https://klasma.github.io/Logging_1904/tillsyn/A 33435-2024 tillsynsbegäran.docx", "A 33435-2024")</f>
        <v/>
      </c>
      <c r="AD49">
        <f>HYPERLINK("https://klasma.github.io/Logging_1904/tillsynsmail/A 33435-2024 tillsynsbegäran mail.docx", "A 33435-2024")</f>
        <v/>
      </c>
      <c r="AE49">
        <f>HYPERLINK("https://klasma.github.io/Logging_1904/fåglar/A 33435-2024 prioriterade fågelarter.docx", "A 33435-2024")</f>
        <v/>
      </c>
    </row>
    <row r="50" ht="15" customHeight="1">
      <c r="A50" t="inlineStr">
        <is>
          <t>A 42434-2026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46308</v>
      </c>
      <c r="E50" s="1" t="n">
        <v>46316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Mattlummer</t>
        </is>
      </c>
      <c r="W50">
        <f>HYPERLINK("https://klasma.github.io/Logging_1904/artfynd/A 42434-2026 artfynd.xlsx", "A 42434-2026")</f>
        <v/>
      </c>
      <c r="X50">
        <f>HYPERLINK("https://klasma.github.io/Logging_1904/kartor/A 42434-2026 karta.png", "A 42434-2026")</f>
        <v/>
      </c>
      <c r="Y50">
        <f>HYPERLINK("https://klasma.github.io/Logging_1904/kartor_geotiff/A 42434-2026 georefererad karta.tif", "A 42434-2026")</f>
        <v/>
      </c>
      <c r="AA50">
        <f>HYPERLINK("https://klasma.github.io/Logging_1904/klagomål/A 42434-2026 FSC-klagomål.docx", "A 42434-2026")</f>
        <v/>
      </c>
      <c r="AB50">
        <f>HYPERLINK("https://klasma.github.io/Logging_1904/klagomålsmail/A 42434-2026 FSC-klagomål mail.docx", "A 42434-2026")</f>
        <v/>
      </c>
      <c r="AC50">
        <f>HYPERLINK("https://klasma.github.io/Logging_1904/tillsyn/A 42434-2026 tillsynsbegäran.docx", "A 42434-2026")</f>
        <v/>
      </c>
      <c r="AD50">
        <f>HYPERLINK("https://klasma.github.io/Logging_1904/tillsynsmail/A 42434-2026 tillsynsbegäran mail.docx", "A 42434-2026")</f>
        <v/>
      </c>
    </row>
    <row r="51" ht="15" customHeight="1">
      <c r="A51" t="inlineStr">
        <is>
          <t>A 12024-2023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44995</v>
      </c>
      <c r="E51" s="1" t="n">
        <v>46316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HYPERLINK("https://klasma.github.io/Logging_1904/artfynd/A 12024-2023 artfynd.xlsx", "A 12024-2023")</f>
        <v/>
      </c>
      <c r="X51">
        <f>HYPERLINK("https://klasma.github.io/Logging_1904/kartor/A 12024-2023 karta.png", "A 12024-2023")</f>
        <v/>
      </c>
      <c r="Y51">
        <f>HYPERLINK("https://klasma.github.io/Logging_1904/kartor_geotiff/A 12024-2023 georefererad karta.tif", "A 12024-2023")</f>
        <v/>
      </c>
      <c r="AA51">
        <f>HYPERLINK("https://klasma.github.io/Logging_1904/klagomål/A 12024-2023 FSC-klagomål.docx", "A 12024-2023")</f>
        <v/>
      </c>
      <c r="AB51">
        <f>HYPERLINK("https://klasma.github.io/Logging_1904/klagomålsmail/A 12024-2023 FSC-klagomål mail.docx", "A 12024-2023")</f>
        <v/>
      </c>
      <c r="AC51">
        <f>HYPERLINK("https://klasma.github.io/Logging_1904/tillsyn/A 12024-2023 tillsynsbegäran.docx", "A 12024-2023")</f>
        <v/>
      </c>
      <c r="AD51">
        <f>HYPERLINK("https://klasma.github.io/Logging_1904/tillsynsmail/A 12024-2023 tillsynsbegäran mail.docx", "A 12024-2023")</f>
        <v/>
      </c>
    </row>
    <row r="52" ht="15" customHeight="1">
      <c r="A52" t="inlineStr">
        <is>
          <t>A 9490-2024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46316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Nattskärra</t>
        </is>
      </c>
      <c r="W52">
        <f>HYPERLINK("https://klasma.github.io/Logging_1904/artfynd/A 9490-2024 artfynd.xlsx", "A 9490-2024")</f>
        <v/>
      </c>
      <c r="X52">
        <f>HYPERLINK("https://klasma.github.io/Logging_1904/kartor/A 9490-2024 karta.png", "A 9490-2024")</f>
        <v/>
      </c>
      <c r="Y52">
        <f>HYPERLINK("https://klasma.github.io/Logging_1904/kartor_geotiff/A 9490-2024 georefererad karta.tif", "A 9490-2024")</f>
        <v/>
      </c>
      <c r="AA52">
        <f>HYPERLINK("https://klasma.github.io/Logging_1904/klagomål/A 9490-2024 FSC-klagomål.docx", "A 9490-2024")</f>
        <v/>
      </c>
      <c r="AB52">
        <f>HYPERLINK("https://klasma.github.io/Logging_1904/klagomålsmail/A 9490-2024 FSC-klagomål mail.docx", "A 9490-2024")</f>
        <v/>
      </c>
      <c r="AC52">
        <f>HYPERLINK("https://klasma.github.io/Logging_1904/tillsyn/A 9490-2024 tillsynsbegäran.docx", "A 9490-2024")</f>
        <v/>
      </c>
      <c r="AD52">
        <f>HYPERLINK("https://klasma.github.io/Logging_1904/tillsynsmail/A 9490-2024 tillsynsbegäran mail.docx", "A 9490-2024")</f>
        <v/>
      </c>
      <c r="AE52">
        <f>HYPERLINK("https://klasma.github.io/Logging_1904/fåglar/A 9490-2024 prioriterade fågelarter.docx", "A 9490-2024")</f>
        <v/>
      </c>
    </row>
    <row r="53" ht="15" customHeight="1">
      <c r="A53" t="inlineStr">
        <is>
          <t>A 36263-2026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46268</v>
      </c>
      <c r="E53" s="1" t="n">
        <v>46316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HYPERLINK("https://klasma.github.io/Logging_1904/artfynd/A 36263-2026 artfynd.xlsx", "A 36263-2026")</f>
        <v/>
      </c>
      <c r="X53">
        <f>HYPERLINK("https://klasma.github.io/Logging_1904/kartor/A 36263-2026 karta.png", "A 36263-2026")</f>
        <v/>
      </c>
      <c r="Y53">
        <f>HYPERLINK("https://klasma.github.io/Logging_1904/kartor_geotiff/A 36263-2026 georefererad karta.tif", "A 36263-2026")</f>
        <v/>
      </c>
      <c r="AA53">
        <f>HYPERLINK("https://klasma.github.io/Logging_1904/klagomål/A 36263-2026 FSC-klagomål.docx", "A 36263-2026")</f>
        <v/>
      </c>
      <c r="AB53">
        <f>HYPERLINK("https://klasma.github.io/Logging_1904/klagomålsmail/A 36263-2026 FSC-klagomål mail.docx", "A 36263-2026")</f>
        <v/>
      </c>
      <c r="AC53">
        <f>HYPERLINK("https://klasma.github.io/Logging_1904/tillsyn/A 36263-2026 tillsynsbegäran.docx", "A 36263-2026")</f>
        <v/>
      </c>
      <c r="AD53">
        <f>HYPERLINK("https://klasma.github.io/Logging_1904/tillsynsmail/A 36263-2026 tillsynsbegäran mail.docx", "A 36263-2026")</f>
        <v/>
      </c>
    </row>
    <row r="54" ht="15" customHeight="1">
      <c r="A54" t="inlineStr">
        <is>
          <t>A 4000-2024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46316</v>
      </c>
      <c r="F54" t="inlineStr">
        <is>
          <t>VÄSTMANLANDS LÄN</t>
        </is>
      </c>
      <c r="G54" t="inlineStr">
        <is>
          <t>SKINNSKATTEBERG</t>
        </is>
      </c>
      <c r="I54" t="n">
        <v>14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Klasefibbla</t>
        </is>
      </c>
      <c r="W54">
        <f>HYPERLINK("https://klasma.github.io/Logging_1904/artfynd/A 4000-2024 artfynd.xlsx", "A 4000-2024")</f>
        <v/>
      </c>
      <c r="X54">
        <f>HYPERLINK("https://klasma.github.io/Logging_1904/kartor/A 4000-2024 karta.png", "A 4000-2024")</f>
        <v/>
      </c>
      <c r="Y54">
        <f>HYPERLINK("https://klasma.github.io/Logging_1904/kartor_geotiff/A 4000-2024 georefererad karta.tif", "A 4000-2024")</f>
        <v/>
      </c>
      <c r="AA54">
        <f>HYPERLINK("https://klasma.github.io/Logging_1904/klagomål/A 4000-2024 FSC-klagomål.docx", "A 4000-2024")</f>
        <v/>
      </c>
      <c r="AB54">
        <f>HYPERLINK("https://klasma.github.io/Logging_1904/klagomålsmail/A 4000-2024 FSC-klagomål mail.docx", "A 4000-2024")</f>
        <v/>
      </c>
      <c r="AC54">
        <f>HYPERLINK("https://klasma.github.io/Logging_1904/tillsyn/A 4000-2024 tillsynsbegäran.docx", "A 4000-2024")</f>
        <v/>
      </c>
      <c r="AD54">
        <f>HYPERLINK("https://klasma.github.io/Logging_1904/tillsynsmail/A 4000-2024 tillsynsbegäran mail.docx", "A 4000-2024")</f>
        <v/>
      </c>
    </row>
    <row r="55" ht="15" customHeight="1">
      <c r="A55" t="inlineStr">
        <is>
          <t>A 28312-2023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46316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HYPERLINK("https://klasma.github.io/Logging_1904/artfynd/A 28312-2023 artfynd.xlsx", "A 28312-2023")</f>
        <v/>
      </c>
      <c r="X55">
        <f>HYPERLINK("https://klasma.github.io/Logging_1904/kartor/A 28312-2023 karta.png", "A 28312-2023")</f>
        <v/>
      </c>
      <c r="Y55">
        <f>HYPERLINK("https://klasma.github.io/Logging_1904/kartor_geotiff/A 28312-2023 georefererad karta.tif", "A 28312-2023")</f>
        <v/>
      </c>
      <c r="AA55">
        <f>HYPERLINK("https://klasma.github.io/Logging_1904/klagomål/A 28312-2023 FSC-klagomål.docx", "A 28312-2023")</f>
        <v/>
      </c>
      <c r="AB55">
        <f>HYPERLINK("https://klasma.github.io/Logging_1904/klagomålsmail/A 28312-2023 FSC-klagomål mail.docx", "A 28312-2023")</f>
        <v/>
      </c>
      <c r="AC55">
        <f>HYPERLINK("https://klasma.github.io/Logging_1904/tillsyn/A 28312-2023 tillsynsbegäran.docx", "A 28312-2023")</f>
        <v/>
      </c>
      <c r="AD55">
        <f>HYPERLINK("https://klasma.github.io/Logging_1904/tillsynsmail/A 28312-2023 tillsynsbegäran mail.docx", "A 28312-2023")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46316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46316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46316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46316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46316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46316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46316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46316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46316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46316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46316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46316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46316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46316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46316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46316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46316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46316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46316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46316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46316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46316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46316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46316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46316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45762</v>
      </c>
      <c r="E81" s="1" t="n">
        <v>46316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46316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46316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46316</v>
      </c>
      <c r="F84" t="inlineStr">
        <is>
          <t>VÄSTMANLANDS LÄN</t>
        </is>
      </c>
      <c r="G84" t="inlineStr">
        <is>
          <t>SKINNSKATTEBERG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46316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46316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46316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46316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45480</v>
      </c>
      <c r="E89" s="1" t="n">
        <v>46316</v>
      </c>
      <c r="F89" t="inlineStr">
        <is>
          <t>VÄSTMANLANDS LÄN</t>
        </is>
      </c>
      <c r="G89" t="inlineStr">
        <is>
          <t>SKINNSKATTEBERG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46003</v>
      </c>
      <c r="E90" s="1" t="n">
        <v>46316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46316</v>
      </c>
      <c r="F91" t="inlineStr">
        <is>
          <t>VÄSTMANLANDS LÄN</t>
        </is>
      </c>
      <c r="G91" t="inlineStr">
        <is>
          <t>SKINNSKATTEBERG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22285-2025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45786</v>
      </c>
      <c r="E92" s="1" t="n">
        <v>46316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46316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46316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46316</v>
      </c>
      <c r="F95" t="inlineStr">
        <is>
          <t>VÄSTMANLANDS LÄN</t>
        </is>
      </c>
      <c r="G95" t="inlineStr">
        <is>
          <t>SKINNSKATTEBERG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46316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46316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46316</v>
      </c>
      <c r="F98" t="inlineStr">
        <is>
          <t>VÄSTMANLANDS LÄN</t>
        </is>
      </c>
      <c r="G98" t="inlineStr">
        <is>
          <t>SKINNSKATTEBERG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41594-2025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46316</v>
      </c>
      <c r="F99" t="inlineStr">
        <is>
          <t>VÄSTMANLANDS LÄN</t>
        </is>
      </c>
      <c r="G99" t="inlineStr">
        <is>
          <t>SKINNSKATTEBERG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46316</v>
      </c>
      <c r="F100" t="inlineStr">
        <is>
          <t>VÄSTMANLANDS LÄN</t>
        </is>
      </c>
      <c r="G100" t="inlineStr">
        <is>
          <t>SKINNSKATTEBERG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25846-2025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45804</v>
      </c>
      <c r="E101" s="1" t="n">
        <v>46316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45506</v>
      </c>
      <c r="E102" s="1" t="n">
        <v>46316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46316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60185-2022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44910</v>
      </c>
      <c r="E104" s="1" t="n">
        <v>46316</v>
      </c>
      <c r="F104" t="inlineStr">
        <is>
          <t>VÄSTMANLANDS LÄN</t>
        </is>
      </c>
      <c r="G104" t="inlineStr">
        <is>
          <t>SKINNSKATTEBERG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18161-2024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45420</v>
      </c>
      <c r="E105" s="1" t="n">
        <v>46316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46316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40776-2025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46316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46316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46316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40783-2025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45897</v>
      </c>
      <c r="E110" s="1" t="n">
        <v>46316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40782-2025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45897</v>
      </c>
      <c r="E111" s="1" t="n">
        <v>46316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59578-2024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45637</v>
      </c>
      <c r="E112" s="1" t="n">
        <v>46316</v>
      </c>
      <c r="F112" t="inlineStr">
        <is>
          <t>VÄSTMANLANDS LÄN</t>
        </is>
      </c>
      <c r="G112" t="inlineStr">
        <is>
          <t>SKINNSKATTEBERG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46316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46316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Kyrkan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45480</v>
      </c>
      <c r="E115" s="1" t="n">
        <v>46316</v>
      </c>
      <c r="F115" t="inlineStr">
        <is>
          <t>VÄSTMANLANDS LÄN</t>
        </is>
      </c>
      <c r="G115" t="inlineStr">
        <is>
          <t>SKINNSKATTEBERG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28831-2025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45820</v>
      </c>
      <c r="E116" s="1" t="n">
        <v>46316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46316</v>
      </c>
      <c r="F117" t="inlineStr">
        <is>
          <t>VÄSTMANLANDS LÄN</t>
        </is>
      </c>
      <c r="G117" t="inlineStr">
        <is>
          <t>SKINNSKATTEBERG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46316</v>
      </c>
      <c r="F118" t="inlineStr">
        <is>
          <t>VÄSTMANLANDS LÄN</t>
        </is>
      </c>
      <c r="G118" t="inlineStr">
        <is>
          <t>SKINNSKATTEBERG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28873-2025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45820</v>
      </c>
      <c r="E119" s="1" t="n">
        <v>46316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45375</v>
      </c>
      <c r="E120" s="1" t="n">
        <v>46316</v>
      </c>
      <c r="F120" t="inlineStr">
        <is>
          <t>VÄSTMANLANDS LÄN</t>
        </is>
      </c>
      <c r="G120" t="inlineStr">
        <is>
          <t>SKINNSKATTEBERG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46316</v>
      </c>
      <c r="F121" t="inlineStr">
        <is>
          <t>VÄSTMANLANDS LÄN</t>
        </is>
      </c>
      <c r="G121" t="inlineStr">
        <is>
          <t>SKINNSKATTEBERG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29808-2025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45825</v>
      </c>
      <c r="E122" s="1" t="n">
        <v>46316</v>
      </c>
      <c r="F122" t="inlineStr">
        <is>
          <t>VÄSTMANLANDS LÄN</t>
        </is>
      </c>
      <c r="G122" t="inlineStr">
        <is>
          <t>SKINNSKATTEBERG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46316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46316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45434</v>
      </c>
      <c r="E125" s="1" t="n">
        <v>46316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46316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46316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44184-2025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45915</v>
      </c>
      <c r="E128" s="1" t="n">
        <v>46316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57984-2023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45247</v>
      </c>
      <c r="E129" s="1" t="n">
        <v>46316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41581-2025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45901</v>
      </c>
      <c r="E130" s="1" t="n">
        <v>46316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5704-2026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46051</v>
      </c>
      <c r="E131" s="1" t="n">
        <v>46316</v>
      </c>
      <c r="F131" t="inlineStr">
        <is>
          <t>VÄSTMANLANDS LÄN</t>
        </is>
      </c>
      <c r="G131" t="inlineStr">
        <is>
          <t>SKINNSKATTEBERG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46316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46316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46316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46316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5693-2026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46051</v>
      </c>
      <c r="E136" s="1" t="n">
        <v>46316</v>
      </c>
      <c r="F136" t="inlineStr">
        <is>
          <t>VÄSTMANLANDS LÄN</t>
        </is>
      </c>
      <c r="G136" t="inlineStr">
        <is>
          <t>SKINNSKATTEBERG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5675-2026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46051</v>
      </c>
      <c r="E137" s="1" t="n">
        <v>46316</v>
      </c>
      <c r="F137" t="inlineStr">
        <is>
          <t>VÄSTMANLANDS LÄN</t>
        </is>
      </c>
      <c r="G137" t="inlineStr">
        <is>
          <t>SKINNSKATTEBERG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46316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52696-2024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45610</v>
      </c>
      <c r="E139" s="1" t="n">
        <v>46316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46316</v>
      </c>
      <c r="F140" t="inlineStr">
        <is>
          <t>VÄSTMANLANDS LÄN</t>
        </is>
      </c>
      <c r="G140" t="inlineStr">
        <is>
          <t>SKINNSKATTEBERG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45686</v>
      </c>
      <c r="E141" s="1" t="n">
        <v>46316</v>
      </c>
      <c r="F141" t="inlineStr">
        <is>
          <t>VÄSTMANLANDS LÄN</t>
        </is>
      </c>
      <c r="G141" t="inlineStr">
        <is>
          <t>SKINNSKATTEBERG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46316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46316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46316</v>
      </c>
      <c r="F144" t="inlineStr">
        <is>
          <t>VÄSTMANLANDS LÄN</t>
        </is>
      </c>
      <c r="G144" t="inlineStr">
        <is>
          <t>SKINNSKATTEBERG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45770</v>
      </c>
      <c r="E145" s="1" t="n">
        <v>46316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29810-2025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45825</v>
      </c>
      <c r="E146" s="1" t="n">
        <v>46316</v>
      </c>
      <c r="F146" t="inlineStr">
        <is>
          <t>VÄSTMANLANDS LÄN</t>
        </is>
      </c>
      <c r="G146" t="inlineStr">
        <is>
          <t>SKINNSKATTEBERG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45571</v>
      </c>
      <c r="E147" s="1" t="n">
        <v>46316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46316</v>
      </c>
      <c r="F148" t="inlineStr">
        <is>
          <t>VÄSTMANLANDS LÄN</t>
        </is>
      </c>
      <c r="G148" t="inlineStr">
        <is>
          <t>SKINNSKATTEBERG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46316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46316</v>
      </c>
      <c r="F151" t="inlineStr">
        <is>
          <t>VÄSTMANLANDS LÄN</t>
        </is>
      </c>
      <c r="G151" t="inlineStr">
        <is>
          <t>SKINNSKATTEBERG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45947</v>
      </c>
      <c r="E152" s="1" t="n">
        <v>46316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45947</v>
      </c>
      <c r="E153" s="1" t="n">
        <v>46316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46316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46316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46316</v>
      </c>
      <c r="F156" t="inlineStr">
        <is>
          <t>VÄSTMANLANDS LÄN</t>
        </is>
      </c>
      <c r="G156" t="inlineStr">
        <is>
          <t>SKINNSKATTEBERG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45527</v>
      </c>
      <c r="E157" s="1" t="n">
        <v>46316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30439-2025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45827</v>
      </c>
      <c r="E158" s="1" t="n">
        <v>46316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46316</v>
      </c>
      <c r="F159" t="inlineStr">
        <is>
          <t>VÄSTMANLANDS LÄN</t>
        </is>
      </c>
      <c r="G159" t="inlineStr">
        <is>
          <t>SKINNSKATTEBERG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46316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46316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46316</v>
      </c>
      <c r="F162" t="inlineStr">
        <is>
          <t>VÄSTMANLANDS LÄN</t>
        </is>
      </c>
      <c r="G162" t="inlineStr">
        <is>
          <t>SKINNSKATTEBERG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46316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46316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44603</v>
      </c>
      <c r="E165" s="1" t="n">
        <v>46316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46316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46316</v>
      </c>
      <c r="F167" t="inlineStr">
        <is>
          <t>VÄSTMANLANDS LÄN</t>
        </is>
      </c>
      <c r="G167" t="inlineStr">
        <is>
          <t>SKINNSKATTEBERG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46316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46316</v>
      </c>
      <c r="F169" t="inlineStr">
        <is>
          <t>VÄSTMANLANDS LÄN</t>
        </is>
      </c>
      <c r="G169" t="inlineStr">
        <is>
          <t>SKINNSKATTEBERG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46316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15955-2026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46108</v>
      </c>
      <c r="E171" s="1" t="n">
        <v>46316</v>
      </c>
      <c r="F171" t="inlineStr">
        <is>
          <t>VÄSTMANLANDS LÄN</t>
        </is>
      </c>
      <c r="G171" t="inlineStr">
        <is>
          <t>SKINNSKATTEBERG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46107</v>
      </c>
      <c r="E172" s="1" t="n">
        <v>46316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16136-2026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46108</v>
      </c>
      <c r="E173" s="1" t="n">
        <v>46316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31234-2025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45832</v>
      </c>
      <c r="E174" s="1" t="n">
        <v>46316</v>
      </c>
      <c r="F174" t="inlineStr">
        <is>
          <t>VÄSTMANLANDS LÄN</t>
        </is>
      </c>
      <c r="G174" t="inlineStr">
        <is>
          <t>SKINNSKATTEBERG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15731-2026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46316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46316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46316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44993</v>
      </c>
      <c r="E178" s="1" t="n">
        <v>46316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46316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46316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46316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8.699999999999999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46316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46114</v>
      </c>
      <c r="E183" s="1" t="n">
        <v>46316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46316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46316</v>
      </c>
      <c r="F185" t="inlineStr">
        <is>
          <t>VÄSTMANLANDS LÄN</t>
        </is>
      </c>
      <c r="G185" t="inlineStr">
        <is>
          <t>SKINNSKATTEBERG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46316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46316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46316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46316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45975</v>
      </c>
      <c r="E190" s="1" t="n">
        <v>46316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46316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46316</v>
      </c>
      <c r="F192" t="inlineStr">
        <is>
          <t>VÄSTMANLANDS LÄN</t>
        </is>
      </c>
      <c r="G192" t="inlineStr">
        <is>
          <t>SKINNSKATTEBERG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46316</v>
      </c>
      <c r="F193" t="inlineStr">
        <is>
          <t>VÄSTMANLANDS LÄN</t>
        </is>
      </c>
      <c r="G193" t="inlineStr">
        <is>
          <t>SKINNSKATTEBERG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19540-2026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46134</v>
      </c>
      <c r="E194" s="1" t="n">
        <v>46316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19541-2026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46134</v>
      </c>
      <c r="E195" s="1" t="n">
        <v>46316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46316</v>
      </c>
      <c r="F196" t="inlineStr">
        <is>
          <t>VÄSTMANLANDS LÄN</t>
        </is>
      </c>
      <c r="G196" t="inlineStr">
        <is>
          <t>SKINNSKATTEBERG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19582-2026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46134</v>
      </c>
      <c r="E197" s="1" t="n">
        <v>46316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45987</v>
      </c>
      <c r="E198" s="1" t="n">
        <v>46316</v>
      </c>
      <c r="F198" t="inlineStr">
        <is>
          <t>VÄSTMANLANDS LÄN</t>
        </is>
      </c>
      <c r="G198" t="inlineStr">
        <is>
          <t>SKINNSKATTEBERG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46316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45848</v>
      </c>
      <c r="E200" s="1" t="n">
        <v>46316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46316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46316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46316</v>
      </c>
      <c r="F203" t="inlineStr">
        <is>
          <t>VÄSTMANLANDS LÄN</t>
        </is>
      </c>
      <c r="G203" t="inlineStr">
        <is>
          <t>SKINNSKATTEBERG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45853</v>
      </c>
      <c r="E204" s="1" t="n">
        <v>46316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22611-2024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45447</v>
      </c>
      <c r="E205" s="1" t="n">
        <v>46316</v>
      </c>
      <c r="F205" t="inlineStr">
        <is>
          <t>VÄSTMANLANDS LÄN</t>
        </is>
      </c>
      <c r="G205" t="inlineStr">
        <is>
          <t>SKINNSKATTEBERG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46316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35205-2025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45853</v>
      </c>
      <c r="E207" s="1" t="n">
        <v>46316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46316</v>
      </c>
      <c r="F208" t="inlineStr">
        <is>
          <t>VÄSTMANLANDS LÄN</t>
        </is>
      </c>
      <c r="G208" t="inlineStr">
        <is>
          <t>SKINNSKATTEBERG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46316</v>
      </c>
      <c r="F209" t="inlineStr">
        <is>
          <t>VÄSTMANLANDS LÄN</t>
        </is>
      </c>
      <c r="G209" t="inlineStr">
        <is>
          <t>SKINNSKATTEBERG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45114</v>
      </c>
      <c r="E210" s="1" t="n">
        <v>46316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45534</v>
      </c>
      <c r="E211" s="1" t="n">
        <v>46316</v>
      </c>
      <c r="F211" t="inlineStr">
        <is>
          <t>VÄSTMANLANDS LÄN</t>
        </is>
      </c>
      <c r="G211" t="inlineStr">
        <is>
          <t>SKINNSKATTEBERG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43805-2024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45571</v>
      </c>
      <c r="E212" s="1" t="n">
        <v>46316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45571</v>
      </c>
      <c r="E213" s="1" t="n">
        <v>46316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55210-2023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46316</v>
      </c>
      <c r="F214" t="inlineStr">
        <is>
          <t>VÄSTMANLANDS LÄN</t>
        </is>
      </c>
      <c r="G214" t="inlineStr">
        <is>
          <t>SKINNSKATTEBERG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20248-2024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45434</v>
      </c>
      <c r="E215" s="1" t="n">
        <v>46316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46316</v>
      </c>
      <c r="F216" t="inlineStr">
        <is>
          <t>VÄSTMANLANDS LÄN</t>
        </is>
      </c>
      <c r="G216" t="inlineStr">
        <is>
          <t>SKINNSKATTEBERG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46316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16729-2024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45410</v>
      </c>
      <c r="E218" s="1" t="n">
        <v>46316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46316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46316</v>
      </c>
      <c r="F220" t="inlineStr">
        <is>
          <t>VÄSTMANLANDS LÄN</t>
        </is>
      </c>
      <c r="G220" t="inlineStr">
        <is>
          <t>SKINNSKATTEBERG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46316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14237-2025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46316</v>
      </c>
      <c r="F222" t="inlineStr">
        <is>
          <t>VÄSTMANLANDS LÄN</t>
        </is>
      </c>
      <c r="G222" t="inlineStr">
        <is>
          <t>SKINNSKATTEBERG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46316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46316</v>
      </c>
      <c r="F224" t="inlineStr">
        <is>
          <t>VÄSTMANLANDS LÄN</t>
        </is>
      </c>
      <c r="G224" t="inlineStr">
        <is>
          <t>SKINNSKATTEBERG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46316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20563-2026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46140</v>
      </c>
      <c r="E226" s="1" t="n">
        <v>46316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11826-2024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45376</v>
      </c>
      <c r="E227" s="1" t="n">
        <v>46316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8218-2023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46316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Kyrkan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46316</v>
      </c>
      <c r="F229" t="inlineStr">
        <is>
          <t>VÄSTMANLANDS LÄN</t>
        </is>
      </c>
      <c r="G229" t="inlineStr">
        <is>
          <t>SKINNSKATTEBERG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45068</v>
      </c>
      <c r="E230" s="1" t="n">
        <v>46316</v>
      </c>
      <c r="F230" t="inlineStr">
        <is>
          <t>VÄSTMANLANDS LÄN</t>
        </is>
      </c>
      <c r="G230" t="inlineStr">
        <is>
          <t>SKINNSKATTEBERG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25843-2023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45090</v>
      </c>
      <c r="E231" s="1" t="n">
        <v>46316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46316</v>
      </c>
      <c r="F232" t="inlineStr">
        <is>
          <t>VÄSTMANLANDS LÄN</t>
        </is>
      </c>
      <c r="G232" t="inlineStr">
        <is>
          <t>SKINNSKATTEBERG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46316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46316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46142</v>
      </c>
      <c r="E235" s="1" t="n">
        <v>46316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46142</v>
      </c>
      <c r="E236" s="1" t="n">
        <v>46316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46316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46316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46316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58834-2022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44903</v>
      </c>
      <c r="E240" s="1" t="n">
        <v>46316</v>
      </c>
      <c r="F240" t="inlineStr">
        <is>
          <t>VÄSTMANLANDS LÄN</t>
        </is>
      </c>
      <c r="G240" t="inlineStr">
        <is>
          <t>SKINNSKATTEBERG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46316</v>
      </c>
      <c r="F241" t="inlineStr">
        <is>
          <t>VÄSTMANLANDS LÄN</t>
        </is>
      </c>
      <c r="G241" t="inlineStr">
        <is>
          <t>SKINNSKATTEBERG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46150</v>
      </c>
      <c r="E242" s="1" t="n">
        <v>46316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46316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46316</v>
      </c>
      <c r="F244" t="inlineStr">
        <is>
          <t>VÄSTMANLANDS LÄN</t>
        </is>
      </c>
      <c r="G244" t="inlineStr">
        <is>
          <t>SKINNSKATTEBERG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46316</v>
      </c>
      <c r="F245" t="inlineStr">
        <is>
          <t>VÄSTMANLANDS LÄN</t>
        </is>
      </c>
      <c r="G245" t="inlineStr">
        <is>
          <t>SKINNSKATTEBERG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22779-2026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46157</v>
      </c>
      <c r="E246" s="1" t="n">
        <v>46316</v>
      </c>
      <c r="F246" t="inlineStr">
        <is>
          <t>VÄSTMANLANDS LÄN</t>
        </is>
      </c>
      <c r="G246" t="inlineStr">
        <is>
          <t>SKINNSKATTEBERG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46316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46316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46316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46316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46316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46316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45177</v>
      </c>
      <c r="E253" s="1" t="n">
        <v>46316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46316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46316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46316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46316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46316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45420</v>
      </c>
      <c r="E259" s="1" t="n">
        <v>46316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35370-2024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45531</v>
      </c>
      <c r="E260" s="1" t="n">
        <v>46316</v>
      </c>
      <c r="F260" t="inlineStr">
        <is>
          <t>VÄSTMANLANDS LÄN</t>
        </is>
      </c>
      <c r="G260" t="inlineStr">
        <is>
          <t>SKINNSKATTEBERG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46316</v>
      </c>
      <c r="F261" t="inlineStr">
        <is>
          <t>VÄSTMANLANDS LÄN</t>
        </is>
      </c>
      <c r="G261" t="inlineStr">
        <is>
          <t>SKINNSKATTEBERG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46316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46316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46316</v>
      </c>
      <c r="F264" t="inlineStr">
        <is>
          <t>VÄSTMANLANDS LÄN</t>
        </is>
      </c>
      <c r="G264" t="inlineStr">
        <is>
          <t>SKINNSKATTEBERG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45512</v>
      </c>
      <c r="E265" s="1" t="n">
        <v>46316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46316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26356-2026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46182</v>
      </c>
      <c r="E267" s="1" t="n">
        <v>46316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46316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51475-2024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45604</v>
      </c>
      <c r="E269" s="1" t="n">
        <v>46316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46316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46316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46185</v>
      </c>
      <c r="E272" s="1" t="n">
        <v>46316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46185</v>
      </c>
      <c r="E273" s="1" t="n">
        <v>46316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46316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46316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36288-2022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44803</v>
      </c>
      <c r="E276" s="1" t="n">
        <v>46316</v>
      </c>
      <c r="F276" t="inlineStr">
        <is>
          <t>VÄSTMANLANDS LÄN</t>
        </is>
      </c>
      <c r="G276" t="inlineStr">
        <is>
          <t>SKINNSKATTEBERG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46316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46316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46316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46316</v>
      </c>
      <c r="F280" t="inlineStr">
        <is>
          <t>VÄSTMANLANDS LÄN</t>
        </is>
      </c>
      <c r="G280" t="inlineStr">
        <is>
          <t>SKINNSKATTEBERG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28458-2026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46316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46197</v>
      </c>
      <c r="E282" s="1" t="n">
        <v>46316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46316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45393</v>
      </c>
      <c r="E284" s="1" t="n">
        <v>46316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45686</v>
      </c>
      <c r="E285" s="1" t="n">
        <v>46316</v>
      </c>
      <c r="F285" t="inlineStr">
        <is>
          <t>VÄSTMANLANDS LÄN</t>
        </is>
      </c>
      <c r="G285" t="inlineStr">
        <is>
          <t>SKINNSKATTEBERG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46316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46199</v>
      </c>
      <c r="E287" s="1" t="n">
        <v>46316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46200</v>
      </c>
      <c r="E288" s="1" t="n">
        <v>46316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46200</v>
      </c>
      <c r="E289" s="1" t="n">
        <v>46316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46316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45054</v>
      </c>
      <c r="E291" s="1" t="n">
        <v>46316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45056</v>
      </c>
      <c r="E292" s="1" t="n">
        <v>46316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13713-2024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45390</v>
      </c>
      <c r="E293" s="1" t="n">
        <v>46316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46316</v>
      </c>
      <c r="F294" t="inlineStr">
        <is>
          <t>VÄSTMANLANDS LÄN</t>
        </is>
      </c>
      <c r="G294" t="inlineStr">
        <is>
          <t>SKINNSKATTEBERG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45447</v>
      </c>
      <c r="E295" s="1" t="n">
        <v>46316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45485</v>
      </c>
      <c r="E296" s="1" t="n">
        <v>46316</v>
      </c>
      <c r="F296" t="inlineStr">
        <is>
          <t>VÄSTMANLANDS LÄN</t>
        </is>
      </c>
      <c r="G296" t="inlineStr">
        <is>
          <t>SKINNSKATTEBERG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45555</v>
      </c>
      <c r="E297" s="1" t="n">
        <v>46316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13385-2024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45387</v>
      </c>
      <c r="E298" s="1" t="n">
        <v>46316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45063</v>
      </c>
      <c r="E299" s="1" t="n">
        <v>46316</v>
      </c>
      <c r="F299" t="inlineStr">
        <is>
          <t>VÄSTMANLANDS LÄN</t>
        </is>
      </c>
      <c r="G299" t="inlineStr">
        <is>
          <t>SKINNSKATTEBERG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46316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46316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45156</v>
      </c>
      <c r="E302" s="1" t="n">
        <v>46316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29026-2026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46199</v>
      </c>
      <c r="E303" s="1" t="n">
        <v>46316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46274</v>
      </c>
      <c r="E304" s="1" t="n">
        <v>46316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37899-2026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46279</v>
      </c>
      <c r="E305" s="1" t="n">
        <v>46316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45096</v>
      </c>
      <c r="E306" s="1" t="n">
        <v>46316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46237</v>
      </c>
      <c r="E307" s="1" t="n">
        <v>46316</v>
      </c>
      <c r="F307" t="inlineStr">
        <is>
          <t>VÄSTMANLANDS LÄN</t>
        </is>
      </c>
      <c r="G307" t="inlineStr">
        <is>
          <t>SKINNSKATTEBERG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40545-2023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45170</v>
      </c>
      <c r="E308" s="1" t="n">
        <v>46316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46316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46316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45558</v>
      </c>
      <c r="E311" s="1" t="n">
        <v>46316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46316</v>
      </c>
      <c r="F312" t="inlineStr">
        <is>
          <t>VÄSTMANLANDS LÄN</t>
        </is>
      </c>
      <c r="G312" t="inlineStr">
        <is>
          <t>SKINNSKATTEBERG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46316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46244</v>
      </c>
      <c r="E314" s="1" t="n">
        <v>46316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46244</v>
      </c>
      <c r="E315" s="1" t="n">
        <v>46316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46244</v>
      </c>
      <c r="E316" s="1" t="n">
        <v>46316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46316</v>
      </c>
      <c r="F317" t="inlineStr">
        <is>
          <t>VÄSTMANLANDS LÄN</t>
        </is>
      </c>
      <c r="G317" t="inlineStr">
        <is>
          <t>SKINNSKATTEBERG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46316</v>
      </c>
      <c r="F318" t="inlineStr">
        <is>
          <t>VÄSTMANLANDS LÄN</t>
        </is>
      </c>
      <c r="G318" t="inlineStr">
        <is>
          <t>SKINNSKATTEBERG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46285</v>
      </c>
      <c r="E319" s="1" t="n">
        <v>46316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39620-2026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46289</v>
      </c>
      <c r="E320" s="1" t="n">
        <v>46316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45082</v>
      </c>
      <c r="E321" s="1" t="n">
        <v>46316</v>
      </c>
      <c r="F321" t="inlineStr">
        <is>
          <t>VÄSTMANLANDS LÄN</t>
        </is>
      </c>
      <c r="G321" t="inlineStr">
        <is>
          <t>SKINNSKATTEBERG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61181-2021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46316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45128</v>
      </c>
      <c r="E323" s="1" t="n">
        <v>46316</v>
      </c>
      <c r="F323" t="inlineStr">
        <is>
          <t>VÄSTMANLANDS LÄN</t>
        </is>
      </c>
      <c r="G323" t="inlineStr">
        <is>
          <t>SKINNSKATTEBERG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46316</v>
      </c>
      <c r="F324" t="inlineStr">
        <is>
          <t>VÄSTMANLANDS LÄN</t>
        </is>
      </c>
      <c r="G324" t="inlineStr">
        <is>
          <t>SKINNSKATTEBERG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39863-2026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46290</v>
      </c>
      <c r="E325" s="1" t="n">
        <v>46316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46290</v>
      </c>
      <c r="E326" s="1" t="n">
        <v>46316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46316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33454-2026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46247</v>
      </c>
      <c r="E328" s="1" t="n">
        <v>46316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39866-2026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46290</v>
      </c>
      <c r="E329" s="1" t="n">
        <v>46316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33553-2026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46248</v>
      </c>
      <c r="E330" s="1" t="n">
        <v>46316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40179-2024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45554</v>
      </c>
      <c r="E331" s="1" t="n">
        <v>46316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45085</v>
      </c>
      <c r="E332" s="1" t="n">
        <v>46316</v>
      </c>
      <c r="F332" t="inlineStr">
        <is>
          <t>VÄSTMANLANDS LÄN</t>
        </is>
      </c>
      <c r="G332" t="inlineStr">
        <is>
          <t>SKINNSKATTEBERG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45617</v>
      </c>
      <c r="E333" s="1" t="n">
        <v>46316</v>
      </c>
      <c r="F333" t="inlineStr">
        <is>
          <t>VÄSTMANLANDS LÄN</t>
        </is>
      </c>
      <c r="G333" t="inlineStr">
        <is>
          <t>SKINNSKATTEBERG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44965</v>
      </c>
      <c r="E334" s="1" t="n">
        <v>46316</v>
      </c>
      <c r="F334" t="inlineStr">
        <is>
          <t>VÄSTMANLANDS LÄN</t>
        </is>
      </c>
      <c r="G334" t="inlineStr">
        <is>
          <t>SKINNSKATTEBERG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45114</v>
      </c>
      <c r="E335" s="1" t="n">
        <v>46316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45006</v>
      </c>
      <c r="E336" s="1" t="n">
        <v>46316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Allmännings- och besparingsskogar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12888-2024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45385</v>
      </c>
      <c r="E337" s="1" t="n">
        <v>46316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15561-2024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45401</v>
      </c>
      <c r="E338" s="1" t="n">
        <v>46316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46316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45568</v>
      </c>
      <c r="E340" s="1" t="n">
        <v>46316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46316</v>
      </c>
      <c r="F341" t="inlineStr">
        <is>
          <t>VÄSTMANLANDS LÄN</t>
        </is>
      </c>
      <c r="G341" t="inlineStr">
        <is>
          <t>SKINNSKATTEBERG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46316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45643</v>
      </c>
      <c r="E343" s="1" t="n">
        <v>46316</v>
      </c>
      <c r="F343" t="inlineStr">
        <is>
          <t>VÄSTMANLANDS LÄN</t>
        </is>
      </c>
      <c r="G343" t="inlineStr">
        <is>
          <t>SKINNSKATTEBERG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46316</v>
      </c>
      <c r="F344" t="inlineStr">
        <is>
          <t>VÄSTMANLANDS LÄN</t>
        </is>
      </c>
      <c r="G344" t="inlineStr">
        <is>
          <t>SKINNSKATTEBERG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44995</v>
      </c>
      <c r="E345" s="1" t="n">
        <v>46316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44806</v>
      </c>
      <c r="E346" s="1" t="n">
        <v>46316</v>
      </c>
      <c r="F346" t="inlineStr">
        <is>
          <t>VÄSTMANLANDS LÄN</t>
        </is>
      </c>
      <c r="G346" t="inlineStr">
        <is>
          <t>SKINNSKATTEBERG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54657-2022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44883</v>
      </c>
      <c r="E347" s="1" t="n">
        <v>46316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45554</v>
      </c>
      <c r="E348" s="1" t="n">
        <v>46316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66584-2021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44519</v>
      </c>
      <c r="E349" s="1" t="n">
        <v>46316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41207-2026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46316</v>
      </c>
      <c r="F350" t="inlineStr">
        <is>
          <t>VÄSTMANLANDS LÄN</t>
        </is>
      </c>
      <c r="G350" t="inlineStr">
        <is>
          <t>SKINNSKATTEBERG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37342-2023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46316</v>
      </c>
      <c r="F351" t="inlineStr">
        <is>
          <t>VÄSTMANLANDS LÄN</t>
        </is>
      </c>
      <c r="G351" t="inlineStr">
        <is>
          <t>SKINNSKATTEBERG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45252</v>
      </c>
      <c r="E352" s="1" t="n">
        <v>46316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45504</v>
      </c>
      <c r="E353" s="1" t="n">
        <v>46316</v>
      </c>
      <c r="F353" t="inlineStr">
        <is>
          <t>VÄSTMANLANDS LÄN</t>
        </is>
      </c>
      <c r="G353" t="inlineStr">
        <is>
          <t>SKINNSKATTEBERG</t>
        </is>
      </c>
      <c r="I353" t="n">
        <v>17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46302</v>
      </c>
      <c r="E354" s="1" t="n">
        <v>46316</v>
      </c>
      <c r="F354" t="inlineStr">
        <is>
          <t>VÄSTMANLANDS LÄN</t>
        </is>
      </c>
      <c r="G354" t="inlineStr">
        <is>
          <t>SKINNSKATTEBERG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35168-2026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46260</v>
      </c>
      <c r="E355" s="1" t="n">
        <v>46316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46260</v>
      </c>
      <c r="E356" s="1" t="n">
        <v>46316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46316</v>
      </c>
      <c r="F357" t="inlineStr">
        <is>
          <t>VÄSTMANLANDS LÄN</t>
        </is>
      </c>
      <c r="G357" t="inlineStr">
        <is>
          <t>SKINNSKATTEBERG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45306</v>
      </c>
      <c r="E358" s="1" t="n">
        <v>46316</v>
      </c>
      <c r="F358" t="inlineStr">
        <is>
          <t>VÄSTMANLANDS LÄN</t>
        </is>
      </c>
      <c r="G358" t="inlineStr">
        <is>
          <t>SKINNSKATTEBERG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46316</v>
      </c>
      <c r="F359" t="inlineStr">
        <is>
          <t>VÄSTMANLANDS LÄN</t>
        </is>
      </c>
      <c r="G359" t="inlineStr">
        <is>
          <t>SKINNSKATTEBERG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35582-2026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46262</v>
      </c>
      <c r="E360" s="1" t="n">
        <v>46316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46316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46262</v>
      </c>
      <c r="E362" s="1" t="n">
        <v>46316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46262</v>
      </c>
      <c r="E363" s="1" t="n">
        <v>46316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35589-2026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46262</v>
      </c>
      <c r="E364" s="1" t="n">
        <v>46316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35587-2026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46262</v>
      </c>
      <c r="E365" s="1" t="n">
        <v>46316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46308</v>
      </c>
      <c r="E366" s="1" t="n">
        <v>46316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35746-2026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46265</v>
      </c>
      <c r="E367" s="1" t="n">
        <v>46316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46308</v>
      </c>
      <c r="E368" s="1" t="n">
        <v>46316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46308</v>
      </c>
      <c r="E369" s="1" t="n">
        <v>46316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46308</v>
      </c>
      <c r="E370" s="1" t="n">
        <v>46316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15184-2025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45744</v>
      </c>
      <c r="E371" s="1" t="n">
        <v>46316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46308</v>
      </c>
      <c r="E372" s="1" t="n">
        <v>46316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46308</v>
      </c>
      <c r="E373" s="1" t="n">
        <v>46316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45174</v>
      </c>
      <c r="E374" s="1" t="n">
        <v>46316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45555</v>
      </c>
      <c r="E375" s="1" t="n">
        <v>46316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46316</v>
      </c>
      <c r="F376" t="inlineStr">
        <is>
          <t>VÄSTMANLANDS LÄN</t>
        </is>
      </c>
      <c r="G376" t="inlineStr">
        <is>
          <t>SKINNSKATTEBERG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46316</v>
      </c>
      <c r="F377" t="inlineStr">
        <is>
          <t>VÄSTMANLANDS LÄN</t>
        </is>
      </c>
      <c r="G377" t="inlineStr">
        <is>
          <t>SKINNSKATTEBERG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45520</v>
      </c>
      <c r="E378" s="1" t="n">
        <v>46316</v>
      </c>
      <c r="F378" t="inlineStr">
        <is>
          <t>VÄSTMANLANDS LÄN</t>
        </is>
      </c>
      <c r="G378" t="inlineStr">
        <is>
          <t>SKINNSKATTEBERG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22394-2022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44713</v>
      </c>
      <c r="E379" s="1" t="n">
        <v>46316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45532</v>
      </c>
      <c r="E380" s="1" t="n">
        <v>46316</v>
      </c>
      <c r="F380" t="inlineStr">
        <is>
          <t>VÄSTMANLANDS LÄN</t>
        </is>
      </c>
      <c r="G380" t="inlineStr">
        <is>
          <t>SKINNSKATTEBERG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45532</v>
      </c>
      <c r="E381" s="1" t="n">
        <v>46316</v>
      </c>
      <c r="F381" t="inlineStr">
        <is>
          <t>VÄSTMANLANDS LÄN</t>
        </is>
      </c>
      <c r="G381" t="inlineStr">
        <is>
          <t>SKINNSKATTEBERG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40176-2024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46316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45048</v>
      </c>
      <c r="E383" s="1" t="n">
        <v>46316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46316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45532</v>
      </c>
      <c r="E385" s="1" t="n">
        <v>46316</v>
      </c>
      <c r="F385" t="inlineStr">
        <is>
          <t>VÄSTMANLANDS LÄN</t>
        </is>
      </c>
      <c r="G385" t="inlineStr">
        <is>
          <t>SKINNSKATTEBERG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45114</v>
      </c>
      <c r="E386" s="1" t="n">
        <v>46316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45506</v>
      </c>
      <c r="E387" s="1" t="n">
        <v>46316</v>
      </c>
      <c r="F387" t="inlineStr">
        <is>
          <t>VÄSTMANLANDS LÄN</t>
        </is>
      </c>
      <c r="G387" t="inlineStr">
        <is>
          <t>SKINNSKATTEBERG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46316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46316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14719-2023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45014</v>
      </c>
      <c r="E390" s="1" t="n">
        <v>46316</v>
      </c>
      <c r="F390" t="inlineStr">
        <is>
          <t>VÄSTMANLANDS LÄN</t>
        </is>
      </c>
      <c r="G390" t="inlineStr">
        <is>
          <t>SKINNSKATTEBERG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14736-2023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45014</v>
      </c>
      <c r="E391" s="1" t="n">
        <v>46316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45762</v>
      </c>
      <c r="E392" s="1" t="n">
        <v>46316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45040</v>
      </c>
      <c r="E393" s="1" t="n">
        <v>46316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48492-2024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45592</v>
      </c>
      <c r="E394" s="1" t="n">
        <v>46316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45777</v>
      </c>
      <c r="E395" s="1" t="n">
        <v>46316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46316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45377</v>
      </c>
      <c r="E397" s="1" t="n">
        <v>46316</v>
      </c>
      <c r="F397" t="inlineStr">
        <is>
          <t>VÄSTMANLANDS LÄN</t>
        </is>
      </c>
      <c r="G397" t="inlineStr">
        <is>
          <t>SKINNSKATTEBERG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37730-2024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46316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50980-2022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44867</v>
      </c>
      <c r="E399" s="1" t="n">
        <v>46316</v>
      </c>
      <c r="F399" t="inlineStr">
        <is>
          <t>VÄSTMANLANDS LÄN</t>
        </is>
      </c>
      <c r="G399" t="inlineStr">
        <is>
          <t>SKINNSKATTEBERG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46316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46316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46316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46316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46316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46316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46316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46316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46316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46316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46316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46316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46316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46316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46316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46316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2026-10-21T02:02:47Z</dcterms:created>
  <dcterms:modified xmlns:dcterms="http://purl.org/dc/terms/" xmlns:xsi="http://www.w3.org/2001/XMLSchema-instance" xsi:type="dcterms:W3CDTF">2026-10-21T02:02:47Z</dcterms:modified>
</cp:coreProperties>
</file>