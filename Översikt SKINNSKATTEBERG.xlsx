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46315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5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19</v>
      </c>
      <c r="T2" t="n">
        <v>27</v>
      </c>
      <c r="U2" t="n">
        <v>11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Vätteros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46315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46315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46315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39623-2026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46315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4.4</v>
      </c>
      <c r="J6" t="n">
        <v>1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21</v>
      </c>
      <c r="U6" t="n">
        <v>5</v>
      </c>
      <c r="V6" s="2" t="inlineStr">
        <is>
          <t>Raggbock
Skrovlig taggsvamp
Motaggsvamp
Orange taggsvamp
Skarp dropptaggsvamp
Svartvit taggsvamp
Vätteros
Zontaggsvamp
Revlummer</t>
        </is>
      </c>
      <c r="W6">
        <f>HYPERLINK("https://klasma.github.io/Logging_1904/artfynd/A 39623-2026 artfynd.xlsx", "A 39623-2026")</f>
        <v/>
      </c>
      <c r="X6">
        <f>HYPERLINK("https://klasma.github.io/Logging_1904/kartor/A 39623-2026 karta.png", "A 39623-2026")</f>
        <v/>
      </c>
      <c r="Y6">
        <f>HYPERLINK("https://klasma.github.io/Logging_1904/kartor_geotiff/A 39623-2026 georefererad karta.tif", "A 39623-2026")</f>
        <v/>
      </c>
      <c r="AA6">
        <f>HYPERLINK("https://klasma.github.io/Logging_1904/klagomål/A 39623-2026 FSC-klagomål.docx", "A 39623-2026")</f>
        <v/>
      </c>
      <c r="AB6">
        <f>HYPERLINK("https://klasma.github.io/Logging_1904/klagomålsmail/A 39623-2026 FSC-klagomål mail.docx", "A 39623-2026")</f>
        <v/>
      </c>
      <c r="AC6">
        <f>HYPERLINK("https://klasma.github.io/Logging_1904/tillsyn/A 39623-2026 tillsynsbegäran.docx", "A 39623-2026")</f>
        <v/>
      </c>
      <c r="AD6">
        <f>HYPERLINK("https://klasma.github.io/Logging_1904/tillsynsmail/A 39623-2026 tillsynsbegäran mail.docx", "A 39623-2026")</f>
        <v/>
      </c>
    </row>
    <row r="7" ht="15" customHeight="1">
      <c r="A7" t="inlineStr">
        <is>
          <t>A 65300-2021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46315</v>
      </c>
      <c r="F7" t="inlineStr">
        <is>
          <t>VÄSTMANLANDS LÄN</t>
        </is>
      </c>
      <c r="G7" t="inlineStr">
        <is>
          <t>SKINNSKATTEBERG</t>
        </is>
      </c>
      <c r="I7" t="n">
        <v>30.2</v>
      </c>
      <c r="J7" t="n">
        <v>1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8</v>
      </c>
      <c r="U7" t="n">
        <v>3</v>
      </c>
      <c r="V7" s="2" t="inlineStr">
        <is>
          <t>Aspgelélav
Lunglav
Ullticka
Bollvitmossa
Jättesvampmal
Platt fjädermossa
Blåsippa</t>
        </is>
      </c>
      <c r="W7">
        <f>HYPERLINK("https://klasma.github.io/Logging_1904/artfynd/A 65300-2021 artfynd.xlsx", "A 65300-2021")</f>
        <v/>
      </c>
      <c r="X7">
        <f>HYPERLINK("https://klasma.github.io/Logging_1904/kartor/A 65300-2021 karta.png", "A 65300-2021")</f>
        <v/>
      </c>
      <c r="Y7">
        <f>HYPERLINK("https://klasma.github.io/Logging_1904/kartor_geotiff/A 65300-2021 georefererad karta.tif", "A 65300-2021")</f>
        <v/>
      </c>
      <c r="AA7">
        <f>HYPERLINK("https://klasma.github.io/Logging_1904/klagomål/A 65300-2021 FSC-klagomål.docx", "A 65300-2021")</f>
        <v/>
      </c>
      <c r="AB7">
        <f>HYPERLINK("https://klasma.github.io/Logging_1904/klagomålsmail/A 65300-2021 FSC-klagomål mail.docx", "A 65300-2021")</f>
        <v/>
      </c>
      <c r="AC7">
        <f>HYPERLINK("https://klasma.github.io/Logging_1904/tillsyn/A 65300-2021 tillsynsbegäran.docx", "A 65300-2021")</f>
        <v/>
      </c>
      <c r="AD7">
        <f>HYPERLINK("https://klasma.github.io/Logging_1904/tillsynsmail/A 65300-2021 tillsynsbegäran mail.docx", "A 65300-2021")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46315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61212-2022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44908</v>
      </c>
      <c r="E9" s="1" t="n">
        <v>46315</v>
      </c>
      <c r="F9" t="inlineStr">
        <is>
          <t>VÄSTMANLANDS LÄN</t>
        </is>
      </c>
      <c r="G9" t="inlineStr">
        <is>
          <t>SKINNSKATTEBERG</t>
        </is>
      </c>
      <c r="I9" t="n">
        <v>17.4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10</v>
      </c>
      <c r="U9" t="n">
        <v>9</v>
      </c>
      <c r="V9" s="2" t="inlineStr">
        <is>
          <t>Grangråticka
Dofttaggsvamp
Tallticka
Blåsippa
Kråka</t>
        </is>
      </c>
      <c r="W9">
        <f>HYPERLINK("https://klasma.github.io/Logging_1904/artfynd/A 61212-2022 artfynd.xlsx", "A 61212-2022")</f>
        <v/>
      </c>
      <c r="X9">
        <f>HYPERLINK("https://klasma.github.io/Logging_1904/kartor/A 61212-2022 karta.png", "A 61212-2022")</f>
        <v/>
      </c>
      <c r="Y9">
        <f>HYPERLINK("https://klasma.github.io/Logging_1904/kartor_geotiff/A 61212-2022 georefererad karta.tif", "A 61212-2022")</f>
        <v/>
      </c>
      <c r="AA9">
        <f>HYPERLINK("https://klasma.github.io/Logging_1904/klagomål/A 61212-2022 FSC-klagomål.docx", "A 61212-2022")</f>
        <v/>
      </c>
      <c r="AB9">
        <f>HYPERLINK("https://klasma.github.io/Logging_1904/klagomålsmail/A 61212-2022 FSC-klagomål mail.docx", "A 61212-2022")</f>
        <v/>
      </c>
      <c r="AC9">
        <f>HYPERLINK("https://klasma.github.io/Logging_1904/tillsyn/A 61212-2022 tillsynsbegäran.docx", "A 61212-2022")</f>
        <v/>
      </c>
      <c r="AD9">
        <f>HYPERLINK("https://klasma.github.io/Logging_1904/tillsynsmail/A 61212-2022 tillsynsbegäran mail.docx", "A 61212-2022")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46315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46315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39619-2026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46315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6.3</v>
      </c>
      <c r="J12" t="n">
        <v>1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Skrovlig taggsvamp
Mjölsvärting
Motaggsvamp
Plattlummer</t>
        </is>
      </c>
      <c r="W12">
        <f>HYPERLINK("https://klasma.github.io/Logging_1904/artfynd/A 39619-2026 artfynd.xlsx", "A 39619-2026")</f>
        <v/>
      </c>
      <c r="X12">
        <f>HYPERLINK("https://klasma.github.io/Logging_1904/kartor/A 39619-2026 karta.png", "A 39619-2026")</f>
        <v/>
      </c>
      <c r="Y12">
        <f>HYPERLINK("https://klasma.github.io/Logging_1904/kartor_geotiff/A 39619-2026 georefererad karta.tif", "A 39619-2026")</f>
        <v/>
      </c>
      <c r="AA12">
        <f>HYPERLINK("https://klasma.github.io/Logging_1904/klagomål/A 39619-2026 FSC-klagomål.docx", "A 39619-2026")</f>
        <v/>
      </c>
      <c r="AB12">
        <f>HYPERLINK("https://klasma.github.io/Logging_1904/klagomålsmail/A 39619-2026 FSC-klagomål mail.docx", "A 39619-2026")</f>
        <v/>
      </c>
      <c r="AC12">
        <f>HYPERLINK("https://klasma.github.io/Logging_1904/tillsyn/A 39619-2026 tillsynsbegäran.docx", "A 39619-2026")</f>
        <v/>
      </c>
      <c r="AD12">
        <f>HYPERLINK("https://klasma.github.io/Logging_1904/tillsynsmail/A 39619-2026 tillsynsbegäran mail.docx", "A 39619-2026")</f>
        <v/>
      </c>
    </row>
    <row r="13" ht="15" customHeight="1">
      <c r="A13" t="inlineStr">
        <is>
          <t>A 39621-2026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46315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1.6</v>
      </c>
      <c r="J13" t="n">
        <v>0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Motaggsvamp
Orange taggsvamp
Vedskivlav
Zontaggsvamp</t>
        </is>
      </c>
      <c r="W13">
        <f>HYPERLINK("https://klasma.github.io/Logging_1904/artfynd/A 39621-2026 artfynd.xlsx", "A 39621-2026")</f>
        <v/>
      </c>
      <c r="X13">
        <f>HYPERLINK("https://klasma.github.io/Logging_1904/kartor/A 39621-2026 karta.png", "A 39621-2026")</f>
        <v/>
      </c>
      <c r="Y13">
        <f>HYPERLINK("https://klasma.github.io/Logging_1904/kartor_geotiff/A 39621-2026 georefererad karta.tif", "A 39621-2026")</f>
        <v/>
      </c>
      <c r="AA13">
        <f>HYPERLINK("https://klasma.github.io/Logging_1904/klagomål/A 39621-2026 FSC-klagomål.docx", "A 39621-2026")</f>
        <v/>
      </c>
      <c r="AB13">
        <f>HYPERLINK("https://klasma.github.io/Logging_1904/klagomålsmail/A 39621-2026 FSC-klagomål mail.docx", "A 39621-2026")</f>
        <v/>
      </c>
      <c r="AC13">
        <f>HYPERLINK("https://klasma.github.io/Logging_1904/tillsyn/A 39621-2026 tillsynsbegäran.docx", "A 39621-2026")</f>
        <v/>
      </c>
      <c r="AD13">
        <f>HYPERLINK("https://klasma.github.io/Logging_1904/tillsynsmail/A 39621-2026 tillsynsbegäran mail.docx", "A 39621-2026")</f>
        <v/>
      </c>
    </row>
    <row r="14" ht="15" customHeight="1">
      <c r="A14" t="inlineStr">
        <is>
          <t>A 34303-2026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46254</v>
      </c>
      <c r="E14" s="1" t="n">
        <v>46315</v>
      </c>
      <c r="F14" t="inlineStr">
        <is>
          <t>VÄSTMANLANDS LÄN</t>
        </is>
      </c>
      <c r="G14" t="inlineStr">
        <is>
          <t>SKINNSKATTEBERG</t>
        </is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Skogsalm
Svart trolldruva
Tibast
Brudborste</t>
        </is>
      </c>
      <c r="W14">
        <f>HYPERLINK("https://klasma.github.io/Logging_1904/artfynd/A 34303-2026 artfynd.xlsx", "A 34303-2026")</f>
        <v/>
      </c>
      <c r="X14">
        <f>HYPERLINK("https://klasma.github.io/Logging_1904/kartor/A 34303-2026 karta.png", "A 34303-2026")</f>
        <v/>
      </c>
      <c r="Y14">
        <f>HYPERLINK("https://klasma.github.io/Logging_1904/kartor_geotiff/A 34303-2026 georefererad karta.tif", "A 34303-2026")</f>
        <v/>
      </c>
      <c r="AA14">
        <f>HYPERLINK("https://klasma.github.io/Logging_1904/klagomål/A 34303-2026 FSC-klagomål.docx", "A 34303-2026")</f>
        <v/>
      </c>
      <c r="AB14">
        <f>HYPERLINK("https://klasma.github.io/Logging_1904/klagomålsmail/A 34303-2026 FSC-klagomål mail.docx", "A 34303-2026")</f>
        <v/>
      </c>
      <c r="AC14">
        <f>HYPERLINK("https://klasma.github.io/Logging_1904/tillsyn/A 34303-2026 tillsynsbegäran.docx", "A 34303-2026")</f>
        <v/>
      </c>
      <c r="AD14">
        <f>HYPERLINK("https://klasma.github.io/Logging_1904/tillsynsmail/A 34303-2026 tillsynsbegäran mail.docx", "A 34303-2026")</f>
        <v/>
      </c>
    </row>
    <row r="15" ht="15" customHeight="1">
      <c r="A15" t="inlineStr">
        <is>
          <t>A 44698-2024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46315</v>
      </c>
      <c r="F15" t="inlineStr">
        <is>
          <t>VÄSTMANLANDS LÄN</t>
        </is>
      </c>
      <c r="G15" t="inlineStr">
        <is>
          <t>SKINNSKATTEBERG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Hässleklocka
Tibast
Gullviva</t>
        </is>
      </c>
      <c r="W15">
        <f>HYPERLINK("https://klasma.github.io/Logging_1904/artfynd/A 44698-2024 artfynd.xlsx", "A 44698-2024")</f>
        <v/>
      </c>
      <c r="X15">
        <f>HYPERLINK("https://klasma.github.io/Logging_1904/kartor/A 44698-2024 karta.png", "A 44698-2024")</f>
        <v/>
      </c>
      <c r="Y15">
        <f>HYPERLINK("https://klasma.github.io/Logging_1904/kartor_geotiff/A 44698-2024 georefererad karta.tif", "A 44698-2024")</f>
        <v/>
      </c>
      <c r="AA15">
        <f>HYPERLINK("https://klasma.github.io/Logging_1904/klagomål/A 44698-2024 FSC-klagomål.docx", "A 44698-2024")</f>
        <v/>
      </c>
      <c r="AB15">
        <f>HYPERLINK("https://klasma.github.io/Logging_1904/klagomålsmail/A 44698-2024 FSC-klagomål mail.docx", "A 44698-2024")</f>
        <v/>
      </c>
      <c r="AC15">
        <f>HYPERLINK("https://klasma.github.io/Logging_1904/tillsyn/A 44698-2024 tillsynsbegäran.docx", "A 44698-2024")</f>
        <v/>
      </c>
      <c r="AD15">
        <f>HYPERLINK("https://klasma.github.io/Logging_1904/tillsynsmail/A 44698-2024 tillsynsbegäran mail.docx", "A 44698-2024")</f>
        <v/>
      </c>
    </row>
    <row r="16" ht="15" customHeight="1">
      <c r="A16" t="inlineStr">
        <is>
          <t>A 18515-2024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46315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Plattlummer
Fläcknycklar
Revlummer</t>
        </is>
      </c>
      <c r="W16">
        <f>HYPERLINK("https://klasma.github.io/Logging_1904/artfynd/A 18515-2024 artfynd.xlsx", "A 18515-2024")</f>
        <v/>
      </c>
      <c r="X16">
        <f>HYPERLINK("https://klasma.github.io/Logging_1904/kartor/A 18515-2024 karta.png", "A 18515-2024")</f>
        <v/>
      </c>
      <c r="Y16">
        <f>HYPERLINK("https://klasma.github.io/Logging_1904/kartor_geotiff/A 18515-2024 georefererad karta.tif", "A 18515-2024")</f>
        <v/>
      </c>
      <c r="AA16">
        <f>HYPERLINK("https://klasma.github.io/Logging_1904/klagomål/A 18515-2024 FSC-klagomål.docx", "A 18515-2024")</f>
        <v/>
      </c>
      <c r="AB16">
        <f>HYPERLINK("https://klasma.github.io/Logging_1904/klagomålsmail/A 18515-2024 FSC-klagomål mail.docx", "A 18515-2024")</f>
        <v/>
      </c>
      <c r="AC16">
        <f>HYPERLINK("https://klasma.github.io/Logging_1904/tillsyn/A 18515-2024 tillsynsbegäran.docx", "A 18515-2024")</f>
        <v/>
      </c>
      <c r="AD16">
        <f>HYPERLINK("https://klasma.github.io/Logging_1904/tillsynsmail/A 18515-2024 tillsynsbegäran mail.docx", "A 18515-2024")</f>
        <v/>
      </c>
    </row>
    <row r="17" ht="15" customHeight="1">
      <c r="A17" t="inlineStr">
        <is>
          <t>A 19656-2025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46315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3.8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Rynkskinn
Ullticka
Brandticka</t>
        </is>
      </c>
      <c r="W17">
        <f>HYPERLINK("https://klasma.github.io/Logging_1904/artfynd/A 19656-2025 artfynd.xlsx", "A 19656-2025")</f>
        <v/>
      </c>
      <c r="X17">
        <f>HYPERLINK("https://klasma.github.io/Logging_1904/kartor/A 19656-2025 karta.png", "A 19656-2025")</f>
        <v/>
      </c>
      <c r="Y17">
        <f>HYPERLINK("https://klasma.github.io/Logging_1904/kartor_geotiff/A 19656-2025 georefererad karta.tif", "A 19656-2025")</f>
        <v/>
      </c>
      <c r="AA17">
        <f>HYPERLINK("https://klasma.github.io/Logging_1904/klagomål/A 19656-2025 FSC-klagomål.docx", "A 19656-2025")</f>
        <v/>
      </c>
      <c r="AB17">
        <f>HYPERLINK("https://klasma.github.io/Logging_1904/klagomålsmail/A 19656-2025 FSC-klagomål mail.docx", "A 19656-2025")</f>
        <v/>
      </c>
      <c r="AC17">
        <f>HYPERLINK("https://klasma.github.io/Logging_1904/tillsyn/A 19656-2025 tillsynsbegäran.docx", "A 19656-2025")</f>
        <v/>
      </c>
      <c r="AD17">
        <f>HYPERLINK("https://klasma.github.io/Logging_1904/tillsynsmail/A 19656-2025 tillsynsbegäran mail.docx", "A 19656-2025")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46315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58355-2025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46315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1.9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6</v>
      </c>
      <c r="U19" t="n">
        <v>4</v>
      </c>
      <c r="V19" s="2" t="inlineStr">
        <is>
          <t>Brunpudrad nållav
Vedtrappmossa
Brandticka</t>
        </is>
      </c>
      <c r="W19">
        <f>HYPERLINK("https://klasma.github.io/Logging_1904/artfynd/A 58355-2025 artfynd.xlsx", "A 58355-2025")</f>
        <v/>
      </c>
      <c r="X19">
        <f>HYPERLINK("https://klasma.github.io/Logging_1904/kartor/A 58355-2025 karta.png", "A 58355-2025")</f>
        <v/>
      </c>
      <c r="Y19">
        <f>HYPERLINK("https://klasma.github.io/Logging_1904/kartor_geotiff/A 58355-2025 georefererad karta.tif", "A 58355-2025")</f>
        <v/>
      </c>
      <c r="AA19">
        <f>HYPERLINK("https://klasma.github.io/Logging_1904/klagomål/A 58355-2025 FSC-klagomål.docx", "A 58355-2025")</f>
        <v/>
      </c>
      <c r="AB19">
        <f>HYPERLINK("https://klasma.github.io/Logging_1904/klagomålsmail/A 58355-2025 FSC-klagomål mail.docx", "A 58355-2025")</f>
        <v/>
      </c>
      <c r="AC19">
        <f>HYPERLINK("https://klasma.github.io/Logging_1904/tillsyn/A 58355-2025 tillsynsbegäran.docx", "A 58355-2025")</f>
        <v/>
      </c>
      <c r="AD19">
        <f>HYPERLINK("https://klasma.github.io/Logging_1904/tillsynsmail/A 58355-2025 tillsynsbegäran mail.docx", "A 58355-2025")</f>
        <v/>
      </c>
    </row>
    <row r="20" ht="15" customHeight="1">
      <c r="A20" t="inlineStr">
        <is>
          <t>A 13715-2024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45390</v>
      </c>
      <c r="E20" s="1" t="n">
        <v>46315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2.2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4</v>
      </c>
      <c r="V20" s="2" t="inlineStr">
        <is>
          <t>Krusfrö
Järpe
Tjäder</t>
        </is>
      </c>
      <c r="W20">
        <f>HYPERLINK("https://klasma.github.io/Logging_1904/artfynd/A 13715-2024 artfynd.xlsx", "A 13715-2024")</f>
        <v/>
      </c>
      <c r="X20">
        <f>HYPERLINK("https://klasma.github.io/Logging_1904/kartor/A 13715-2024 karta.png", "A 13715-2024")</f>
        <v/>
      </c>
      <c r="Y20">
        <f>HYPERLINK("https://klasma.github.io/Logging_1904/kartor_geotiff/A 13715-2024 georefererad karta.tif", "A 13715-2024")</f>
        <v/>
      </c>
      <c r="AA20">
        <f>HYPERLINK("https://klasma.github.io/Logging_1904/klagomål/A 13715-2024 FSC-klagomål.docx", "A 13715-2024")</f>
        <v/>
      </c>
      <c r="AB20">
        <f>HYPERLINK("https://klasma.github.io/Logging_1904/klagomålsmail/A 13715-2024 FSC-klagomål mail.docx", "A 13715-2024")</f>
        <v/>
      </c>
      <c r="AC20">
        <f>HYPERLINK("https://klasma.github.io/Logging_1904/tillsyn/A 13715-2024 tillsynsbegäran.docx", "A 13715-2024")</f>
        <v/>
      </c>
      <c r="AD20">
        <f>HYPERLINK("https://klasma.github.io/Logging_1904/tillsynsmail/A 13715-2024 tillsynsbegäran mail.docx", "A 13715-2024")</f>
        <v/>
      </c>
      <c r="AE20">
        <f>HYPERLINK("https://klasma.github.io/Logging_1904/fåglar/A 13715-2024 prioriterade fågelarter.docx", "A 13715-2024")</f>
        <v/>
      </c>
    </row>
    <row r="21" ht="15" customHeight="1">
      <c r="A21" t="inlineStr">
        <is>
          <t>A 39622-2026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46315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Motaggsvamp
Orange taggsvamp
Zontaggsvamp</t>
        </is>
      </c>
      <c r="W21">
        <f>HYPERLINK("https://klasma.github.io/Logging_1904/artfynd/A 39622-2026 artfynd.xlsx", "A 39622-2026")</f>
        <v/>
      </c>
      <c r="X21">
        <f>HYPERLINK("https://klasma.github.io/Logging_1904/kartor/A 39622-2026 karta.png", "A 39622-2026")</f>
        <v/>
      </c>
      <c r="Y21">
        <f>HYPERLINK("https://klasma.github.io/Logging_1904/kartor_geotiff/A 39622-2026 georefererad karta.tif", "A 39622-2026")</f>
        <v/>
      </c>
      <c r="AA21">
        <f>HYPERLINK("https://klasma.github.io/Logging_1904/klagomål/A 39622-2026 FSC-klagomål.docx", "A 39622-2026")</f>
        <v/>
      </c>
      <c r="AB21">
        <f>HYPERLINK("https://klasma.github.io/Logging_1904/klagomålsmail/A 39622-2026 FSC-klagomål mail.docx", "A 39622-2026")</f>
        <v/>
      </c>
      <c r="AC21">
        <f>HYPERLINK("https://klasma.github.io/Logging_1904/tillsyn/A 39622-2026 tillsynsbegäran.docx", "A 39622-2026")</f>
        <v/>
      </c>
      <c r="AD21">
        <f>HYPERLINK("https://klasma.github.io/Logging_1904/tillsynsmail/A 39622-2026 tillsynsbegäran mail.docx", "A 39622-2026")</f>
        <v/>
      </c>
    </row>
    <row r="22" ht="15" customHeight="1">
      <c r="A22" t="inlineStr">
        <is>
          <t>A 36596-2024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45537</v>
      </c>
      <c r="E22" s="1" t="n">
        <v>46315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3</v>
      </c>
      <c r="U22" t="n">
        <v>3</v>
      </c>
      <c r="V22" s="2" t="inlineStr">
        <is>
          <t>Jättemusseron
Lakritsmusseron</t>
        </is>
      </c>
      <c r="W22">
        <f>HYPERLINK("https://klasma.github.io/Logging_1904/artfynd/A 36596-2024 artfynd.xlsx", "A 36596-2024")</f>
        <v/>
      </c>
      <c r="X22">
        <f>HYPERLINK("https://klasma.github.io/Logging_1904/kartor/A 36596-2024 karta.png", "A 36596-2024")</f>
        <v/>
      </c>
      <c r="Y22">
        <f>HYPERLINK("https://klasma.github.io/Logging_1904/kartor_geotiff/A 36596-2024 georefererad karta.tif", "A 36596-2024")</f>
        <v/>
      </c>
      <c r="AA22">
        <f>HYPERLINK("https://klasma.github.io/Logging_1904/klagomål/A 36596-2024 FSC-klagomål.docx", "A 36596-2024")</f>
        <v/>
      </c>
      <c r="AB22">
        <f>HYPERLINK("https://klasma.github.io/Logging_1904/klagomålsmail/A 36596-2024 FSC-klagomål mail.docx", "A 36596-2024")</f>
        <v/>
      </c>
      <c r="AC22">
        <f>HYPERLINK("https://klasma.github.io/Logging_1904/tillsyn/A 36596-2024 tillsynsbegäran.docx", "A 36596-2024")</f>
        <v/>
      </c>
      <c r="AD22">
        <f>HYPERLINK("https://klasma.github.io/Logging_1904/tillsynsmail/A 36596-2024 tillsynsbegäran mail.docx", "A 36596-2024")</f>
        <v/>
      </c>
    </row>
    <row r="23" ht="15" customHeight="1">
      <c r="A23" t="inlineStr">
        <is>
          <t>A 39618-2026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46289</v>
      </c>
      <c r="E23" s="1" t="n">
        <v>46315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4.3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Raggbock
Motaggsvamp</t>
        </is>
      </c>
      <c r="W23">
        <f>HYPERLINK("https://klasma.github.io/Logging_1904/artfynd/A 39618-2026 artfynd.xlsx", "A 39618-2026")</f>
        <v/>
      </c>
      <c r="X23">
        <f>HYPERLINK("https://klasma.github.io/Logging_1904/kartor/A 39618-2026 karta.png", "A 39618-2026")</f>
        <v/>
      </c>
      <c r="Y23">
        <f>HYPERLINK("https://klasma.github.io/Logging_1904/kartor_geotiff/A 39618-2026 georefererad karta.tif", "A 39618-2026")</f>
        <v/>
      </c>
      <c r="AA23">
        <f>HYPERLINK("https://klasma.github.io/Logging_1904/klagomål/A 39618-2026 FSC-klagomål.docx", "A 39618-2026")</f>
        <v/>
      </c>
      <c r="AB23">
        <f>HYPERLINK("https://klasma.github.io/Logging_1904/klagomålsmail/A 39618-2026 FSC-klagomål mail.docx", "A 39618-2026")</f>
        <v/>
      </c>
      <c r="AC23">
        <f>HYPERLINK("https://klasma.github.io/Logging_1904/tillsyn/A 39618-2026 tillsynsbegäran.docx", "A 39618-2026")</f>
        <v/>
      </c>
      <c r="AD23">
        <f>HYPERLINK("https://klasma.github.io/Logging_1904/tillsynsmail/A 39618-2026 tillsynsbegäran mail.docx", "A 39618-2026")</f>
        <v/>
      </c>
    </row>
    <row r="24" ht="15" customHeight="1">
      <c r="A24" t="inlineStr">
        <is>
          <t>A 18416-2025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45762</v>
      </c>
      <c r="E24" s="1" t="n">
        <v>46315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2.7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Stubbspretmossa
Svart trolldruva</t>
        </is>
      </c>
      <c r="W24">
        <f>HYPERLINK("https://klasma.github.io/Logging_1904/artfynd/A 18416-2025 artfynd.xlsx", "A 18416-2025")</f>
        <v/>
      </c>
      <c r="X24">
        <f>HYPERLINK("https://klasma.github.io/Logging_1904/kartor/A 18416-2025 karta.png", "A 18416-2025")</f>
        <v/>
      </c>
      <c r="Y24">
        <f>HYPERLINK("https://klasma.github.io/Logging_1904/kartor_geotiff/A 18416-2025 georefererad karta.tif", "A 18416-2025")</f>
        <v/>
      </c>
      <c r="AA24">
        <f>HYPERLINK("https://klasma.github.io/Logging_1904/klagomål/A 18416-2025 FSC-klagomål.docx", "A 18416-2025")</f>
        <v/>
      </c>
      <c r="AB24">
        <f>HYPERLINK("https://klasma.github.io/Logging_1904/klagomålsmail/A 18416-2025 FSC-klagomål mail.docx", "A 18416-2025")</f>
        <v/>
      </c>
      <c r="AC24">
        <f>HYPERLINK("https://klasma.github.io/Logging_1904/tillsyn/A 18416-2025 tillsynsbegäran.docx", "A 18416-2025")</f>
        <v/>
      </c>
      <c r="AD24">
        <f>HYPERLINK("https://klasma.github.io/Logging_1904/tillsynsmail/A 18416-2025 tillsynsbegäran mail.docx", "A 18416-2025")</f>
        <v/>
      </c>
    </row>
    <row r="25" ht="15" customHeight="1">
      <c r="A25" t="inlineStr">
        <is>
          <t>A 16910-2025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45755</v>
      </c>
      <c r="E25" s="1" t="n">
        <v>46315</v>
      </c>
      <c r="F25" t="inlineStr">
        <is>
          <t>VÄSTMANLANDS LÄN</t>
        </is>
      </c>
      <c r="G25" t="inlineStr">
        <is>
          <t>SKINNSKATTEBERG</t>
        </is>
      </c>
      <c r="I25" t="n">
        <v>3.2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Vedtrappmossa
Fläcknycklar</t>
        </is>
      </c>
      <c r="W25">
        <f>HYPERLINK("https://klasma.github.io/Logging_1904/artfynd/A 16910-2025 artfynd.xlsx", "A 16910-2025")</f>
        <v/>
      </c>
      <c r="X25">
        <f>HYPERLINK("https://klasma.github.io/Logging_1904/kartor/A 16910-2025 karta.png", "A 16910-2025")</f>
        <v/>
      </c>
      <c r="Y25">
        <f>HYPERLINK("https://klasma.github.io/Logging_1904/kartor_geotiff/A 16910-2025 georefererad karta.tif", "A 16910-2025")</f>
        <v/>
      </c>
      <c r="AA25">
        <f>HYPERLINK("https://klasma.github.io/Logging_1904/klagomål/A 16910-2025 FSC-klagomål.docx", "A 16910-2025")</f>
        <v/>
      </c>
      <c r="AB25">
        <f>HYPERLINK("https://klasma.github.io/Logging_1904/klagomålsmail/A 16910-2025 FSC-klagomål mail.docx", "A 16910-2025")</f>
        <v/>
      </c>
      <c r="AC25">
        <f>HYPERLINK("https://klasma.github.io/Logging_1904/tillsyn/A 16910-2025 tillsynsbegäran.docx", "A 16910-2025")</f>
        <v/>
      </c>
      <c r="AD25">
        <f>HYPERLINK("https://klasma.github.io/Logging_1904/tillsynsmail/A 16910-2025 tillsynsbegäran mail.docx", "A 16910-2025")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46315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4000-2024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46315</v>
      </c>
      <c r="F27" t="inlineStr">
        <is>
          <t>VÄSTMANLANDS LÄN</t>
        </is>
      </c>
      <c r="G27" t="inlineStr">
        <is>
          <t>SKINNSKATTEBERG</t>
        </is>
      </c>
      <c r="I27" t="n">
        <v>14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Klasefibbla</t>
        </is>
      </c>
      <c r="W27">
        <f>HYPERLINK("https://klasma.github.io/Logging_1904/artfynd/A 4000-2024 artfynd.xlsx", "A 4000-2024")</f>
        <v/>
      </c>
      <c r="X27">
        <f>HYPERLINK("https://klasma.github.io/Logging_1904/kartor/A 4000-2024 karta.png", "A 4000-2024")</f>
        <v/>
      </c>
      <c r="Y27">
        <f>HYPERLINK("https://klasma.github.io/Logging_1904/kartor_geotiff/A 4000-2024 georefererad karta.tif", "A 4000-2024")</f>
        <v/>
      </c>
      <c r="AA27">
        <f>HYPERLINK("https://klasma.github.io/Logging_1904/klagomål/A 4000-2024 FSC-klagomål.docx", "A 4000-2024")</f>
        <v/>
      </c>
      <c r="AB27">
        <f>HYPERLINK("https://klasma.github.io/Logging_1904/klagomålsmail/A 4000-2024 FSC-klagomål mail.docx", "A 4000-2024")</f>
        <v/>
      </c>
      <c r="AC27">
        <f>HYPERLINK("https://klasma.github.io/Logging_1904/tillsyn/A 4000-2024 tillsynsbegäran.docx", "A 4000-2024")</f>
        <v/>
      </c>
      <c r="AD27">
        <f>HYPERLINK("https://klasma.github.io/Logging_1904/tillsynsmail/A 4000-2024 tillsynsbegäran mail.docx", "A 4000-2024")</f>
        <v/>
      </c>
    </row>
    <row r="28" ht="15" customHeight="1">
      <c r="A28" t="inlineStr">
        <is>
          <t>A 12887-2024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45385</v>
      </c>
      <c r="E28" s="1" t="n">
        <v>46315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Sparvuggla</t>
        </is>
      </c>
      <c r="W28">
        <f>HYPERLINK("https://klasma.github.io/Logging_1904/artfynd/A 12887-2024 artfynd.xlsx", "A 12887-2024")</f>
        <v/>
      </c>
      <c r="X28">
        <f>HYPERLINK("https://klasma.github.io/Logging_1904/kartor/A 12887-2024 karta.png", "A 12887-2024")</f>
        <v/>
      </c>
      <c r="Y28">
        <f>HYPERLINK("https://klasma.github.io/Logging_1904/kartor_geotiff/A 12887-2024 georefererad karta.tif", "A 12887-2024")</f>
        <v/>
      </c>
      <c r="AA28">
        <f>HYPERLINK("https://klasma.github.io/Logging_1904/klagomål/A 12887-2024 FSC-klagomål.docx", "A 12887-2024")</f>
        <v/>
      </c>
      <c r="AB28">
        <f>HYPERLINK("https://klasma.github.io/Logging_1904/klagomålsmail/A 12887-2024 FSC-klagomål mail.docx", "A 12887-2024")</f>
        <v/>
      </c>
      <c r="AC28">
        <f>HYPERLINK("https://klasma.github.io/Logging_1904/tillsyn/A 12887-2024 tillsynsbegäran.docx", "A 12887-2024")</f>
        <v/>
      </c>
      <c r="AD28">
        <f>HYPERLINK("https://klasma.github.io/Logging_1904/tillsynsmail/A 12887-2024 tillsynsbegäran mail.docx", "A 12887-2024")</f>
        <v/>
      </c>
      <c r="AE28">
        <f>HYPERLINK("https://klasma.github.io/Logging_1904/fåglar/A 12887-2024 prioriterade fågelarter.docx", "A 12887-2024")</f>
        <v/>
      </c>
    </row>
    <row r="29" ht="15" customHeight="1">
      <c r="A29" t="inlineStr">
        <is>
          <t>A 23893-2023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45078</v>
      </c>
      <c r="E29" s="1" t="n">
        <v>46315</v>
      </c>
      <c r="F29" t="inlineStr">
        <is>
          <t>VÄSTMANLANDS LÄN</t>
        </is>
      </c>
      <c r="G29" t="inlineStr">
        <is>
          <t>SKINNSKATTEBERG</t>
        </is>
      </c>
      <c r="I29" t="n">
        <v>1.6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Knärot</t>
        </is>
      </c>
      <c r="W29">
        <f>HYPERLINK("https://klasma.github.io/Logging_1904/artfynd/A 23893-2023 artfynd.xlsx", "A 23893-2023")</f>
        <v/>
      </c>
      <c r="X29">
        <f>HYPERLINK("https://klasma.github.io/Logging_1904/kartor/A 23893-2023 karta.png", "A 23893-2023")</f>
        <v/>
      </c>
      <c r="Y29">
        <f>HYPERLINK("https://klasma.github.io/Logging_1904/kartor_geotiff/A 23893-2023 georefererad karta.tif", "A 23893-2023")</f>
        <v/>
      </c>
      <c r="Z29">
        <f>HYPERLINK("https://klasma.github.io/Logging_1904/knärot/A 23893-2023 karta knärot.png", "A 23893-2023")</f>
        <v/>
      </c>
      <c r="AA29">
        <f>HYPERLINK("https://klasma.github.io/Logging_1904/klagomål/A 23893-2023 FSC-klagomål.docx", "A 23893-2023")</f>
        <v/>
      </c>
      <c r="AB29">
        <f>HYPERLINK("https://klasma.github.io/Logging_1904/klagomålsmail/A 23893-2023 FSC-klagomål mail.docx", "A 23893-2023")</f>
        <v/>
      </c>
      <c r="AC29">
        <f>HYPERLINK("https://klasma.github.io/Logging_1904/tillsyn/A 23893-2023 tillsynsbegäran.docx", "A 23893-2023")</f>
        <v/>
      </c>
      <c r="AD29">
        <f>HYPERLINK("https://klasma.github.io/Logging_1904/tillsynsmail/A 23893-2023 tillsynsbegäran mail.docx", "A 23893-2023")</f>
        <v/>
      </c>
    </row>
    <row r="30" ht="15" customHeight="1">
      <c r="A30" t="inlineStr">
        <is>
          <t>A 9491-2024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46315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HYPERLINK("https://klasma.github.io/Logging_1904/artfynd/A 9491-2024 artfynd.xlsx", "A 9491-2024")</f>
        <v/>
      </c>
      <c r="X30">
        <f>HYPERLINK("https://klasma.github.io/Logging_1904/kartor/A 9491-2024 karta.png", "A 9491-2024")</f>
        <v/>
      </c>
      <c r="Y30">
        <f>HYPERLINK("https://klasma.github.io/Logging_1904/kartor_geotiff/A 9491-2024 georefererad karta.tif", "A 9491-2024")</f>
        <v/>
      </c>
      <c r="AA30">
        <f>HYPERLINK("https://klasma.github.io/Logging_1904/klagomål/A 9491-2024 FSC-klagomål.docx", "A 9491-2024")</f>
        <v/>
      </c>
      <c r="AB30">
        <f>HYPERLINK("https://klasma.github.io/Logging_1904/klagomålsmail/A 9491-2024 FSC-klagomål mail.docx", "A 9491-2024")</f>
        <v/>
      </c>
      <c r="AC30">
        <f>HYPERLINK("https://klasma.github.io/Logging_1904/tillsyn/A 9491-2024 tillsynsbegäran.docx", "A 9491-2024")</f>
        <v/>
      </c>
      <c r="AD30">
        <f>HYPERLINK("https://klasma.github.io/Logging_1904/tillsynsmail/A 9491-2024 tillsynsbegäran mail.docx", "A 9491-2024")</f>
        <v/>
      </c>
    </row>
    <row r="31" ht="15" customHeight="1">
      <c r="A31" t="inlineStr">
        <is>
          <t>A 27565-2024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45474</v>
      </c>
      <c r="E31" s="1" t="n">
        <v>46315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husmossa</t>
        </is>
      </c>
      <c r="W31">
        <f>HYPERLINK("https://klasma.github.io/Logging_1904/artfynd/A 27565-2024 artfynd.xlsx", "A 27565-2024")</f>
        <v/>
      </c>
      <c r="X31">
        <f>HYPERLINK("https://klasma.github.io/Logging_1904/kartor/A 27565-2024 karta.png", "A 27565-2024")</f>
        <v/>
      </c>
      <c r="Y31">
        <f>HYPERLINK("https://klasma.github.io/Logging_1904/kartor_geotiff/A 27565-2024 georefererad karta.tif", "A 27565-2024")</f>
        <v/>
      </c>
      <c r="AA31">
        <f>HYPERLINK("https://klasma.github.io/Logging_1904/klagomål/A 27565-2024 FSC-klagomål.docx", "A 27565-2024")</f>
        <v/>
      </c>
      <c r="AB31">
        <f>HYPERLINK("https://klasma.github.io/Logging_1904/klagomålsmail/A 27565-2024 FSC-klagomål mail.docx", "A 27565-2024")</f>
        <v/>
      </c>
      <c r="AC31">
        <f>HYPERLINK("https://klasma.github.io/Logging_1904/tillsyn/A 27565-2024 tillsynsbegäran.docx", "A 27565-2024")</f>
        <v/>
      </c>
      <c r="AD31">
        <f>HYPERLINK("https://klasma.github.io/Logging_1904/tillsynsmail/A 27565-2024 tillsynsbegäran mail.docx", "A 27565-2024")</f>
        <v/>
      </c>
    </row>
    <row r="32" ht="15" customHeight="1">
      <c r="A32" t="inlineStr">
        <is>
          <t>A 9490-2024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46315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Nattskärra</t>
        </is>
      </c>
      <c r="W32">
        <f>HYPERLINK("https://klasma.github.io/Logging_1904/artfynd/A 9490-2024 artfynd.xlsx", "A 9490-2024")</f>
        <v/>
      </c>
      <c r="X32">
        <f>HYPERLINK("https://klasma.github.io/Logging_1904/kartor/A 9490-2024 karta.png", "A 9490-2024")</f>
        <v/>
      </c>
      <c r="Y32">
        <f>HYPERLINK("https://klasma.github.io/Logging_1904/kartor_geotiff/A 9490-2024 georefererad karta.tif", "A 9490-2024")</f>
        <v/>
      </c>
      <c r="AA32">
        <f>HYPERLINK("https://klasma.github.io/Logging_1904/klagomål/A 9490-2024 FSC-klagomål.docx", "A 9490-2024")</f>
        <v/>
      </c>
      <c r="AB32">
        <f>HYPERLINK("https://klasma.github.io/Logging_1904/klagomålsmail/A 9490-2024 FSC-klagomål mail.docx", "A 9490-2024")</f>
        <v/>
      </c>
      <c r="AC32">
        <f>HYPERLINK("https://klasma.github.io/Logging_1904/tillsyn/A 9490-2024 tillsynsbegäran.docx", "A 9490-2024")</f>
        <v/>
      </c>
      <c r="AD32">
        <f>HYPERLINK("https://klasma.github.io/Logging_1904/tillsynsmail/A 9490-2024 tillsynsbegäran mail.docx", "A 9490-2024")</f>
        <v/>
      </c>
      <c r="AE32">
        <f>HYPERLINK("https://klasma.github.io/Logging_1904/fåglar/A 9490-2024 prioriterade fågelarter.docx", "A 9490-2024")</f>
        <v/>
      </c>
    </row>
    <row r="33" ht="15" customHeight="1">
      <c r="A33" t="inlineStr">
        <is>
          <t>A 54296-2023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45232</v>
      </c>
      <c r="E33" s="1" t="n">
        <v>46315</v>
      </c>
      <c r="F33" t="inlineStr">
        <is>
          <t>VÄSTMANLANDS LÄN</t>
        </is>
      </c>
      <c r="G33" t="inlineStr">
        <is>
          <t>SKINNSKATTEBERG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HYPERLINK("https://klasma.github.io/Logging_1904/artfynd/A 54296-2023 artfynd.xlsx", "A 54296-2023")</f>
        <v/>
      </c>
      <c r="X33">
        <f>HYPERLINK("https://klasma.github.io/Logging_1904/kartor/A 54296-2023 karta.png", "A 54296-2023")</f>
        <v/>
      </c>
      <c r="Y33">
        <f>HYPERLINK("https://klasma.github.io/Logging_1904/kartor_geotiff/A 54296-2023 georefererad karta.tif", "A 54296-2023")</f>
        <v/>
      </c>
      <c r="AA33">
        <f>HYPERLINK("https://klasma.github.io/Logging_1904/klagomål/A 54296-2023 FSC-klagomål.docx", "A 54296-2023")</f>
        <v/>
      </c>
      <c r="AB33">
        <f>HYPERLINK("https://klasma.github.io/Logging_1904/klagomålsmail/A 54296-2023 FSC-klagomål mail.docx", "A 54296-2023")</f>
        <v/>
      </c>
      <c r="AC33">
        <f>HYPERLINK("https://klasma.github.io/Logging_1904/tillsyn/A 54296-2023 tillsynsbegäran.docx", "A 54296-2023")</f>
        <v/>
      </c>
      <c r="AD33">
        <f>HYPERLINK("https://klasma.github.io/Logging_1904/tillsynsmail/A 54296-2023 tillsynsbegäran mail.docx", "A 54296-2023")</f>
        <v/>
      </c>
    </row>
    <row r="34" ht="15" customHeight="1">
      <c r="A34" t="inlineStr">
        <is>
          <t>A 20559-2026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46140</v>
      </c>
      <c r="E34" s="1" t="n">
        <v>46315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0.3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HYPERLINK("https://klasma.github.io/Logging_1904/artfynd/A 20559-2026 artfynd.xlsx", "A 20559-2026")</f>
        <v/>
      </c>
      <c r="X34">
        <f>HYPERLINK("https://klasma.github.io/Logging_1904/kartor/A 20559-2026 karta.png", "A 20559-2026")</f>
        <v/>
      </c>
      <c r="Y34">
        <f>HYPERLINK("https://klasma.github.io/Logging_1904/kartor_geotiff/A 20559-2026 georefererad karta.tif", "A 20559-2026")</f>
        <v/>
      </c>
      <c r="AA34">
        <f>HYPERLINK("https://klasma.github.io/Logging_1904/klagomål/A 20559-2026 FSC-klagomål.docx", "A 20559-2026")</f>
        <v/>
      </c>
      <c r="AB34">
        <f>HYPERLINK("https://klasma.github.io/Logging_1904/klagomålsmail/A 20559-2026 FSC-klagomål mail.docx", "A 20559-2026")</f>
        <v/>
      </c>
      <c r="AC34">
        <f>HYPERLINK("https://klasma.github.io/Logging_1904/tillsyn/A 20559-2026 tillsynsbegäran.docx", "A 20559-2026")</f>
        <v/>
      </c>
      <c r="AD34">
        <f>HYPERLINK("https://klasma.github.io/Logging_1904/tillsynsmail/A 20559-2026 tillsynsbegäran mail.docx", "A 20559-2026")</f>
        <v/>
      </c>
      <c r="AE34">
        <f>HYPERLINK("https://klasma.github.io/Logging_1904/fåglar/A 20559-2026 prioriterade fågelarter.docx", "A 20559-2026")</f>
        <v/>
      </c>
    </row>
    <row r="35" ht="15" customHeight="1">
      <c r="A35" t="inlineStr">
        <is>
          <t>A 49630-2024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45596</v>
      </c>
      <c r="E35" s="1" t="n">
        <v>46315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7.3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HYPERLINK("https://klasma.github.io/Logging_1904/artfynd/A 49630-2024 artfynd.xlsx", "A 49630-2024")</f>
        <v/>
      </c>
      <c r="X35">
        <f>HYPERLINK("https://klasma.github.io/Logging_1904/kartor/A 49630-2024 karta.png", "A 49630-2024")</f>
        <v/>
      </c>
      <c r="Y35">
        <f>HYPERLINK("https://klasma.github.io/Logging_1904/kartor_geotiff/A 49630-2024 georefererad karta.tif", "A 49630-2024")</f>
        <v/>
      </c>
      <c r="AA35">
        <f>HYPERLINK("https://klasma.github.io/Logging_1904/klagomål/A 49630-2024 FSC-klagomål.docx", "A 49630-2024")</f>
        <v/>
      </c>
      <c r="AB35">
        <f>HYPERLINK("https://klasma.github.io/Logging_1904/klagomålsmail/A 49630-2024 FSC-klagomål mail.docx", "A 49630-2024")</f>
        <v/>
      </c>
      <c r="AC35">
        <f>HYPERLINK("https://klasma.github.io/Logging_1904/tillsyn/A 49630-2024 tillsynsbegäran.docx", "A 49630-2024")</f>
        <v/>
      </c>
      <c r="AD35">
        <f>HYPERLINK("https://klasma.github.io/Logging_1904/tillsynsmail/A 49630-2024 tillsynsbegäran mail.docx", "A 49630-2024")</f>
        <v/>
      </c>
    </row>
    <row r="36" ht="15" customHeight="1">
      <c r="A36" t="inlineStr">
        <is>
          <t>A 21849-2026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46150</v>
      </c>
      <c r="E36" s="1" t="n">
        <v>46315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12.5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HYPERLINK("https://klasma.github.io/Logging_1904/artfynd/A 21849-2026 artfynd.xlsx", "A 21849-2026")</f>
        <v/>
      </c>
      <c r="X36">
        <f>HYPERLINK("https://klasma.github.io/Logging_1904/kartor/A 21849-2026 karta.png", "A 21849-2026")</f>
        <v/>
      </c>
      <c r="Y36">
        <f>HYPERLINK("https://klasma.github.io/Logging_1904/kartor_geotiff/A 21849-2026 georefererad karta.tif", "A 21849-2026")</f>
        <v/>
      </c>
      <c r="Z36">
        <f>HYPERLINK("https://klasma.github.io/Logging_1904/knärot/A 21849-2026 karta knärot.png", "A 21849-2026")</f>
        <v/>
      </c>
      <c r="AA36">
        <f>HYPERLINK("https://klasma.github.io/Logging_1904/klagomål/A 21849-2026 FSC-klagomål.docx", "A 21849-2026")</f>
        <v/>
      </c>
      <c r="AB36">
        <f>HYPERLINK("https://klasma.github.io/Logging_1904/klagomålsmail/A 21849-2026 FSC-klagomål mail.docx", "A 21849-2026")</f>
        <v/>
      </c>
      <c r="AC36">
        <f>HYPERLINK("https://klasma.github.io/Logging_1904/tillsyn/A 21849-2026 tillsynsbegäran.docx", "A 21849-2026")</f>
        <v/>
      </c>
      <c r="AD36">
        <f>HYPERLINK("https://klasma.github.io/Logging_1904/tillsynsmail/A 21849-2026 tillsynsbegäran mail.docx", "A 21849-2026")</f>
        <v/>
      </c>
    </row>
    <row r="37" ht="15" customHeight="1">
      <c r="A37" t="inlineStr">
        <is>
          <t>A 43413-2024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45568</v>
      </c>
      <c r="E37" s="1" t="n">
        <v>46315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Orange taggsvamp</t>
        </is>
      </c>
      <c r="W37">
        <f>HYPERLINK("https://klasma.github.io/Logging_1904/artfynd/A 43413-2024 artfynd.xlsx", "A 43413-2024")</f>
        <v/>
      </c>
      <c r="X37">
        <f>HYPERLINK("https://klasma.github.io/Logging_1904/kartor/A 43413-2024 karta.png", "A 43413-2024")</f>
        <v/>
      </c>
      <c r="Y37">
        <f>HYPERLINK("https://klasma.github.io/Logging_1904/kartor_geotiff/A 43413-2024 georefererad karta.tif", "A 43413-2024")</f>
        <v/>
      </c>
      <c r="AA37">
        <f>HYPERLINK("https://klasma.github.io/Logging_1904/klagomål/A 43413-2024 FSC-klagomål.docx", "A 43413-2024")</f>
        <v/>
      </c>
      <c r="AB37">
        <f>HYPERLINK("https://klasma.github.io/Logging_1904/klagomålsmail/A 43413-2024 FSC-klagomål mail.docx", "A 43413-2024")</f>
        <v/>
      </c>
      <c r="AC37">
        <f>HYPERLINK("https://klasma.github.io/Logging_1904/tillsyn/A 43413-2024 tillsynsbegäran.docx", "A 43413-2024")</f>
        <v/>
      </c>
      <c r="AD37">
        <f>HYPERLINK("https://klasma.github.io/Logging_1904/tillsynsmail/A 43413-2024 tillsynsbegäran mail.docx", "A 43413-2024")</f>
        <v/>
      </c>
    </row>
    <row r="38" ht="15" customHeight="1">
      <c r="A38" t="inlineStr">
        <is>
          <t>A 33435-2024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45519</v>
      </c>
      <c r="E38" s="1" t="n">
        <v>46315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Nattskärra</t>
        </is>
      </c>
      <c r="W38">
        <f>HYPERLINK("https://klasma.github.io/Logging_1904/artfynd/A 33435-2024 artfynd.xlsx", "A 33435-2024")</f>
        <v/>
      </c>
      <c r="X38">
        <f>HYPERLINK("https://klasma.github.io/Logging_1904/kartor/A 33435-2024 karta.png", "A 33435-2024")</f>
        <v/>
      </c>
      <c r="Y38">
        <f>HYPERLINK("https://klasma.github.io/Logging_1904/kartor_geotiff/A 33435-2024 georefererad karta.tif", "A 33435-2024")</f>
        <v/>
      </c>
      <c r="AA38">
        <f>HYPERLINK("https://klasma.github.io/Logging_1904/klagomål/A 33435-2024 FSC-klagomål.docx", "A 33435-2024")</f>
        <v/>
      </c>
      <c r="AB38">
        <f>HYPERLINK("https://klasma.github.io/Logging_1904/klagomålsmail/A 33435-2024 FSC-klagomål mail.docx", "A 33435-2024")</f>
        <v/>
      </c>
      <c r="AC38">
        <f>HYPERLINK("https://klasma.github.io/Logging_1904/tillsyn/A 33435-2024 tillsynsbegäran.docx", "A 33435-2024")</f>
        <v/>
      </c>
      <c r="AD38">
        <f>HYPERLINK("https://klasma.github.io/Logging_1904/tillsynsmail/A 33435-2024 tillsynsbegäran mail.docx", "A 33435-2024")</f>
        <v/>
      </c>
      <c r="AE38">
        <f>HYPERLINK("https://klasma.github.io/Logging_1904/fåglar/A 33435-2024 prioriterade fågelarter.docx", "A 33435-2024")</f>
        <v/>
      </c>
    </row>
    <row r="39" ht="15" customHeight="1">
      <c r="A39" t="inlineStr">
        <is>
          <t>A 57395-2025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46315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6.9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Vedticka</t>
        </is>
      </c>
      <c r="W39">
        <f>HYPERLINK("https://klasma.github.io/Logging_1904/artfynd/A 57395-2025 artfynd.xlsx", "A 57395-2025")</f>
        <v/>
      </c>
      <c r="X39">
        <f>HYPERLINK("https://klasma.github.io/Logging_1904/kartor/A 57395-2025 karta.png", "A 57395-2025")</f>
        <v/>
      </c>
      <c r="Y39">
        <f>HYPERLINK("https://klasma.github.io/Logging_1904/kartor_geotiff/A 57395-2025 georefererad karta.tif", "A 57395-2025")</f>
        <v/>
      </c>
      <c r="AA39">
        <f>HYPERLINK("https://klasma.github.io/Logging_1904/klagomål/A 57395-2025 FSC-klagomål.docx", "A 57395-2025")</f>
        <v/>
      </c>
      <c r="AB39">
        <f>HYPERLINK("https://klasma.github.io/Logging_1904/klagomålsmail/A 57395-2025 FSC-klagomål mail.docx", "A 57395-2025")</f>
        <v/>
      </c>
      <c r="AC39">
        <f>HYPERLINK("https://klasma.github.io/Logging_1904/tillsyn/A 57395-2025 tillsynsbegäran.docx", "A 57395-2025")</f>
        <v/>
      </c>
      <c r="AD39">
        <f>HYPERLINK("https://klasma.github.io/Logging_1904/tillsynsmail/A 57395-2025 tillsynsbegäran mail.docx", "A 57395-2025")</f>
        <v/>
      </c>
    </row>
    <row r="40" ht="15" customHeight="1">
      <c r="A40" t="inlineStr">
        <is>
          <t>A 12024-2023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44995</v>
      </c>
      <c r="E40" s="1" t="n">
        <v>46315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Skogsklocka</t>
        </is>
      </c>
      <c r="W40">
        <f>HYPERLINK("https://klasma.github.io/Logging_1904/artfynd/A 12024-2023 artfynd.xlsx", "A 12024-2023")</f>
        <v/>
      </c>
      <c r="X40">
        <f>HYPERLINK("https://klasma.github.io/Logging_1904/kartor/A 12024-2023 karta.png", "A 12024-2023")</f>
        <v/>
      </c>
      <c r="Y40">
        <f>HYPERLINK("https://klasma.github.io/Logging_1904/kartor_geotiff/A 12024-2023 georefererad karta.tif", "A 12024-2023")</f>
        <v/>
      </c>
      <c r="AA40">
        <f>HYPERLINK("https://klasma.github.io/Logging_1904/klagomål/A 12024-2023 FSC-klagomål.docx", "A 12024-2023")</f>
        <v/>
      </c>
      <c r="AB40">
        <f>HYPERLINK("https://klasma.github.io/Logging_1904/klagomålsmail/A 12024-2023 FSC-klagomål mail.docx", "A 12024-2023")</f>
        <v/>
      </c>
      <c r="AC40">
        <f>HYPERLINK("https://klasma.github.io/Logging_1904/tillsyn/A 12024-2023 tillsynsbegäran.docx", "A 12024-2023")</f>
        <v/>
      </c>
      <c r="AD40">
        <f>HYPERLINK("https://klasma.github.io/Logging_1904/tillsynsmail/A 12024-2023 tillsynsbegäran mail.docx", "A 12024-2023")</f>
        <v/>
      </c>
    </row>
    <row r="41" ht="15" customHeight="1">
      <c r="A41" t="inlineStr">
        <is>
          <t>A 24492-2026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46315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HYPERLINK("https://klasma.github.io/Logging_1904/artfynd/A 24492-2026 artfynd.xlsx", "A 24492-2026")</f>
        <v/>
      </c>
      <c r="X41">
        <f>HYPERLINK("https://klasma.github.io/Logging_1904/kartor/A 24492-2026 karta.png", "A 24492-2026")</f>
        <v/>
      </c>
      <c r="Y41">
        <f>HYPERLINK("https://klasma.github.io/Logging_1904/kartor_geotiff/A 24492-2026 georefererad karta.tif", "A 24492-2026")</f>
        <v/>
      </c>
      <c r="AA41">
        <f>HYPERLINK("https://klasma.github.io/Logging_1904/klagomål/A 24492-2026 FSC-klagomål.docx", "A 24492-2026")</f>
        <v/>
      </c>
      <c r="AB41">
        <f>HYPERLINK("https://klasma.github.io/Logging_1904/klagomålsmail/A 24492-2026 FSC-klagomål mail.docx", "A 24492-2026")</f>
        <v/>
      </c>
      <c r="AC41">
        <f>HYPERLINK("https://klasma.github.io/Logging_1904/tillsyn/A 24492-2026 tillsynsbegäran.docx", "A 24492-2026")</f>
        <v/>
      </c>
      <c r="AD41">
        <f>HYPERLINK("https://klasma.github.io/Logging_1904/tillsynsmail/A 24492-2026 tillsynsbegäran mail.docx", "A 24492-2026")</f>
        <v/>
      </c>
      <c r="AE41">
        <f>HYPERLINK("https://klasma.github.io/Logging_1904/fåglar/A 24492-2026 prioriterade fågelarter.docx", "A 24492-2026")</f>
        <v/>
      </c>
    </row>
    <row r="42" ht="15" customHeight="1">
      <c r="A42" t="inlineStr">
        <is>
          <t>A 19205-2024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46315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3.4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Järpe</t>
        </is>
      </c>
      <c r="W42">
        <f>HYPERLINK("https://klasma.github.io/Logging_1904/artfynd/A 19205-2024 artfynd.xlsx", "A 19205-2024")</f>
        <v/>
      </c>
      <c r="X42">
        <f>HYPERLINK("https://klasma.github.io/Logging_1904/kartor/A 19205-2024 karta.png", "A 19205-2024")</f>
        <v/>
      </c>
      <c r="Y42">
        <f>HYPERLINK("https://klasma.github.io/Logging_1904/kartor_geotiff/A 19205-2024 georefererad karta.tif", "A 19205-2024")</f>
        <v/>
      </c>
      <c r="AA42">
        <f>HYPERLINK("https://klasma.github.io/Logging_1904/klagomål/A 19205-2024 FSC-klagomål.docx", "A 19205-2024")</f>
        <v/>
      </c>
      <c r="AB42">
        <f>HYPERLINK("https://klasma.github.io/Logging_1904/klagomålsmail/A 19205-2024 FSC-klagomål mail.docx", "A 19205-2024")</f>
        <v/>
      </c>
      <c r="AC42">
        <f>HYPERLINK("https://klasma.github.io/Logging_1904/tillsyn/A 19205-2024 tillsynsbegäran.docx", "A 19205-2024")</f>
        <v/>
      </c>
      <c r="AD42">
        <f>HYPERLINK("https://klasma.github.io/Logging_1904/tillsynsmail/A 19205-2024 tillsynsbegäran mail.docx", "A 19205-2024")</f>
        <v/>
      </c>
      <c r="AE42">
        <f>HYPERLINK("https://klasma.github.io/Logging_1904/fåglar/A 19205-2024 prioriterade fågelarter.docx", "A 19205-2024")</f>
        <v/>
      </c>
    </row>
    <row r="43" ht="15" customHeight="1">
      <c r="A43" t="inlineStr">
        <is>
          <t>A 24944-2026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46315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8.4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HYPERLINK("https://klasma.github.io/Logging_1904/artfynd/A 24944-2026 artfynd.xlsx", "A 24944-2026")</f>
        <v/>
      </c>
      <c r="X43">
        <f>HYPERLINK("https://klasma.github.io/Logging_1904/kartor/A 24944-2026 karta.png", "A 24944-2026")</f>
        <v/>
      </c>
      <c r="Y43">
        <f>HYPERLINK("https://klasma.github.io/Logging_1904/kartor_geotiff/A 24944-2026 georefererad karta.tif", "A 24944-2026")</f>
        <v/>
      </c>
      <c r="AA43">
        <f>HYPERLINK("https://klasma.github.io/Logging_1904/klagomål/A 24944-2026 FSC-klagomål.docx", "A 24944-2026")</f>
        <v/>
      </c>
      <c r="AB43">
        <f>HYPERLINK("https://klasma.github.io/Logging_1904/klagomålsmail/A 24944-2026 FSC-klagomål mail.docx", "A 24944-2026")</f>
        <v/>
      </c>
      <c r="AC43">
        <f>HYPERLINK("https://klasma.github.io/Logging_1904/tillsyn/A 24944-2026 tillsynsbegäran.docx", "A 24944-2026")</f>
        <v/>
      </c>
      <c r="AD43">
        <f>HYPERLINK("https://klasma.github.io/Logging_1904/tillsynsmail/A 24944-2026 tillsynsbegäran mail.docx", "A 24944-2026")</f>
        <v/>
      </c>
    </row>
    <row r="44" ht="15" customHeight="1">
      <c r="A44" t="inlineStr">
        <is>
          <t>A 26860-2026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46315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10.3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Kungsörn</t>
        </is>
      </c>
      <c r="W44">
        <f>HYPERLINK("https://klasma.github.io/Logging_1904/artfynd/A 26860-2026 artfynd.xlsx", "A 26860-2026")</f>
        <v/>
      </c>
      <c r="X44">
        <f>HYPERLINK("https://klasma.github.io/Logging_1904/kartor/A 26860-2026 karta.png", "A 26860-2026")</f>
        <v/>
      </c>
      <c r="Y44">
        <f>HYPERLINK("https://klasma.github.io/Logging_1904/kartor_geotiff/A 26860-2026 georefererad karta.tif", "A 26860-2026")</f>
        <v/>
      </c>
      <c r="AA44">
        <f>HYPERLINK("https://klasma.github.io/Logging_1904/klagomål/A 26860-2026 FSC-klagomål.docx", "A 26860-2026")</f>
        <v/>
      </c>
      <c r="AB44">
        <f>HYPERLINK("https://klasma.github.io/Logging_1904/klagomålsmail/A 26860-2026 FSC-klagomål mail.docx", "A 26860-2026")</f>
        <v/>
      </c>
      <c r="AC44">
        <f>HYPERLINK("https://klasma.github.io/Logging_1904/tillsyn/A 26860-2026 tillsynsbegäran.docx", "A 26860-2026")</f>
        <v/>
      </c>
      <c r="AD44">
        <f>HYPERLINK("https://klasma.github.io/Logging_1904/tillsynsmail/A 26860-2026 tillsynsbegäran mail.docx", "A 26860-2026")</f>
        <v/>
      </c>
      <c r="AE44">
        <f>HYPERLINK("https://klasma.github.io/Logging_1904/fåglar/A 26860-2026 prioriterade fågelarter.docx", "A 26860-2026")</f>
        <v/>
      </c>
    </row>
    <row r="45" ht="15" customHeight="1">
      <c r="A45" t="inlineStr">
        <is>
          <t>A 15734-2026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46107</v>
      </c>
      <c r="E45" s="1" t="n">
        <v>46315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Koppartaggsvamp</t>
        </is>
      </c>
      <c r="W45">
        <f>HYPERLINK("https://klasma.github.io/Logging_1904/artfynd/A 15734-2026 artfynd.xlsx", "A 15734-2026")</f>
        <v/>
      </c>
      <c r="X45">
        <f>HYPERLINK("https://klasma.github.io/Logging_1904/kartor/A 15734-2026 karta.png", "A 15734-2026")</f>
        <v/>
      </c>
      <c r="Y45">
        <f>HYPERLINK("https://klasma.github.io/Logging_1904/kartor_geotiff/A 15734-2026 georefererad karta.tif", "A 15734-2026")</f>
        <v/>
      </c>
      <c r="AA45">
        <f>HYPERLINK("https://klasma.github.io/Logging_1904/klagomål/A 15734-2026 FSC-klagomål.docx", "A 15734-2026")</f>
        <v/>
      </c>
      <c r="AB45">
        <f>HYPERLINK("https://klasma.github.io/Logging_1904/klagomålsmail/A 15734-2026 FSC-klagomål mail.docx", "A 15734-2026")</f>
        <v/>
      </c>
      <c r="AC45">
        <f>HYPERLINK("https://klasma.github.io/Logging_1904/tillsyn/A 15734-2026 tillsynsbegäran.docx", "A 15734-2026")</f>
        <v/>
      </c>
      <c r="AD45">
        <f>HYPERLINK("https://klasma.github.io/Logging_1904/tillsynsmail/A 15734-2026 tillsynsbegäran mail.docx", "A 15734-2026")</f>
        <v/>
      </c>
    </row>
    <row r="46" ht="15" customHeight="1">
      <c r="A46" t="inlineStr">
        <is>
          <t>A 28312-2023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45099</v>
      </c>
      <c r="E46" s="1" t="n">
        <v>46315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2.8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Skrovlig taggsvamp</t>
        </is>
      </c>
      <c r="W46">
        <f>HYPERLINK("https://klasma.github.io/Logging_1904/artfynd/A 28312-2023 artfynd.xlsx", "A 28312-2023")</f>
        <v/>
      </c>
      <c r="X46">
        <f>HYPERLINK("https://klasma.github.io/Logging_1904/kartor/A 28312-2023 karta.png", "A 28312-2023")</f>
        <v/>
      </c>
      <c r="Y46">
        <f>HYPERLINK("https://klasma.github.io/Logging_1904/kartor_geotiff/A 28312-2023 georefererad karta.tif", "A 28312-2023")</f>
        <v/>
      </c>
      <c r="AA46">
        <f>HYPERLINK("https://klasma.github.io/Logging_1904/klagomål/A 28312-2023 FSC-klagomål.docx", "A 28312-2023")</f>
        <v/>
      </c>
      <c r="AB46">
        <f>HYPERLINK("https://klasma.github.io/Logging_1904/klagomålsmail/A 28312-2023 FSC-klagomål mail.docx", "A 28312-2023")</f>
        <v/>
      </c>
      <c r="AC46">
        <f>HYPERLINK("https://klasma.github.io/Logging_1904/tillsyn/A 28312-2023 tillsynsbegäran.docx", "A 28312-2023")</f>
        <v/>
      </c>
      <c r="AD46">
        <f>HYPERLINK("https://klasma.github.io/Logging_1904/tillsynsmail/A 28312-2023 tillsynsbegäran mail.docx", "A 28312-2023")</f>
        <v/>
      </c>
    </row>
    <row r="47" ht="15" customHeight="1">
      <c r="A47" t="inlineStr">
        <is>
          <t>A 57747-2023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45246</v>
      </c>
      <c r="E47" s="1" t="n">
        <v>46315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Myopa fasciata</t>
        </is>
      </c>
      <c r="W47">
        <f>HYPERLINK("https://klasma.github.io/Logging_1904/artfynd/A 57747-2023 artfynd.xlsx", "A 57747-2023")</f>
        <v/>
      </c>
      <c r="X47">
        <f>HYPERLINK("https://klasma.github.io/Logging_1904/kartor/A 57747-2023 karta.png", "A 57747-2023")</f>
        <v/>
      </c>
      <c r="Y47">
        <f>HYPERLINK("https://klasma.github.io/Logging_1904/kartor_geotiff/A 57747-2023 georefererad karta.tif", "A 57747-2023")</f>
        <v/>
      </c>
      <c r="AA47">
        <f>HYPERLINK("https://klasma.github.io/Logging_1904/klagomål/A 57747-2023 FSC-klagomål.docx", "A 57747-2023")</f>
        <v/>
      </c>
      <c r="AB47">
        <f>HYPERLINK("https://klasma.github.io/Logging_1904/klagomålsmail/A 57747-2023 FSC-klagomål mail.docx", "A 57747-2023")</f>
        <v/>
      </c>
      <c r="AC47">
        <f>HYPERLINK("https://klasma.github.io/Logging_1904/tillsyn/A 57747-2023 tillsynsbegäran.docx", "A 57747-2023")</f>
        <v/>
      </c>
      <c r="AD47">
        <f>HYPERLINK("https://klasma.github.io/Logging_1904/tillsynsmail/A 57747-2023 tillsynsbegäran mail.docx", "A 57747-2023")</f>
        <v/>
      </c>
    </row>
    <row r="48" ht="15" customHeight="1">
      <c r="A48" t="inlineStr">
        <is>
          <t>A 30579-2026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46210</v>
      </c>
      <c r="E48" s="1" t="n">
        <v>46315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HYPERLINK("https://klasma.github.io/Logging_1904/artfynd/A 30579-2026 artfynd.xlsx", "A 30579-2026")</f>
        <v/>
      </c>
      <c r="X48">
        <f>HYPERLINK("https://klasma.github.io/Logging_1904/kartor/A 30579-2026 karta.png", "A 30579-2026")</f>
        <v/>
      </c>
      <c r="Y48">
        <f>HYPERLINK("https://klasma.github.io/Logging_1904/kartor_geotiff/A 30579-2026 georefererad karta.tif", "A 30579-2026")</f>
        <v/>
      </c>
      <c r="AA48">
        <f>HYPERLINK("https://klasma.github.io/Logging_1904/klagomål/A 30579-2026 FSC-klagomål.docx", "A 30579-2026")</f>
        <v/>
      </c>
      <c r="AB48">
        <f>HYPERLINK("https://klasma.github.io/Logging_1904/klagomålsmail/A 30579-2026 FSC-klagomål mail.docx", "A 30579-2026")</f>
        <v/>
      </c>
      <c r="AC48">
        <f>HYPERLINK("https://klasma.github.io/Logging_1904/tillsyn/A 30579-2026 tillsynsbegäran.docx", "A 30579-2026")</f>
        <v/>
      </c>
      <c r="AD48">
        <f>HYPERLINK("https://klasma.github.io/Logging_1904/tillsynsmail/A 30579-2026 tillsynsbegäran mail.docx", "A 30579-2026")</f>
        <v/>
      </c>
    </row>
    <row r="49" ht="15" customHeight="1">
      <c r="A49" t="inlineStr">
        <is>
          <t>A 37900-2026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46279</v>
      </c>
      <c r="E49" s="1" t="n">
        <v>46315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9.199999999999999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HYPERLINK("https://klasma.github.io/Logging_1904/artfynd/A 37900-2026 artfynd.xlsx", "A 37900-2026")</f>
        <v/>
      </c>
      <c r="X49">
        <f>HYPERLINK("https://klasma.github.io/Logging_1904/kartor/A 37900-2026 karta.png", "A 37900-2026")</f>
        <v/>
      </c>
      <c r="Y49">
        <f>HYPERLINK("https://klasma.github.io/Logging_1904/kartor_geotiff/A 37900-2026 georefererad karta.tif", "A 37900-2026")</f>
        <v/>
      </c>
      <c r="AA49">
        <f>HYPERLINK("https://klasma.github.io/Logging_1904/klagomål/A 37900-2026 FSC-klagomål.docx", "A 37900-2026")</f>
        <v/>
      </c>
      <c r="AB49">
        <f>HYPERLINK("https://klasma.github.io/Logging_1904/klagomålsmail/A 37900-2026 FSC-klagomål mail.docx", "A 37900-2026")</f>
        <v/>
      </c>
      <c r="AC49">
        <f>HYPERLINK("https://klasma.github.io/Logging_1904/tillsyn/A 37900-2026 tillsynsbegäran.docx", "A 37900-2026")</f>
        <v/>
      </c>
      <c r="AD49">
        <f>HYPERLINK("https://klasma.github.io/Logging_1904/tillsynsmail/A 37900-2026 tillsynsbegäran mail.docx", "A 37900-2026")</f>
        <v/>
      </c>
      <c r="AE49">
        <f>HYPERLINK("https://klasma.github.io/Logging_1904/fåglar/A 37900-2026 prioriterade fågelarter.docx", "A 37900-2026")</f>
        <v/>
      </c>
    </row>
    <row r="50" ht="15" customHeight="1">
      <c r="A50" t="inlineStr">
        <is>
          <t>A 38734-2026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46285</v>
      </c>
      <c r="E50" s="1" t="n">
        <v>46315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6.1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HYPERLINK("https://klasma.github.io/Logging_1904/artfynd/A 38734-2026 artfynd.xlsx", "A 38734-2026")</f>
        <v/>
      </c>
      <c r="X50">
        <f>HYPERLINK("https://klasma.github.io/Logging_1904/kartor/A 38734-2026 karta.png", "A 38734-2026")</f>
        <v/>
      </c>
      <c r="Y50">
        <f>HYPERLINK("https://klasma.github.io/Logging_1904/kartor_geotiff/A 38734-2026 georefererad karta.tif", "A 38734-2026")</f>
        <v/>
      </c>
      <c r="AA50">
        <f>HYPERLINK("https://klasma.github.io/Logging_1904/klagomål/A 38734-2026 FSC-klagomål.docx", "A 38734-2026")</f>
        <v/>
      </c>
      <c r="AB50">
        <f>HYPERLINK("https://klasma.github.io/Logging_1904/klagomålsmail/A 38734-2026 FSC-klagomål mail.docx", "A 38734-2026")</f>
        <v/>
      </c>
      <c r="AC50">
        <f>HYPERLINK("https://klasma.github.io/Logging_1904/tillsyn/A 38734-2026 tillsynsbegäran.docx", "A 38734-2026")</f>
        <v/>
      </c>
      <c r="AD50">
        <f>HYPERLINK("https://klasma.github.io/Logging_1904/tillsynsmail/A 38734-2026 tillsynsbegäran mail.docx", "A 38734-2026")</f>
        <v/>
      </c>
    </row>
    <row r="51" ht="15" customHeight="1">
      <c r="A51" t="inlineStr">
        <is>
          <t>A 38733-2026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46285</v>
      </c>
      <c r="E51" s="1" t="n">
        <v>46315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HYPERLINK("https://klasma.github.io/Logging_1904/artfynd/A 38733-2026 artfynd.xlsx", "A 38733-2026")</f>
        <v/>
      </c>
      <c r="X51">
        <f>HYPERLINK("https://klasma.github.io/Logging_1904/kartor/A 38733-2026 karta.png", "A 38733-2026")</f>
        <v/>
      </c>
      <c r="Y51">
        <f>HYPERLINK("https://klasma.github.io/Logging_1904/kartor_geotiff/A 38733-2026 georefererad karta.tif", "A 38733-2026")</f>
        <v/>
      </c>
      <c r="AA51">
        <f>HYPERLINK("https://klasma.github.io/Logging_1904/klagomål/A 38733-2026 FSC-klagomål.docx", "A 38733-2026")</f>
        <v/>
      </c>
      <c r="AB51">
        <f>HYPERLINK("https://klasma.github.io/Logging_1904/klagomålsmail/A 38733-2026 FSC-klagomål mail.docx", "A 38733-2026")</f>
        <v/>
      </c>
      <c r="AC51">
        <f>HYPERLINK("https://klasma.github.io/Logging_1904/tillsyn/A 38733-2026 tillsynsbegäran.docx", "A 38733-2026")</f>
        <v/>
      </c>
      <c r="AD51">
        <f>HYPERLINK("https://klasma.github.io/Logging_1904/tillsynsmail/A 38733-2026 tillsynsbegäran mail.docx", "A 38733-2026")</f>
        <v/>
      </c>
    </row>
    <row r="52" ht="15" customHeight="1">
      <c r="A52" t="inlineStr">
        <is>
          <t>A 35371-2026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46261</v>
      </c>
      <c r="E52" s="1" t="n">
        <v>46315</v>
      </c>
      <c r="F52" t="inlineStr">
        <is>
          <t>VÄSTMANLANDS LÄN</t>
        </is>
      </c>
      <c r="G52" t="inlineStr">
        <is>
          <t>SKINNSKATTEBERG</t>
        </is>
      </c>
      <c r="I52" t="n">
        <v>1.3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Talltita</t>
        </is>
      </c>
      <c r="W52">
        <f>HYPERLINK("https://klasma.github.io/Logging_1904/artfynd/A 35371-2026 artfynd.xlsx", "A 35371-2026")</f>
        <v/>
      </c>
      <c r="X52">
        <f>HYPERLINK("https://klasma.github.io/Logging_1904/kartor/A 35371-2026 karta.png", "A 35371-2026")</f>
        <v/>
      </c>
      <c r="Y52">
        <f>HYPERLINK("https://klasma.github.io/Logging_1904/kartor_geotiff/A 35371-2026 georefererad karta.tif", "A 35371-2026")</f>
        <v/>
      </c>
      <c r="AA52">
        <f>HYPERLINK("https://klasma.github.io/Logging_1904/klagomål/A 35371-2026 FSC-klagomål.docx", "A 35371-2026")</f>
        <v/>
      </c>
      <c r="AB52">
        <f>HYPERLINK("https://klasma.github.io/Logging_1904/klagomålsmail/A 35371-2026 FSC-klagomål mail.docx", "A 35371-2026")</f>
        <v/>
      </c>
      <c r="AC52">
        <f>HYPERLINK("https://klasma.github.io/Logging_1904/tillsyn/A 35371-2026 tillsynsbegäran.docx", "A 35371-2026")</f>
        <v/>
      </c>
      <c r="AD52">
        <f>HYPERLINK("https://klasma.github.io/Logging_1904/tillsynsmail/A 35371-2026 tillsynsbegäran mail.docx", "A 35371-2026")</f>
        <v/>
      </c>
      <c r="AE52">
        <f>HYPERLINK("https://klasma.github.io/Logging_1904/fåglar/A 35371-2026 prioriterade fågelarter.docx", "A 35371-2026")</f>
        <v/>
      </c>
    </row>
    <row r="53" ht="15" customHeight="1">
      <c r="A53" t="inlineStr">
        <is>
          <t>A 42434-2026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46308</v>
      </c>
      <c r="E53" s="1" t="n">
        <v>46315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2.3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Mattlummer</t>
        </is>
      </c>
      <c r="W53">
        <f>HYPERLINK("https://klasma.github.io/Logging_1904/artfynd/A 42434-2026 artfynd.xlsx", "A 42434-2026")</f>
        <v/>
      </c>
      <c r="X53">
        <f>HYPERLINK("https://klasma.github.io/Logging_1904/kartor/A 42434-2026 karta.png", "A 42434-2026")</f>
        <v/>
      </c>
      <c r="Y53">
        <f>HYPERLINK("https://klasma.github.io/Logging_1904/kartor_geotiff/A 42434-2026 georefererad karta.tif", "A 42434-2026")</f>
        <v/>
      </c>
      <c r="AA53">
        <f>HYPERLINK("https://klasma.github.io/Logging_1904/klagomål/A 42434-2026 FSC-klagomål.docx", "A 42434-2026")</f>
        <v/>
      </c>
      <c r="AB53">
        <f>HYPERLINK("https://klasma.github.io/Logging_1904/klagomålsmail/A 42434-2026 FSC-klagomål mail.docx", "A 42434-2026")</f>
        <v/>
      </c>
      <c r="AC53">
        <f>HYPERLINK("https://klasma.github.io/Logging_1904/tillsyn/A 42434-2026 tillsynsbegäran.docx", "A 42434-2026")</f>
        <v/>
      </c>
      <c r="AD53">
        <f>HYPERLINK("https://klasma.github.io/Logging_1904/tillsynsmail/A 42434-2026 tillsynsbegäran mail.docx", "A 42434-2026")</f>
        <v/>
      </c>
    </row>
    <row r="54" ht="15" customHeight="1">
      <c r="A54" t="inlineStr">
        <is>
          <t>A 31006-2025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45832</v>
      </c>
      <c r="E54" s="1" t="n">
        <v>46315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3.8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Spillkråka</t>
        </is>
      </c>
      <c r="W54">
        <f>HYPERLINK("https://klasma.github.io/Logging_1904/artfynd/A 31006-2025 artfynd.xlsx", "A 31006-2025")</f>
        <v/>
      </c>
      <c r="X54">
        <f>HYPERLINK("https://klasma.github.io/Logging_1904/kartor/A 31006-2025 karta.png", "A 31006-2025")</f>
        <v/>
      </c>
      <c r="Y54">
        <f>HYPERLINK("https://klasma.github.io/Logging_1904/kartor_geotiff/A 31006-2025 georefererad karta.tif", "A 31006-2025")</f>
        <v/>
      </c>
      <c r="AA54">
        <f>HYPERLINK("https://klasma.github.io/Logging_1904/klagomål/A 31006-2025 FSC-klagomål.docx", "A 31006-2025")</f>
        <v/>
      </c>
      <c r="AB54">
        <f>HYPERLINK("https://klasma.github.io/Logging_1904/klagomålsmail/A 31006-2025 FSC-klagomål mail.docx", "A 31006-2025")</f>
        <v/>
      </c>
      <c r="AC54">
        <f>HYPERLINK("https://klasma.github.io/Logging_1904/tillsyn/A 31006-2025 tillsynsbegäran.docx", "A 31006-2025")</f>
        <v/>
      </c>
      <c r="AD54">
        <f>HYPERLINK("https://klasma.github.io/Logging_1904/tillsynsmail/A 31006-2025 tillsynsbegäran mail.docx", "A 31006-2025")</f>
        <v/>
      </c>
      <c r="AE54">
        <f>HYPERLINK("https://klasma.github.io/Logging_1904/fåglar/A 31006-2025 prioriterade fågelarter.docx", "A 31006-2025")</f>
        <v/>
      </c>
    </row>
    <row r="55" ht="15" customHeight="1">
      <c r="A55" t="inlineStr">
        <is>
          <t>A 36263-2026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46268</v>
      </c>
      <c r="E55" s="1" t="n">
        <v>46315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HYPERLINK("https://klasma.github.io/Logging_1904/artfynd/A 36263-2026 artfynd.xlsx", "A 36263-2026")</f>
        <v/>
      </c>
      <c r="X55">
        <f>HYPERLINK("https://klasma.github.io/Logging_1904/kartor/A 36263-2026 karta.png", "A 36263-2026")</f>
        <v/>
      </c>
      <c r="Y55">
        <f>HYPERLINK("https://klasma.github.io/Logging_1904/kartor_geotiff/A 36263-2026 georefererad karta.tif", "A 36263-2026")</f>
        <v/>
      </c>
      <c r="AA55">
        <f>HYPERLINK("https://klasma.github.io/Logging_1904/klagomål/A 36263-2026 FSC-klagomål.docx", "A 36263-2026")</f>
        <v/>
      </c>
      <c r="AB55">
        <f>HYPERLINK("https://klasma.github.io/Logging_1904/klagomålsmail/A 36263-2026 FSC-klagomål mail.docx", "A 36263-2026")</f>
        <v/>
      </c>
      <c r="AC55">
        <f>HYPERLINK("https://klasma.github.io/Logging_1904/tillsyn/A 36263-2026 tillsynsbegäran.docx", "A 36263-2026")</f>
        <v/>
      </c>
      <c r="AD55">
        <f>HYPERLINK("https://klasma.github.io/Logging_1904/tillsynsmail/A 36263-2026 tillsynsbegäran mail.docx", "A 36263-2026")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46315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46315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46315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46315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46315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46315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46315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46315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46315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46315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46315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46315</v>
      </c>
      <c r="F67" t="inlineStr">
        <is>
          <t>VÄSTMANLANDS LÄN</t>
        </is>
      </c>
      <c r="G67" t="inlineStr">
        <is>
          <t>SKINNSKATTEBERG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46315</v>
      </c>
      <c r="F68" t="inlineStr">
        <is>
          <t>VÄSTMANLANDS LÄN</t>
        </is>
      </c>
      <c r="G68" t="inlineStr">
        <is>
          <t>SKINNSKATTEBERG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71996-2021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46315</v>
      </c>
      <c r="F69" t="inlineStr">
        <is>
          <t>VÄSTMANLANDS LÄN</t>
        </is>
      </c>
      <c r="G69" t="inlineStr">
        <is>
          <t>SKINNSKATTEBERG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46315</v>
      </c>
      <c r="F70" t="inlineStr">
        <is>
          <t>VÄSTMANLANDS LÄN</t>
        </is>
      </c>
      <c r="G70" t="inlineStr">
        <is>
          <t>SKINNSKATTEBERG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66587-2021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44519</v>
      </c>
      <c r="E71" s="1" t="n">
        <v>46315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44545</v>
      </c>
      <c r="E72" s="1" t="n">
        <v>46315</v>
      </c>
      <c r="F72" t="inlineStr">
        <is>
          <t>VÄSTMANLANDS LÄN</t>
        </is>
      </c>
      <c r="G72" t="inlineStr">
        <is>
          <t>SKINNSKATTEBERG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44852</v>
      </c>
      <c r="E73" s="1" t="n">
        <v>46315</v>
      </c>
      <c r="F73" t="inlineStr">
        <is>
          <t>VÄSTMANLANDS LÄN</t>
        </is>
      </c>
      <c r="G73" t="inlineStr">
        <is>
          <t>SKINNSKATTEBERG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46315</v>
      </c>
      <c r="F74" t="inlineStr">
        <is>
          <t>VÄSTMANLANDS LÄN</t>
        </is>
      </c>
      <c r="G74" t="inlineStr">
        <is>
          <t>SKINNSKATTEBERG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46315</v>
      </c>
      <c r="F75" t="inlineStr">
        <is>
          <t>VÄSTMANLANDS LÄN</t>
        </is>
      </c>
      <c r="G75" t="inlineStr">
        <is>
          <t>SKINNSKATTEBERG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46315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56921-2023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45244</v>
      </c>
      <c r="E77" s="1" t="n">
        <v>46315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Kyrkan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35706-2024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45532</v>
      </c>
      <c r="E78" s="1" t="n">
        <v>46315</v>
      </c>
      <c r="F78" t="inlineStr">
        <is>
          <t>VÄSTMANLANDS LÄN</t>
        </is>
      </c>
      <c r="G78" t="inlineStr">
        <is>
          <t>SKINNSKATTEBERG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45198</v>
      </c>
      <c r="E79" s="1" t="n">
        <v>46315</v>
      </c>
      <c r="F79" t="inlineStr">
        <is>
          <t>VÄSTMANLANDS LÄN</t>
        </is>
      </c>
      <c r="G79" t="inlineStr">
        <is>
          <t>SKINNSKATTEBERG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32316-2024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45512</v>
      </c>
      <c r="E80" s="1" t="n">
        <v>46315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24427-2023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45082</v>
      </c>
      <c r="E81" s="1" t="n">
        <v>46315</v>
      </c>
      <c r="F81" t="inlineStr">
        <is>
          <t>VÄSTMANLANDS LÄN</t>
        </is>
      </c>
      <c r="G81" t="inlineStr">
        <is>
          <t>SKINNSKATTEBERG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20248-2024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45434</v>
      </c>
      <c r="E82" s="1" t="n">
        <v>46315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46315</v>
      </c>
      <c r="F83" t="inlineStr">
        <is>
          <t>VÄSTMANLANDS LÄN</t>
        </is>
      </c>
      <c r="G83" t="inlineStr">
        <is>
          <t>SKINNSKATTEBERG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20379-2024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45435</v>
      </c>
      <c r="E84" s="1" t="n">
        <v>46315</v>
      </c>
      <c r="F84" t="inlineStr">
        <is>
          <t>VÄSTMANLANDS LÄN</t>
        </is>
      </c>
      <c r="G84" t="inlineStr">
        <is>
          <t>SKINNSKATTEBERG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20430-2024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45435</v>
      </c>
      <c r="E85" s="1" t="n">
        <v>46315</v>
      </c>
      <c r="F85" t="inlineStr">
        <is>
          <t>VÄSTMANLANDS LÄN</t>
        </is>
      </c>
      <c r="G85" t="inlineStr">
        <is>
          <t>SKINNSKATTEBERG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22591-2024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45447</v>
      </c>
      <c r="E86" s="1" t="n">
        <v>46315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16729-2024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45410</v>
      </c>
      <c r="E87" s="1" t="n">
        <v>46315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27653-2023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45097</v>
      </c>
      <c r="E88" s="1" t="n">
        <v>46315</v>
      </c>
      <c r="F88" t="inlineStr">
        <is>
          <t>VÄSTMANLANDS LÄN</t>
        </is>
      </c>
      <c r="G88" t="inlineStr">
        <is>
          <t>SKINNSKATTEBERG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45247</v>
      </c>
      <c r="E89" s="1" t="n">
        <v>46315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37210-2022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44806</v>
      </c>
      <c r="E90" s="1" t="n">
        <v>46315</v>
      </c>
      <c r="F90" t="inlineStr">
        <is>
          <t>VÄSTMANLANDS LÄN</t>
        </is>
      </c>
      <c r="G90" t="inlineStr">
        <is>
          <t>SKINNSKATTEBERG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44693-2024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45574</v>
      </c>
      <c r="E91" s="1" t="n">
        <v>46315</v>
      </c>
      <c r="F91" t="inlineStr">
        <is>
          <t>VÄSTMANLANDS LÄN</t>
        </is>
      </c>
      <c r="G91" t="inlineStr">
        <is>
          <t>SKINNSKATTEBERG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44694-2024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45574</v>
      </c>
      <c r="E92" s="1" t="n">
        <v>46315</v>
      </c>
      <c r="F92" t="inlineStr">
        <is>
          <t>VÄSTMANLANDS LÄN</t>
        </is>
      </c>
      <c r="G92" t="inlineStr">
        <is>
          <t>SKINNSKATTEBERG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20074-2023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45054</v>
      </c>
      <c r="E93" s="1" t="n">
        <v>46315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40179-2024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45554</v>
      </c>
      <c r="E94" s="1" t="n">
        <v>46315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50407-2023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46315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16088-2024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45406</v>
      </c>
      <c r="E96" s="1" t="n">
        <v>46315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31629-2024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45506</v>
      </c>
      <c r="E97" s="1" t="n">
        <v>46315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31302-2024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45504</v>
      </c>
      <c r="E98" s="1" t="n">
        <v>46315</v>
      </c>
      <c r="F98" t="inlineStr">
        <is>
          <t>VÄSTMANLANDS LÄN</t>
        </is>
      </c>
      <c r="G98" t="inlineStr">
        <is>
          <t>SKINNSKATTEBERG</t>
        </is>
      </c>
      <c r="I98" t="n">
        <v>17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40549-2024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45555</v>
      </c>
      <c r="E99" s="1" t="n">
        <v>46315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40176-2024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45554</v>
      </c>
      <c r="E100" s="1" t="n">
        <v>46315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6943-2023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44967</v>
      </c>
      <c r="E101" s="1" t="n">
        <v>46315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58987-2023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45252</v>
      </c>
      <c r="E102" s="1" t="n">
        <v>46315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8218-2023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44974</v>
      </c>
      <c r="E103" s="1" t="n">
        <v>46315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Kyrkan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45156</v>
      </c>
      <c r="E104" s="1" t="n">
        <v>46315</v>
      </c>
      <c r="F104" t="inlineStr">
        <is>
          <t>VÄSTMANLANDS LÄN</t>
        </is>
      </c>
      <c r="G104" t="inlineStr">
        <is>
          <t>SKINNSKATTEBERG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45558</v>
      </c>
      <c r="E105" s="1" t="n">
        <v>46315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15184-2025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45744</v>
      </c>
      <c r="E106" s="1" t="n">
        <v>46315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45609</v>
      </c>
      <c r="E107" s="1" t="n">
        <v>46315</v>
      </c>
      <c r="F107" t="inlineStr">
        <is>
          <t>VÄSTMANLANDS LÄN</t>
        </is>
      </c>
      <c r="G107" t="inlineStr">
        <is>
          <t>SKINNSKATTEBERG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51475-2024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45604</v>
      </c>
      <c r="E108" s="1" t="n">
        <v>46315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20556-2026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46140</v>
      </c>
      <c r="E109" s="1" t="n">
        <v>46315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20563-2026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46140</v>
      </c>
      <c r="E110" s="1" t="n">
        <v>46315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44993</v>
      </c>
      <c r="E111" s="1" t="n">
        <v>46315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38521-2023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45162</v>
      </c>
      <c r="E112" s="1" t="n">
        <v>46315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52696-2024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45610</v>
      </c>
      <c r="E113" s="1" t="n">
        <v>46315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22611-2024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45447</v>
      </c>
      <c r="E114" s="1" t="n">
        <v>46315</v>
      </c>
      <c r="F114" t="inlineStr">
        <is>
          <t>VÄSTMANLANDS LÄN</t>
        </is>
      </c>
      <c r="G114" t="inlineStr">
        <is>
          <t>SKINNSKATTEBERG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36597-2024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45537</v>
      </c>
      <c r="E115" s="1" t="n">
        <v>46315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42093-2023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45177</v>
      </c>
      <c r="E116" s="1" t="n">
        <v>46315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24777-2022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44728</v>
      </c>
      <c r="E117" s="1" t="n">
        <v>46315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30988-2022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44768</v>
      </c>
      <c r="E118" s="1" t="n">
        <v>46315</v>
      </c>
      <c r="F118" t="inlineStr">
        <is>
          <t>VÄSTMANLANDS LÄN</t>
        </is>
      </c>
      <c r="G118" t="inlineStr">
        <is>
          <t>SKINNSKATTEBERG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39691-2025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45890</v>
      </c>
      <c r="E119" s="1" t="n">
        <v>46315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35370-2024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45531</v>
      </c>
      <c r="E120" s="1" t="n">
        <v>46315</v>
      </c>
      <c r="F120" t="inlineStr">
        <is>
          <t>VÄSTMANLANDS LÄN</t>
        </is>
      </c>
      <c r="G120" t="inlineStr">
        <is>
          <t>SKINNSKATTEBERG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40782-2025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45897</v>
      </c>
      <c r="E121" s="1" t="n">
        <v>46315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40783-2025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45897</v>
      </c>
      <c r="E122" s="1" t="n">
        <v>46315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40788-2025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45897</v>
      </c>
      <c r="E123" s="1" t="n">
        <v>46315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40778-2025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45897</v>
      </c>
      <c r="E124" s="1" t="n">
        <v>46315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46315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40776-2025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45897</v>
      </c>
      <c r="E126" s="1" t="n">
        <v>46315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45754</v>
      </c>
      <c r="E127" s="1" t="n">
        <v>46315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46315</v>
      </c>
      <c r="F128" t="inlineStr">
        <is>
          <t>VÄSTMANLANDS LÄN</t>
        </is>
      </c>
      <c r="G128" t="inlineStr">
        <is>
          <t>SKINNSKATTEBERG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43190-2025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45910</v>
      </c>
      <c r="E129" s="1" t="n">
        <v>46315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43175-2025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45910</v>
      </c>
      <c r="E130" s="1" t="n">
        <v>46315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43185-2025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45910</v>
      </c>
      <c r="E131" s="1" t="n">
        <v>46315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45617</v>
      </c>
      <c r="E132" s="1" t="n">
        <v>46315</v>
      </c>
      <c r="F132" t="inlineStr">
        <is>
          <t>VÄSTMANLANDS LÄN</t>
        </is>
      </c>
      <c r="G132" t="inlineStr">
        <is>
          <t>SKINNSKATTEBERG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44179-2025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45915</v>
      </c>
      <c r="E133" s="1" t="n">
        <v>46315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44184-2025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45915</v>
      </c>
      <c r="E134" s="1" t="n">
        <v>46315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29708-2024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45485</v>
      </c>
      <c r="E135" s="1" t="n">
        <v>46315</v>
      </c>
      <c r="F135" t="inlineStr">
        <is>
          <t>VÄSTMANLANDS LÄN</t>
        </is>
      </c>
      <c r="G135" t="inlineStr">
        <is>
          <t>SKINNSKATTEBERG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41581-2025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45901</v>
      </c>
      <c r="E136" s="1" t="n">
        <v>46315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46315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45115-2025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46315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45121-2025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45919</v>
      </c>
      <c r="E139" s="1" t="n">
        <v>46315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45117-2025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46315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20848-2026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46142</v>
      </c>
      <c r="E141" s="1" t="n">
        <v>46315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45686</v>
      </c>
      <c r="E142" s="1" t="n">
        <v>46315</v>
      </c>
      <c r="F142" t="inlineStr">
        <is>
          <t>VÄSTMANLANDS LÄN</t>
        </is>
      </c>
      <c r="G142" t="inlineStr">
        <is>
          <t>SKINNSKATTEBERG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10232-2025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45720</v>
      </c>
      <c r="E143" s="1" t="n">
        <v>46315</v>
      </c>
      <c r="F143" t="inlineStr">
        <is>
          <t>VÄSTMANLANDS LÄN</t>
        </is>
      </c>
      <c r="G143" t="inlineStr">
        <is>
          <t>SKINNSKATTEBERG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20623-2026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46315</v>
      </c>
      <c r="F144" t="inlineStr">
        <is>
          <t>VÄSTMANLANDS LÄN</t>
        </is>
      </c>
      <c r="G144" t="inlineStr">
        <is>
          <t>SKINNSKATTEBERG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47137-2024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45586</v>
      </c>
      <c r="E145" s="1" t="n">
        <v>46315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20850-2026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46142</v>
      </c>
      <c r="E146" s="1" t="n">
        <v>46315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20852-2026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46142</v>
      </c>
      <c r="E147" s="1" t="n">
        <v>46315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20853-2026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46142</v>
      </c>
      <c r="E148" s="1" t="n">
        <v>46315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20854-2026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46142</v>
      </c>
      <c r="E149" s="1" t="n">
        <v>46315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46315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46315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20856-2026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46142</v>
      </c>
      <c r="E152" s="1" t="n">
        <v>46315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20840-2026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46142</v>
      </c>
      <c r="E153" s="1" t="n">
        <v>46315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45406</v>
      </c>
      <c r="E154" s="1" t="n">
        <v>46315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46315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45264</v>
      </c>
      <c r="E156" s="1" t="n">
        <v>46315</v>
      </c>
      <c r="F156" t="inlineStr">
        <is>
          <t>VÄSTMANLANDS LÄN</t>
        </is>
      </c>
      <c r="G156" t="inlineStr">
        <is>
          <t>SKINNSKATTEBERG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51028-2025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45947</v>
      </c>
      <c r="E157" s="1" t="n">
        <v>46315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51023-2025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46315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51025-2025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45947</v>
      </c>
      <c r="E159" s="1" t="n">
        <v>46315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51026-2025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45947</v>
      </c>
      <c r="E160" s="1" t="n">
        <v>46315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21576-2023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45063</v>
      </c>
      <c r="E161" s="1" t="n">
        <v>46315</v>
      </c>
      <c r="F161" t="inlineStr">
        <is>
          <t>VÄSTMANLANDS LÄN</t>
        </is>
      </c>
      <c r="G161" t="inlineStr">
        <is>
          <t>SKINNSKATTEBERG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21848-2026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46150</v>
      </c>
      <c r="E162" s="1" t="n">
        <v>46315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52018-2025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45952</v>
      </c>
      <c r="E163" s="1" t="n">
        <v>46315</v>
      </c>
      <c r="F163" t="inlineStr">
        <is>
          <t>VÄSTMANLANDS LÄN</t>
        </is>
      </c>
      <c r="G163" t="inlineStr">
        <is>
          <t>SKINNSKATTEBERG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58834-2022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44903</v>
      </c>
      <c r="E164" s="1" t="n">
        <v>46315</v>
      </c>
      <c r="F164" t="inlineStr">
        <is>
          <t>VÄSTMANLANDS LÄN</t>
        </is>
      </c>
      <c r="G164" t="inlineStr">
        <is>
          <t>SKINNSKATTEBERG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46150</v>
      </c>
      <c r="E165" s="1" t="n">
        <v>46315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46315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45960</v>
      </c>
      <c r="E167" s="1" t="n">
        <v>46315</v>
      </c>
      <c r="F167" t="inlineStr">
        <is>
          <t>VÄSTMANLANDS LÄN</t>
        </is>
      </c>
      <c r="G167" t="inlineStr">
        <is>
          <t>SKINNSKATTEBERG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45555</v>
      </c>
      <c r="E168" s="1" t="n">
        <v>46315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53471-2025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45959</v>
      </c>
      <c r="E169" s="1" t="n">
        <v>46315</v>
      </c>
      <c r="F169" t="inlineStr">
        <is>
          <t>VÄSTMANLANDS LÄN</t>
        </is>
      </c>
      <c r="G169" t="inlineStr">
        <is>
          <t>SKINNSKATTEBERG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22260-2026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46154</v>
      </c>
      <c r="E170" s="1" t="n">
        <v>46315</v>
      </c>
      <c r="F170" t="inlineStr">
        <is>
          <t>VÄSTMANLANDS LÄN</t>
        </is>
      </c>
      <c r="G170" t="inlineStr">
        <is>
          <t>SKINNSKATTEBERG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33396-2023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45128</v>
      </c>
      <c r="E171" s="1" t="n">
        <v>46315</v>
      </c>
      <c r="F171" t="inlineStr">
        <is>
          <t>VÄSTMANLANDS LÄN</t>
        </is>
      </c>
      <c r="G171" t="inlineStr">
        <is>
          <t>SKINNSKATTEBERG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46315</v>
      </c>
      <c r="F172" t="inlineStr">
        <is>
          <t>VÄSTMANLANDS LÄN</t>
        </is>
      </c>
      <c r="G172" t="inlineStr">
        <is>
          <t>SKINNSKATTEBERG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55007-2025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46315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55005-2025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46315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55002-2025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46315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8.699999999999999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11800-2024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45375</v>
      </c>
      <c r="E176" s="1" t="n">
        <v>46315</v>
      </c>
      <c r="F176" t="inlineStr">
        <is>
          <t>VÄSTMANLANDS LÄN</t>
        </is>
      </c>
      <c r="G176" t="inlineStr">
        <is>
          <t>SKINNSKATTEBERG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22779-2026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46157</v>
      </c>
      <c r="E177" s="1" t="n">
        <v>46315</v>
      </c>
      <c r="F177" t="inlineStr">
        <is>
          <t>VÄSTMANLANDS LÄN</t>
        </is>
      </c>
      <c r="G177" t="inlineStr">
        <is>
          <t>SKINNSKATTEBERG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6298-2023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44965</v>
      </c>
      <c r="E178" s="1" t="n">
        <v>46315</v>
      </c>
      <c r="F178" t="inlineStr">
        <is>
          <t>VÄSTMANLANDS LÄN</t>
        </is>
      </c>
      <c r="G178" t="inlineStr">
        <is>
          <t>SKINNSKATTEBERG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45568</v>
      </c>
      <c r="E179" s="1" t="n">
        <v>46315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55952-2025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46315</v>
      </c>
      <c r="F180" t="inlineStr">
        <is>
          <t>VÄSTMANLANDS LÄN</t>
        </is>
      </c>
      <c r="G180" t="inlineStr">
        <is>
          <t>SKINNSKATTEBERG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46315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55889-2025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46315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46315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56465-2025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45975</v>
      </c>
      <c r="E184" s="1" t="n">
        <v>46315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44936</v>
      </c>
      <c r="E185" s="1" t="n">
        <v>46315</v>
      </c>
      <c r="F185" t="inlineStr">
        <is>
          <t>VÄSTMANLANDS LÄN</t>
        </is>
      </c>
      <c r="G185" t="inlineStr">
        <is>
          <t>SKINNSKATTEBERG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45979</v>
      </c>
      <c r="E186" s="1" t="n">
        <v>46315</v>
      </c>
      <c r="F186" t="inlineStr">
        <is>
          <t>VÄSTMANLANDS LÄN</t>
        </is>
      </c>
      <c r="G186" t="inlineStr">
        <is>
          <t>SKINNSKATTEBERG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35059-2024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45527</v>
      </c>
      <c r="E187" s="1" t="n">
        <v>46315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20243-2024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45434</v>
      </c>
      <c r="E188" s="1" t="n">
        <v>46315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58882-2025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45987</v>
      </c>
      <c r="E189" s="1" t="n">
        <v>46315</v>
      </c>
      <c r="F189" t="inlineStr">
        <is>
          <t>VÄSTMANLANDS LÄN</t>
        </is>
      </c>
      <c r="G189" t="inlineStr">
        <is>
          <t>SKINNSKATTEBERG</t>
        </is>
      </c>
      <c r="I189" t="n">
        <v>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46315</v>
      </c>
      <c r="F190" t="inlineStr">
        <is>
          <t>VÄSTMANLANDS LÄN</t>
        </is>
      </c>
      <c r="G190" t="inlineStr">
        <is>
          <t>SKINNSKATTEBERG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59711-2025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45992</v>
      </c>
      <c r="E191" s="1" t="n">
        <v>46315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59710-2025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45992</v>
      </c>
      <c r="E192" s="1" t="n">
        <v>46315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23565-2026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46163</v>
      </c>
      <c r="E193" s="1" t="n">
        <v>46315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23566-2026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46163</v>
      </c>
      <c r="E194" s="1" t="n">
        <v>46315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19398-2024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45429</v>
      </c>
      <c r="E195" s="1" t="n">
        <v>46315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23560-2026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46163</v>
      </c>
      <c r="E196" s="1" t="n">
        <v>46315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23561-2026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46163</v>
      </c>
      <c r="E197" s="1" t="n">
        <v>46315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46163</v>
      </c>
      <c r="E198" s="1" t="n">
        <v>46315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7.2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66584-2021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44519</v>
      </c>
      <c r="E199" s="1" t="n">
        <v>46315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46003</v>
      </c>
      <c r="E200" s="1" t="n">
        <v>46315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44995</v>
      </c>
      <c r="E201" s="1" t="n">
        <v>46315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41594-2025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45901</v>
      </c>
      <c r="E202" s="1" t="n">
        <v>46315</v>
      </c>
      <c r="F202" t="inlineStr">
        <is>
          <t>VÄSTMANLANDS LÄN</t>
        </is>
      </c>
      <c r="G202" t="inlineStr">
        <is>
          <t>SKINNSKATTEBERG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42425-2023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45180</v>
      </c>
      <c r="E203" s="1" t="n">
        <v>46315</v>
      </c>
      <c r="F203" t="inlineStr">
        <is>
          <t>VÄSTMANLANDS LÄN</t>
        </is>
      </c>
      <c r="G203" t="inlineStr">
        <is>
          <t>SKINNSKATTEBERG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15540-2024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45401</v>
      </c>
      <c r="E204" s="1" t="n">
        <v>46315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18161-2024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45420</v>
      </c>
      <c r="E205" s="1" t="n">
        <v>46315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14719-2023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45014</v>
      </c>
      <c r="E206" s="1" t="n">
        <v>46315</v>
      </c>
      <c r="F206" t="inlineStr">
        <is>
          <t>VÄSTMANLANDS LÄN</t>
        </is>
      </c>
      <c r="G206" t="inlineStr">
        <is>
          <t>SKINNSKATTEBERG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14736-2023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45014</v>
      </c>
      <c r="E207" s="1" t="n">
        <v>46315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62934-2025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46009</v>
      </c>
      <c r="E208" s="1" t="n">
        <v>46315</v>
      </c>
      <c r="F208" t="inlineStr">
        <is>
          <t>VÄSTMANLANDS LÄN</t>
        </is>
      </c>
      <c r="G208" t="inlineStr">
        <is>
          <t>SKINNSKATTEBERG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62933-2025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46009</v>
      </c>
      <c r="E209" s="1" t="n">
        <v>46315</v>
      </c>
      <c r="F209" t="inlineStr">
        <is>
          <t>VÄSTMANLANDS LÄN</t>
        </is>
      </c>
      <c r="G209" t="inlineStr">
        <is>
          <t>SKINNSKATTEBERG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24491-2026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46170</v>
      </c>
      <c r="E210" s="1" t="n">
        <v>46315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24494-2026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46170</v>
      </c>
      <c r="E211" s="1" t="n">
        <v>46315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24489-2026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46170</v>
      </c>
      <c r="E212" s="1" t="n">
        <v>46315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46170</v>
      </c>
      <c r="E213" s="1" t="n">
        <v>46315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60355-2024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45643</v>
      </c>
      <c r="E214" s="1" t="n">
        <v>46315</v>
      </c>
      <c r="F214" t="inlineStr">
        <is>
          <t>VÄSTMANLANDS LÄN</t>
        </is>
      </c>
      <c r="G214" t="inlineStr">
        <is>
          <t>SKINNSKATTEBERG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46315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47689-2023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45198</v>
      </c>
      <c r="E216" s="1" t="n">
        <v>46315</v>
      </c>
      <c r="F216" t="inlineStr">
        <is>
          <t>VÄSTMANLANDS LÄN</t>
        </is>
      </c>
      <c r="G216" t="inlineStr">
        <is>
          <t>SKINNSKATTEBERG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46037</v>
      </c>
      <c r="E217" s="1" t="n">
        <v>46315</v>
      </c>
      <c r="F217" t="inlineStr">
        <is>
          <t>VÄSTMANLANDS LÄN</t>
        </is>
      </c>
      <c r="G217" t="inlineStr">
        <is>
          <t>SKINNSKATTEBERG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46037</v>
      </c>
      <c r="E218" s="1" t="n">
        <v>46315</v>
      </c>
      <c r="F218" t="inlineStr">
        <is>
          <t>VÄSTMANLANDS LÄN</t>
        </is>
      </c>
      <c r="G218" t="inlineStr">
        <is>
          <t>SKINNSKATTEBERG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25638-2026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46177</v>
      </c>
      <c r="E219" s="1" t="n">
        <v>46315</v>
      </c>
      <c r="F219" t="inlineStr">
        <is>
          <t>VÄSTMANLANDS LÄN</t>
        </is>
      </c>
      <c r="G219" t="inlineStr">
        <is>
          <t>SKINNSKATTEBERG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16400-2024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45407</v>
      </c>
      <c r="E220" s="1" t="n">
        <v>46315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40497-2023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45170</v>
      </c>
      <c r="E221" s="1" t="n">
        <v>46315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31268-2023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45114</v>
      </c>
      <c r="E222" s="1" t="n">
        <v>46315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25640-2026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46177</v>
      </c>
      <c r="E223" s="1" t="n">
        <v>46315</v>
      </c>
      <c r="F223" t="inlineStr">
        <is>
          <t>VÄSTMANLANDS LÄN</t>
        </is>
      </c>
      <c r="G223" t="inlineStr">
        <is>
          <t>SKINNSKATTEBERG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5704-2026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46051</v>
      </c>
      <c r="E224" s="1" t="n">
        <v>46315</v>
      </c>
      <c r="F224" t="inlineStr">
        <is>
          <t>VÄSTMANLANDS LÄN</t>
        </is>
      </c>
      <c r="G224" t="inlineStr">
        <is>
          <t>SKINNSKATTEBERG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25750-2026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46178</v>
      </c>
      <c r="E225" s="1" t="n">
        <v>46315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5693-2026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46051</v>
      </c>
      <c r="E226" s="1" t="n">
        <v>46315</v>
      </c>
      <c r="F226" t="inlineStr">
        <is>
          <t>VÄSTMANLANDS LÄN</t>
        </is>
      </c>
      <c r="G226" t="inlineStr">
        <is>
          <t>SKINNSKATTEBERG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5675-2026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46051</v>
      </c>
      <c r="E227" s="1" t="n">
        <v>46315</v>
      </c>
      <c r="F227" t="inlineStr">
        <is>
          <t>VÄSTMANLANDS LÄN</t>
        </is>
      </c>
      <c r="G227" t="inlineStr">
        <is>
          <t>SKINNSKATTEBERG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46315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25748-2026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46178</v>
      </c>
      <c r="E229" s="1" t="n">
        <v>46315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19655-2025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45770</v>
      </c>
      <c r="E230" s="1" t="n">
        <v>46315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46056</v>
      </c>
      <c r="E231" s="1" t="n">
        <v>46315</v>
      </c>
      <c r="F231" t="inlineStr">
        <is>
          <t>VÄSTMANLANDS LÄN</t>
        </is>
      </c>
      <c r="G231" t="inlineStr">
        <is>
          <t>SKINNSKATTEBERG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26356-2026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46182</v>
      </c>
      <c r="E232" s="1" t="n">
        <v>46315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41332-2023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45174</v>
      </c>
      <c r="E233" s="1" t="n">
        <v>46315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26354-2026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46182</v>
      </c>
      <c r="E234" s="1" t="n">
        <v>46315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45085</v>
      </c>
      <c r="E235" s="1" t="n">
        <v>46315</v>
      </c>
      <c r="F235" t="inlineStr">
        <is>
          <t>VÄSTMANLANDS LÄN</t>
        </is>
      </c>
      <c r="G235" t="inlineStr">
        <is>
          <t>SKINNSKATTEBERG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57343-2023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45245</v>
      </c>
      <c r="E236" s="1" t="n">
        <v>46315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24793-2022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44728</v>
      </c>
      <c r="E237" s="1" t="n">
        <v>46315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46185</v>
      </c>
      <c r="E238" s="1" t="n">
        <v>46315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26865-2026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46185</v>
      </c>
      <c r="E239" s="1" t="n">
        <v>46315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46185</v>
      </c>
      <c r="E240" s="1" t="n">
        <v>46315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16397-2024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45407</v>
      </c>
      <c r="E241" s="1" t="n">
        <v>46315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27328-2023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45096</v>
      </c>
      <c r="E242" s="1" t="n">
        <v>46315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41333-2023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45174</v>
      </c>
      <c r="E243" s="1" t="n">
        <v>46315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40320-2023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45169</v>
      </c>
      <c r="E244" s="1" t="n">
        <v>46315</v>
      </c>
      <c r="F244" t="inlineStr">
        <is>
          <t>VÄSTMANLANDS LÄN</t>
        </is>
      </c>
      <c r="G244" t="inlineStr">
        <is>
          <t>SKINNSKATTEBERG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18163-2024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45420</v>
      </c>
      <c r="E245" s="1" t="n">
        <v>46315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27919-2026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46191</v>
      </c>
      <c r="E246" s="1" t="n">
        <v>46315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27637-2026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46190</v>
      </c>
      <c r="E247" s="1" t="n">
        <v>46315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27639-2026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46190</v>
      </c>
      <c r="E248" s="1" t="n">
        <v>46315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27921-2026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46191</v>
      </c>
      <c r="E249" s="1" t="n">
        <v>46315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27634-2026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46190</v>
      </c>
      <c r="E250" s="1" t="n">
        <v>46315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40546-2023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45170</v>
      </c>
      <c r="E251" s="1" t="n">
        <v>46315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1611-2024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45306</v>
      </c>
      <c r="E252" s="1" t="n">
        <v>46315</v>
      </c>
      <c r="F252" t="inlineStr">
        <is>
          <t>VÄSTMANLANDS LÄN</t>
        </is>
      </c>
      <c r="G252" t="inlineStr">
        <is>
          <t>SKINNSKATTEBERG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1619-2024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45306</v>
      </c>
      <c r="E253" s="1" t="n">
        <v>46315</v>
      </c>
      <c r="F253" t="inlineStr">
        <is>
          <t>VÄSTMANLANDS LÄN</t>
        </is>
      </c>
      <c r="G253" t="inlineStr">
        <is>
          <t>SKINNSKATTEBERG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45306</v>
      </c>
      <c r="E254" s="1" t="n">
        <v>46315</v>
      </c>
      <c r="F254" t="inlineStr">
        <is>
          <t>VÄSTMANLANDS LÄN</t>
        </is>
      </c>
      <c r="G254" t="inlineStr">
        <is>
          <t>SKINNSKATTEBERG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28161-2026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46195</v>
      </c>
      <c r="E255" s="1" t="n">
        <v>46315</v>
      </c>
      <c r="F255" t="inlineStr">
        <is>
          <t>VÄSTMANLANDS LÄN</t>
        </is>
      </c>
      <c r="G255" t="inlineStr">
        <is>
          <t>SKINNSKATTEBERG</t>
        </is>
      </c>
      <c r="I255" t="n">
        <v>8.5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55210-2023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45237</v>
      </c>
      <c r="E256" s="1" t="n">
        <v>46315</v>
      </c>
      <c r="F256" t="inlineStr">
        <is>
          <t>VÄSTMANLANDS LÄN</t>
        </is>
      </c>
      <c r="G256" t="inlineStr">
        <is>
          <t>SKINNSKATTEBERG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28456-2026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46197</v>
      </c>
      <c r="E257" s="1" t="n">
        <v>46315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28458-2026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46197</v>
      </c>
      <c r="E258" s="1" t="n">
        <v>46315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8199-2023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44974</v>
      </c>
      <c r="E259" s="1" t="n">
        <v>46315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Kyrkan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46315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15732-2026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46107</v>
      </c>
      <c r="E261" s="1" t="n">
        <v>46315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46107</v>
      </c>
      <c r="E262" s="1" t="n">
        <v>46315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15731-2026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46107</v>
      </c>
      <c r="E263" s="1" t="n">
        <v>46315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16136-2026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46108</v>
      </c>
      <c r="E264" s="1" t="n">
        <v>46315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15955-2026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46108</v>
      </c>
      <c r="E265" s="1" t="n">
        <v>46315</v>
      </c>
      <c r="F265" t="inlineStr">
        <is>
          <t>VÄSTMANLANDS LÄN</t>
        </is>
      </c>
      <c r="G265" t="inlineStr">
        <is>
          <t>SKINNSKATTEBERG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16299-2026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46111</v>
      </c>
      <c r="E266" s="1" t="n">
        <v>46315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45686</v>
      </c>
      <c r="E267" s="1" t="n">
        <v>46315</v>
      </c>
      <c r="F267" t="inlineStr">
        <is>
          <t>VÄSTMANLANDS LÄN</t>
        </is>
      </c>
      <c r="G267" t="inlineStr">
        <is>
          <t>SKINNSKATTEBERG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16301-2026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46111</v>
      </c>
      <c r="E268" s="1" t="n">
        <v>46315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16304-2026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46315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28463-2026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46197</v>
      </c>
      <c r="E270" s="1" t="n">
        <v>46315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14189-2024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45393</v>
      </c>
      <c r="E271" s="1" t="n">
        <v>46315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61181-2021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44498</v>
      </c>
      <c r="E272" s="1" t="n">
        <v>46315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29091-2026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46200</v>
      </c>
      <c r="E273" s="1" t="n">
        <v>46315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17098-2026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46114</v>
      </c>
      <c r="E274" s="1" t="n">
        <v>46315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17344-2026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46119</v>
      </c>
      <c r="E275" s="1" t="n">
        <v>46315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29021-2026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46199</v>
      </c>
      <c r="E276" s="1" t="n">
        <v>46315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35831-2024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46315</v>
      </c>
      <c r="F277" t="inlineStr">
        <is>
          <t>VÄSTMANLANDS LÄN</t>
        </is>
      </c>
      <c r="G277" t="inlineStr">
        <is>
          <t>SKINNSKATTEBERG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35834-2024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45532</v>
      </c>
      <c r="E278" s="1" t="n">
        <v>46315</v>
      </c>
      <c r="F278" t="inlineStr">
        <is>
          <t>VÄSTMANLANDS LÄN</t>
        </is>
      </c>
      <c r="G278" t="inlineStr">
        <is>
          <t>SKINNSKATTEBERG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21571-2023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45063</v>
      </c>
      <c r="E279" s="1" t="n">
        <v>46315</v>
      </c>
      <c r="F279" t="inlineStr">
        <is>
          <t>VÄSTMANLANDS LÄN</t>
        </is>
      </c>
      <c r="G279" t="inlineStr">
        <is>
          <t>SKINNSKATTEBERG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21579-2023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45063</v>
      </c>
      <c r="E280" s="1" t="n">
        <v>46315</v>
      </c>
      <c r="F280" t="inlineStr">
        <is>
          <t>VÄSTMANLANDS LÄN</t>
        </is>
      </c>
      <c r="G280" t="inlineStr">
        <is>
          <t>SKINNSKATTEBERG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46122</v>
      </c>
      <c r="E281" s="1" t="n">
        <v>46315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29090-2026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46200</v>
      </c>
      <c r="E282" s="1" t="n">
        <v>46315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29022-2026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46199</v>
      </c>
      <c r="E283" s="1" t="n">
        <v>46315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35683-2024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45532</v>
      </c>
      <c r="E284" s="1" t="n">
        <v>46315</v>
      </c>
      <c r="F284" t="inlineStr">
        <is>
          <t>VÄSTMANLANDS LÄN</t>
        </is>
      </c>
      <c r="G284" t="inlineStr">
        <is>
          <t>SKINNSKATTEBERG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18948-2026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46129</v>
      </c>
      <c r="E285" s="1" t="n">
        <v>46315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19582-2026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46134</v>
      </c>
      <c r="E286" s="1" t="n">
        <v>46315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19541-2026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46134</v>
      </c>
      <c r="E287" s="1" t="n">
        <v>46315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19540-2026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46134</v>
      </c>
      <c r="E288" s="1" t="n">
        <v>46315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48825-2022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44859</v>
      </c>
      <c r="E289" s="1" t="n">
        <v>46315</v>
      </c>
      <c r="F289" t="inlineStr">
        <is>
          <t>VÄSTMANLANDS LÄN</t>
        </is>
      </c>
      <c r="G289" t="inlineStr">
        <is>
          <t>SKINNSKATTEBERG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19943-2026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46136</v>
      </c>
      <c r="E290" s="1" t="n">
        <v>46315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18109-2023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45040</v>
      </c>
      <c r="E291" s="1" t="n">
        <v>46315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11826-2024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45376</v>
      </c>
      <c r="E292" s="1" t="n">
        <v>46315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20816-2023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46315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36248-2024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45534</v>
      </c>
      <c r="E294" s="1" t="n">
        <v>46315</v>
      </c>
      <c r="F294" t="inlineStr">
        <is>
          <t>VÄSTMANLANDS LÄN</t>
        </is>
      </c>
      <c r="G294" t="inlineStr">
        <is>
          <t>SKINNSKATTEBERG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19093-2023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45048</v>
      </c>
      <c r="E295" s="1" t="n">
        <v>46315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58317-2023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45250</v>
      </c>
      <c r="E296" s="1" t="n">
        <v>46315</v>
      </c>
      <c r="F296" t="inlineStr">
        <is>
          <t>VÄSTMANLANDS LÄN</t>
        </is>
      </c>
      <c r="G296" t="inlineStr">
        <is>
          <t>SKINNSKATTEBERG</t>
        </is>
      </c>
      <c r="I296" t="n">
        <v>10.1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30471-2026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46210</v>
      </c>
      <c r="E297" s="1" t="n">
        <v>46315</v>
      </c>
      <c r="F297" t="inlineStr">
        <is>
          <t>VÄSTMANLANDS LÄN</t>
        </is>
      </c>
      <c r="G297" t="inlineStr">
        <is>
          <t>SKINNSKATTEBERG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7103-2022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44603</v>
      </c>
      <c r="E298" s="1" t="n">
        <v>46315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Kyrkan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18516-2024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45425</v>
      </c>
      <c r="E299" s="1" t="n">
        <v>46315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16394-2024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45407</v>
      </c>
      <c r="E300" s="1" t="n">
        <v>46315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30353-2023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45111</v>
      </c>
      <c r="E301" s="1" t="n">
        <v>46315</v>
      </c>
      <c r="F301" t="inlineStr">
        <is>
          <t>VÄSTMANLANDS LÄN</t>
        </is>
      </c>
      <c r="G301" t="inlineStr">
        <is>
          <t>SKINNSKATTEBERG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58979-2023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45252</v>
      </c>
      <c r="E302" s="1" t="n">
        <v>46315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13385-2024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45387</v>
      </c>
      <c r="E303" s="1" t="n">
        <v>46315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37168-2026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46274</v>
      </c>
      <c r="E304" s="1" t="n">
        <v>46315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31262-2023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45114</v>
      </c>
      <c r="E305" s="1" t="n">
        <v>46315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7.9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29026-2026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46199</v>
      </c>
      <c r="E306" s="1" t="n">
        <v>46315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44964</v>
      </c>
      <c r="E307" s="1" t="n">
        <v>46315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13713-2024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45390</v>
      </c>
      <c r="E308" s="1" t="n">
        <v>46315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25843-2023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45090</v>
      </c>
      <c r="E309" s="1" t="n">
        <v>46315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18409-2025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45762</v>
      </c>
      <c r="E310" s="1" t="n">
        <v>46315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45762</v>
      </c>
      <c r="E311" s="1" t="n">
        <v>46315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32217-2026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46237</v>
      </c>
      <c r="E312" s="1" t="n">
        <v>46315</v>
      </c>
      <c r="F312" t="inlineStr">
        <is>
          <t>VÄSTMANLANDS LÄN</t>
        </is>
      </c>
      <c r="G312" t="inlineStr">
        <is>
          <t>SKINNSKATTEBERG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37899-2026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46279</v>
      </c>
      <c r="E313" s="1" t="n">
        <v>46315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59578-2024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45637</v>
      </c>
      <c r="E314" s="1" t="n">
        <v>46315</v>
      </c>
      <c r="F314" t="inlineStr">
        <is>
          <t>VÄSTMANLANDS LÄN</t>
        </is>
      </c>
      <c r="G314" t="inlineStr">
        <is>
          <t>SKINNSKATTEBERG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13553-2023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45006</v>
      </c>
      <c r="E315" s="1" t="n">
        <v>46315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Allmännings- och besparingsskogar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38401-2026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46282</v>
      </c>
      <c r="E316" s="1" t="n">
        <v>46315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11.1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20430-2023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45056</v>
      </c>
      <c r="E317" s="1" t="n">
        <v>46315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33789-2024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45520</v>
      </c>
      <c r="E318" s="1" t="n">
        <v>46315</v>
      </c>
      <c r="F318" t="inlineStr">
        <is>
          <t>VÄSTMANLANDS LÄN</t>
        </is>
      </c>
      <c r="G318" t="inlineStr">
        <is>
          <t>SKINNSKATTEBERG</t>
        </is>
      </c>
      <c r="I318" t="n">
        <v>9.1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54657-2022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44883</v>
      </c>
      <c r="E319" s="1" t="n">
        <v>46315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36288-2022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44803</v>
      </c>
      <c r="E320" s="1" t="n">
        <v>46315</v>
      </c>
      <c r="F320" t="inlineStr">
        <is>
          <t>VÄSTMANLANDS LÄN</t>
        </is>
      </c>
      <c r="G320" t="inlineStr">
        <is>
          <t>SKINNSKATTEBERG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38452-2026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46282</v>
      </c>
      <c r="E321" s="1" t="n">
        <v>46315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60185-2022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44910</v>
      </c>
      <c r="E322" s="1" t="n">
        <v>46315</v>
      </c>
      <c r="F322" t="inlineStr">
        <is>
          <t>VÄSTMANLANDS LÄN</t>
        </is>
      </c>
      <c r="G322" t="inlineStr">
        <is>
          <t>SKINNSKATTEBERG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33900-2023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45134</v>
      </c>
      <c r="E323" s="1" t="n">
        <v>46315</v>
      </c>
      <c r="F323" t="inlineStr">
        <is>
          <t>VÄSTMANLANDS LÄN</t>
        </is>
      </c>
      <c r="G323" t="inlineStr">
        <is>
          <t>SKINNSKATTEBERG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15561-2024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45401</v>
      </c>
      <c r="E324" s="1" t="n">
        <v>46315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31260-2023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45114</v>
      </c>
      <c r="E325" s="1" t="n">
        <v>46315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21908-2023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45068</v>
      </c>
      <c r="E326" s="1" t="n">
        <v>46315</v>
      </c>
      <c r="F326" t="inlineStr">
        <is>
          <t>VÄSTMANLANDS LÄN</t>
        </is>
      </c>
      <c r="G326" t="inlineStr">
        <is>
          <t>SKINNSKATTEBERG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22394-2022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44713</v>
      </c>
      <c r="E327" s="1" t="n">
        <v>46315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38735-2026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46285</v>
      </c>
      <c r="E328" s="1" t="n">
        <v>46315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48492-2024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45592</v>
      </c>
      <c r="E329" s="1" t="n">
        <v>46315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43805-2024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45571</v>
      </c>
      <c r="E330" s="1" t="n">
        <v>46315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43806-2024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45571</v>
      </c>
      <c r="E331" s="1" t="n">
        <v>46315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45617</v>
      </c>
      <c r="E332" s="1" t="n">
        <v>46315</v>
      </c>
      <c r="F332" t="inlineStr">
        <is>
          <t>VÄSTMANLANDS LÄN</t>
        </is>
      </c>
      <c r="G332" t="inlineStr">
        <is>
          <t>SKINNSKATTEBERG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31617-2024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45506</v>
      </c>
      <c r="E333" s="1" t="n">
        <v>46315</v>
      </c>
      <c r="F333" t="inlineStr">
        <is>
          <t>VÄSTMANLANDS LÄN</t>
        </is>
      </c>
      <c r="G333" t="inlineStr">
        <is>
          <t>SKINNSKATTEBERG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40545-2023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45170</v>
      </c>
      <c r="E334" s="1" t="n">
        <v>46315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32859-2026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46244</v>
      </c>
      <c r="E335" s="1" t="n">
        <v>46315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8.300000000000001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32868-2026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46244</v>
      </c>
      <c r="E336" s="1" t="n">
        <v>46315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51472-2024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45604</v>
      </c>
      <c r="E337" s="1" t="n">
        <v>46315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32870-2026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46244</v>
      </c>
      <c r="E338" s="1" t="n">
        <v>46315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32867-2026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46244</v>
      </c>
      <c r="E339" s="1" t="n">
        <v>46315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33454-2026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46247</v>
      </c>
      <c r="E340" s="1" t="n">
        <v>46315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39867-2026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46290</v>
      </c>
      <c r="E341" s="1" t="n">
        <v>46315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44935</v>
      </c>
      <c r="E342" s="1" t="n">
        <v>46315</v>
      </c>
      <c r="F342" t="inlineStr">
        <is>
          <t>VÄSTMANLANDS LÄN</t>
        </is>
      </c>
      <c r="G342" t="inlineStr">
        <is>
          <t>SKINNSKATTEBERG</t>
        </is>
      </c>
      <c r="I342" t="n">
        <v>10.5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39620-2026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46289</v>
      </c>
      <c r="E343" s="1" t="n">
        <v>46315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39863-2026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46290</v>
      </c>
      <c r="E344" s="1" t="n">
        <v>46315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55229-2023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45237</v>
      </c>
      <c r="E345" s="1" t="n">
        <v>46315</v>
      </c>
      <c r="F345" t="inlineStr">
        <is>
          <t>VÄSTMANLANDS LÄN</t>
        </is>
      </c>
      <c r="G345" t="inlineStr">
        <is>
          <t>SKINNSKATTEBERG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39869-2026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46290</v>
      </c>
      <c r="E346" s="1" t="n">
        <v>46315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37432-2023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45156</v>
      </c>
      <c r="E347" s="1" t="n">
        <v>46315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39866-2026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46290</v>
      </c>
      <c r="E348" s="1" t="n">
        <v>46315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12888-2024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45385</v>
      </c>
      <c r="E349" s="1" t="n">
        <v>46315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33553-2026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46248</v>
      </c>
      <c r="E350" s="1" t="n">
        <v>46315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43807-2024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45571</v>
      </c>
      <c r="E351" s="1" t="n">
        <v>46315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14237-2025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45740</v>
      </c>
      <c r="E352" s="1" t="n">
        <v>46315</v>
      </c>
      <c r="F352" t="inlineStr">
        <is>
          <t>VÄSTMANLANDS LÄN</t>
        </is>
      </c>
      <c r="G352" t="inlineStr">
        <is>
          <t>SKINNSKATTEBERG</t>
        </is>
      </c>
      <c r="I352" t="n">
        <v>10.4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32205-2026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46237</v>
      </c>
      <c r="E353" s="1" t="n">
        <v>46315</v>
      </c>
      <c r="F353" t="inlineStr">
        <is>
          <t>VÄSTMANLANDS LÄN</t>
        </is>
      </c>
      <c r="G353" t="inlineStr">
        <is>
          <t>SKINNSKATTEBERG</t>
        </is>
      </c>
      <c r="I353" t="n">
        <v>12.2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27329-2023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45096</v>
      </c>
      <c r="E354" s="1" t="n">
        <v>46315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40167-2024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45554</v>
      </c>
      <c r="E355" s="1" t="n">
        <v>46315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54589-2024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45617</v>
      </c>
      <c r="E356" s="1" t="n">
        <v>46315</v>
      </c>
      <c r="F356" t="inlineStr">
        <is>
          <t>VÄSTMANLANDS LÄN</t>
        </is>
      </c>
      <c r="G356" t="inlineStr">
        <is>
          <t>SKINNSKATTEBERG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34272-2026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46253</v>
      </c>
      <c r="E357" s="1" t="n">
        <v>46315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20947-2025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45777</v>
      </c>
      <c r="E358" s="1" t="n">
        <v>46315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20949-2025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45777</v>
      </c>
      <c r="E359" s="1" t="n">
        <v>46315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50980-2022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44867</v>
      </c>
      <c r="E360" s="1" t="n">
        <v>46315</v>
      </c>
      <c r="F360" t="inlineStr">
        <is>
          <t>VÄSTMANLANDS LÄN</t>
        </is>
      </c>
      <c r="G360" t="inlineStr">
        <is>
          <t>SKINNSKATTEBERG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12158-2024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45377</v>
      </c>
      <c r="E361" s="1" t="n">
        <v>46315</v>
      </c>
      <c r="F361" t="inlineStr">
        <is>
          <t>VÄSTMANLANDS LÄN</t>
        </is>
      </c>
      <c r="G361" t="inlineStr">
        <is>
          <t>SKINNSKATTEBERG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37730-2024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45541</v>
      </c>
      <c r="E362" s="1" t="n">
        <v>46315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41207-2026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46300</v>
      </c>
      <c r="E363" s="1" t="n">
        <v>46315</v>
      </c>
      <c r="F363" t="inlineStr">
        <is>
          <t>VÄSTMANLANDS LÄN</t>
        </is>
      </c>
      <c r="G363" t="inlineStr">
        <is>
          <t>SKINNSKATTEBERG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38783-2024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45547</v>
      </c>
      <c r="E364" s="1" t="n">
        <v>46315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41610-2026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46302</v>
      </c>
      <c r="E365" s="1" t="n">
        <v>46315</v>
      </c>
      <c r="F365" t="inlineStr">
        <is>
          <t>VÄSTMANLANDS LÄN</t>
        </is>
      </c>
      <c r="G365" t="inlineStr">
        <is>
          <t>SKINNSKATTEBERG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28941-2024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45480</v>
      </c>
      <c r="E366" s="1" t="n">
        <v>46315</v>
      </c>
      <c r="F366" t="inlineStr">
        <is>
          <t>VÄSTMANLANDS LÄN</t>
        </is>
      </c>
      <c r="G366" t="inlineStr">
        <is>
          <t>SKINNSKATTEBERG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22285-2025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45786</v>
      </c>
      <c r="E367" s="1" t="n">
        <v>46315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22079-2024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45443</v>
      </c>
      <c r="E368" s="1" t="n">
        <v>46315</v>
      </c>
      <c r="F368" t="inlineStr">
        <is>
          <t>VÄSTMANLANDS LÄN</t>
        </is>
      </c>
      <c r="G368" t="inlineStr">
        <is>
          <t>SKINNSKATTEBERG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28058-2024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45476</v>
      </c>
      <c r="E369" s="1" t="n">
        <v>46315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35051-2024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45527</v>
      </c>
      <c r="E370" s="1" t="n">
        <v>46315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25846-2025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45804</v>
      </c>
      <c r="E371" s="1" t="n">
        <v>46315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35168-2026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46260</v>
      </c>
      <c r="E372" s="1" t="n">
        <v>46315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35171-2026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46260</v>
      </c>
      <c r="E373" s="1" t="n">
        <v>46315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42549-2026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46308</v>
      </c>
      <c r="E374" s="1" t="n">
        <v>46315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35746-2026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46265</v>
      </c>
      <c r="E375" s="1" t="n">
        <v>46315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35580-2026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46262</v>
      </c>
      <c r="E376" s="1" t="n">
        <v>46315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35585-2026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46262</v>
      </c>
      <c r="E377" s="1" t="n">
        <v>46315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46262</v>
      </c>
      <c r="E378" s="1" t="n">
        <v>46315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28940-2024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45480</v>
      </c>
      <c r="E379" s="1" t="n">
        <v>46315</v>
      </c>
      <c r="F379" t="inlineStr">
        <is>
          <t>VÄSTMANLANDS LÄN</t>
        </is>
      </c>
      <c r="G379" t="inlineStr">
        <is>
          <t>SKINNSKATTEBERG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42565-2026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46308</v>
      </c>
      <c r="E380" s="1" t="n">
        <v>46315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42566-2026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46308</v>
      </c>
      <c r="E381" s="1" t="n">
        <v>46315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42567-2026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46308</v>
      </c>
      <c r="E382" s="1" t="n">
        <v>46315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42547-2026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46308</v>
      </c>
      <c r="E383" s="1" t="n">
        <v>46315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35587-2026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46262</v>
      </c>
      <c r="E384" s="1" t="n">
        <v>46315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35582-2026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46262</v>
      </c>
      <c r="E385" s="1" t="n">
        <v>46315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42564-2026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46308</v>
      </c>
      <c r="E386" s="1" t="n">
        <v>46315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28873-2025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45820</v>
      </c>
      <c r="E387" s="1" t="n">
        <v>46315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28831-2025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45820</v>
      </c>
      <c r="E388" s="1" t="n">
        <v>46315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29808-2025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45825</v>
      </c>
      <c r="E389" s="1" t="n">
        <v>46315</v>
      </c>
      <c r="F389" t="inlineStr">
        <is>
          <t>VÄSTMANLANDS LÄN</t>
        </is>
      </c>
      <c r="G389" t="inlineStr">
        <is>
          <t>SKINNSKATTEBERG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29810-2025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45825</v>
      </c>
      <c r="E390" s="1" t="n">
        <v>46315</v>
      </c>
      <c r="F390" t="inlineStr">
        <is>
          <t>VÄSTMANLANDS LÄN</t>
        </is>
      </c>
      <c r="G390" t="inlineStr">
        <is>
          <t>SKINNSKATTEBERG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30439-2025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45827</v>
      </c>
      <c r="E391" s="1" t="n">
        <v>46315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30873-2025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45832</v>
      </c>
      <c r="E392" s="1" t="n">
        <v>46315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31011-2025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45832</v>
      </c>
      <c r="E393" s="1" t="n">
        <v>46315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31234-2025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45832</v>
      </c>
      <c r="E394" s="1" t="n">
        <v>46315</v>
      </c>
      <c r="F394" t="inlineStr">
        <is>
          <t>VÄSTMANLANDS LÄN</t>
        </is>
      </c>
      <c r="G394" t="inlineStr">
        <is>
          <t>SKINNSKATTEBERG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34720-2025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45848</v>
      </c>
      <c r="E395" s="1" t="n">
        <v>46315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40174-2024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45554</v>
      </c>
      <c r="E396" s="1" t="n">
        <v>46315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35204-2025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45853</v>
      </c>
      <c r="E397" s="1" t="n">
        <v>46315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7.5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35205-2025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45853</v>
      </c>
      <c r="E398" s="1" t="n">
        <v>46315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36262-2026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46268</v>
      </c>
      <c r="E399" s="1" t="n">
        <v>46315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37763-2025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45880</v>
      </c>
      <c r="E400" s="1" t="n">
        <v>46315</v>
      </c>
      <c r="F400" t="inlineStr">
        <is>
          <t>VÄSTMANLANDS LÄN</t>
        </is>
      </c>
      <c r="G400" t="inlineStr">
        <is>
          <t>SKINNSKATTEBERG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1765-2024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45435</v>
      </c>
      <c r="E401" s="1" t="n">
        <v>46315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1462-2025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45786</v>
      </c>
      <c r="E402" s="1" t="n">
        <v>46315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1931-2025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45827</v>
      </c>
      <c r="E403" s="1" t="n">
        <v>46315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2177-2025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45853</v>
      </c>
      <c r="E404" s="1" t="n">
        <v>46315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2422-2025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45897</v>
      </c>
      <c r="E405" s="1" t="n">
        <v>46315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2421-2025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45897</v>
      </c>
      <c r="E406" s="1" t="n">
        <v>46315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2420-2025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45897</v>
      </c>
      <c r="E407" s="1" t="n">
        <v>46315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2456-2025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45901</v>
      </c>
      <c r="E408" s="1" t="n">
        <v>46315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2578-2025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45915</v>
      </c>
      <c r="E409" s="1" t="n">
        <v>46315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1325-2026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46147</v>
      </c>
      <c r="E410" s="1" t="n">
        <v>46315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65.3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1678-2026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46182</v>
      </c>
      <c r="E411" s="1" t="n">
        <v>46315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1868-2026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46199</v>
      </c>
      <c r="E412" s="1" t="n">
        <v>46315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2525-2026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46290</v>
      </c>
      <c r="E413" s="1" t="n">
        <v>46315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2239-2026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46260</v>
      </c>
      <c r="E414" s="1" t="n">
        <v>46315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2266-2026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46262</v>
      </c>
      <c r="E415" s="1" t="n">
        <v>46315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2026-10-20T01:54:04Z</dcterms:created>
  <dcterms:modified xmlns:dcterms="http://purl.org/dc/terms/" xmlns:xsi="http://www.w3.org/2001/XMLSchema-instance" xsi:type="dcterms:W3CDTF">2026-10-20T01:54:05Z</dcterms:modified>
</cp:coreProperties>
</file>