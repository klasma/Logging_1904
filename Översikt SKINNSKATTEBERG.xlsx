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46293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46293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46293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46293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46293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46293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46293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46293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46293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34303-2026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46293</v>
      </c>
      <c r="F11" t="inlineStr">
        <is>
          <t>VÄSTMANLANDS LÄN</t>
        </is>
      </c>
      <c r="G11" t="inlineStr">
        <is>
          <t>SKINNSKATTEBERG</t>
        </is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3</v>
      </c>
      <c r="V11" s="2" t="inlineStr">
        <is>
          <t>Skogsalm
Svart trolldruva
Tibast
Brudborste</t>
        </is>
      </c>
      <c r="W11">
        <f>HYPERLINK("https://klasma.github.io/Logging_1904/artfynd/A 34303-2026 artfynd.xlsx", "A 34303-2026")</f>
        <v/>
      </c>
      <c r="X11">
        <f>HYPERLINK("https://klasma.github.io/Logging_1904/kartor/A 34303-2026 karta.png", "A 34303-2026")</f>
        <v/>
      </c>
      <c r="Y11">
        <f>HYPERLINK("https://klasma.github.io/Logging_1904/kartor_geotiff/A 34303-2026 georefererad karta.tif", "A 34303-2026")</f>
        <v/>
      </c>
      <c r="AA11">
        <f>HYPERLINK("https://klasma.github.io/Logging_1904/klagomål/A 34303-2026 FSC-klagomål.docx", "A 34303-2026")</f>
        <v/>
      </c>
      <c r="AB11">
        <f>HYPERLINK("https://klasma.github.io/Logging_1904/klagomålsmail/A 34303-2026 FSC-klagomål mail.docx", "A 34303-2026")</f>
        <v/>
      </c>
      <c r="AC11">
        <f>HYPERLINK("https://klasma.github.io/Logging_1904/tillsyn/A 34303-2026 tillsynsbegäran.docx", "A 34303-2026")</f>
        <v/>
      </c>
      <c r="AD11">
        <f>HYPERLINK("https://klasma.github.io/Logging_1904/tillsynsmail/A 34303-2026 tillsynsbegäran mail.docx", "A 34303-2026")</f>
        <v/>
      </c>
    </row>
    <row r="12" ht="15" customHeight="1">
      <c r="A12" t="inlineStr">
        <is>
          <t>A 36595-2024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45537</v>
      </c>
      <c r="E12" s="1" t="n">
        <v>46293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</v>
      </c>
      <c r="J12" t="n">
        <v>1</v>
      </c>
      <c r="K12" t="n">
        <v>0</v>
      </c>
      <c r="L12" t="n">
        <v>1</v>
      </c>
      <c r="M12" t="n">
        <v>3</v>
      </c>
      <c r="N12" t="n">
        <v>0</v>
      </c>
      <c r="O12" t="n">
        <v>0</v>
      </c>
      <c r="P12" t="n">
        <v>0</v>
      </c>
      <c r="Q12" t="n">
        <v>4</v>
      </c>
      <c r="R12" t="n">
        <v>3</v>
      </c>
      <c r="S12" t="n">
        <v>4</v>
      </c>
      <c r="T12" t="n">
        <v>4</v>
      </c>
      <c r="U12" t="n">
        <v>4</v>
      </c>
      <c r="V12" s="2" t="inlineStr">
        <is>
          <t>Knärot
Lakritsmusseron
Lammticka
Skarp dropptaggsvamp</t>
        </is>
      </c>
      <c r="W12">
        <f>HYPERLINK("https://klasma.github.io/Logging_1904/artfynd/A 36595-2024 artfynd.xlsx", "A 36595-2024")</f>
        <v/>
      </c>
      <c r="X12">
        <f>HYPERLINK("https://klasma.github.io/Logging_1904/kartor/A 36595-2024 karta.png", "A 36595-2024")</f>
        <v/>
      </c>
      <c r="Y12">
        <f>HYPERLINK("https://klasma.github.io/Logging_1904/kartor_geotiff/A 36595-2024 georefererad karta.tif", "A 36595-2024")</f>
        <v/>
      </c>
      <c r="Z12">
        <f>HYPERLINK("https://klasma.github.io/Logging_1904/knärot/A 36595-2024 karta knärot.png", "A 36595-2024")</f>
        <v/>
      </c>
      <c r="AA12">
        <f>HYPERLINK("https://klasma.github.io/Logging_1904/klagomål/A 36595-2024 FSC-klagomål.docx", "A 36595-2024")</f>
        <v/>
      </c>
      <c r="AB12">
        <f>HYPERLINK("https://klasma.github.io/Logging_1904/klagomålsmail/A 36595-2024 FSC-klagomål mail.docx", "A 36595-2024")</f>
        <v/>
      </c>
      <c r="AC12">
        <f>HYPERLINK("https://klasma.github.io/Logging_1904/tillsyn/A 36595-2024 tillsynsbegäran.docx", "A 36595-2024")</f>
        <v/>
      </c>
      <c r="AD12">
        <f>HYPERLINK("https://klasma.github.io/Logging_1904/tillsynsmail/A 36595-2024 tillsynsbegäran mail.docx", "A 36595-2024")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46293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46293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46293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46293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46293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46293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46293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46293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46293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46293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39618-2026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46293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4.3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Raggbock
Motaggsvamp</t>
        </is>
      </c>
      <c r="W23">
        <f>HYPERLINK("https://klasma.github.io/Logging_1904/artfynd/A 39618-2026 artfynd.xlsx", "A 39618-2026")</f>
        <v/>
      </c>
      <c r="X23">
        <f>HYPERLINK("https://klasma.github.io/Logging_1904/kartor/A 39618-2026 karta.png", "A 39618-2026")</f>
        <v/>
      </c>
      <c r="Y23">
        <f>HYPERLINK("https://klasma.github.io/Logging_1904/kartor_geotiff/A 39618-2026 georefererad karta.tif", "A 39618-2026")</f>
        <v/>
      </c>
      <c r="AA23">
        <f>HYPERLINK("https://klasma.github.io/Logging_1904/klagomål/A 39618-2026 FSC-klagomål.docx", "A 39618-2026")</f>
        <v/>
      </c>
      <c r="AB23">
        <f>HYPERLINK("https://klasma.github.io/Logging_1904/klagomålsmail/A 39618-2026 FSC-klagomål mail.docx", "A 39618-2026")</f>
        <v/>
      </c>
      <c r="AC23">
        <f>HYPERLINK("https://klasma.github.io/Logging_1904/tillsyn/A 39618-2026 tillsynsbegäran.docx", "A 39618-2026")</f>
        <v/>
      </c>
      <c r="AD23">
        <f>HYPERLINK("https://klasma.github.io/Logging_1904/tillsynsmail/A 39618-2026 tillsynsbegäran mail.docx", "A 39618-2026")</f>
        <v/>
      </c>
    </row>
    <row r="24" ht="15" customHeight="1">
      <c r="A24" t="inlineStr">
        <is>
          <t>A 18416-2025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46293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Stubbspretmossa
Svart trolldruva</t>
        </is>
      </c>
      <c r="W24">
        <f>HYPERLINK("https://klasma.github.io/Logging_1904/artfynd/A 18416-2025 artfynd.xlsx", "A 18416-2025")</f>
        <v/>
      </c>
      <c r="X24">
        <f>HYPERLINK("https://klasma.github.io/Logging_1904/kartor/A 18416-2025 karta.png", "A 18416-2025")</f>
        <v/>
      </c>
      <c r="Y24">
        <f>HYPERLINK("https://klasma.github.io/Logging_1904/kartor_geotiff/A 18416-2025 georefererad karta.tif", "A 18416-2025")</f>
        <v/>
      </c>
      <c r="AA24">
        <f>HYPERLINK("https://klasma.github.io/Logging_1904/klagomål/A 18416-2025 FSC-klagomål.docx", "A 18416-2025")</f>
        <v/>
      </c>
      <c r="AB24">
        <f>HYPERLINK("https://klasma.github.io/Logging_1904/klagomålsmail/A 18416-2025 FSC-klagomål mail.docx", "A 18416-2025")</f>
        <v/>
      </c>
      <c r="AC24">
        <f>HYPERLINK("https://klasma.github.io/Logging_1904/tillsyn/A 18416-2025 tillsynsbegäran.docx", "A 18416-2025")</f>
        <v/>
      </c>
      <c r="AD24">
        <f>HYPERLINK("https://klasma.github.io/Logging_1904/tillsynsmail/A 18416-2025 tillsynsbegäran mail.docx", "A 18416-2025")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46293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46293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46293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46293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46293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46293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46293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47538-2025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46293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Svinrot</t>
        </is>
      </c>
      <c r="W32">
        <f>HYPERLINK("https://klasma.github.io/Logging_1904/artfynd/A 47538-2025 artfynd.xlsx", "A 47538-2025")</f>
        <v/>
      </c>
      <c r="X32">
        <f>HYPERLINK("https://klasma.github.io/Logging_1904/kartor/A 47538-2025 karta.png", "A 47538-2025")</f>
        <v/>
      </c>
      <c r="Y32">
        <f>HYPERLINK("https://klasma.github.io/Logging_1904/kartor_geotiff/A 47538-2025 georefererad karta.tif", "A 47538-2025")</f>
        <v/>
      </c>
      <c r="AA32">
        <f>HYPERLINK("https://klasma.github.io/Logging_1904/klagomål/A 47538-2025 FSC-klagomål.docx", "A 47538-2025")</f>
        <v/>
      </c>
      <c r="AB32">
        <f>HYPERLINK("https://klasma.github.io/Logging_1904/klagomålsmail/A 47538-2025 FSC-klagomål mail.docx", "A 47538-2025")</f>
        <v/>
      </c>
      <c r="AC32">
        <f>HYPERLINK("https://klasma.github.io/Logging_1904/tillsyn/A 47538-2025 tillsynsbegäran.docx", "A 47538-2025")</f>
        <v/>
      </c>
      <c r="AD32">
        <f>HYPERLINK("https://klasma.github.io/Logging_1904/tillsynsmail/A 47538-2025 tillsynsbegäran mail.docx", "A 47538-2025")</f>
        <v/>
      </c>
    </row>
    <row r="33" ht="15" customHeight="1">
      <c r="A33" t="inlineStr">
        <is>
          <t>A 9490-2024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46293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Nattskärra</t>
        </is>
      </c>
      <c r="W33">
        <f>HYPERLINK("https://klasma.github.io/Logging_1904/artfynd/A 9490-2024 artfynd.xlsx", "A 9490-2024")</f>
        <v/>
      </c>
      <c r="X33">
        <f>HYPERLINK("https://klasma.github.io/Logging_1904/kartor/A 9490-2024 karta.png", "A 9490-2024")</f>
        <v/>
      </c>
      <c r="Y33">
        <f>HYPERLINK("https://klasma.github.io/Logging_1904/kartor_geotiff/A 9490-2024 georefererad karta.tif", "A 9490-2024")</f>
        <v/>
      </c>
      <c r="AA33">
        <f>HYPERLINK("https://klasma.github.io/Logging_1904/klagomål/A 9490-2024 FSC-klagomål.docx", "A 9490-2024")</f>
        <v/>
      </c>
      <c r="AB33">
        <f>HYPERLINK("https://klasma.github.io/Logging_1904/klagomålsmail/A 9490-2024 FSC-klagomål mail.docx", "A 9490-2024")</f>
        <v/>
      </c>
      <c r="AC33">
        <f>HYPERLINK("https://klasma.github.io/Logging_1904/tillsyn/A 9490-2024 tillsynsbegäran.docx", "A 9490-2024")</f>
        <v/>
      </c>
      <c r="AD33">
        <f>HYPERLINK("https://klasma.github.io/Logging_1904/tillsynsmail/A 9490-2024 tillsynsbegäran mail.docx", "A 9490-2024")</f>
        <v/>
      </c>
      <c r="AE33">
        <f>HYPERLINK("https://klasma.github.io/Logging_1904/fåglar/A 9490-2024 prioriterade fågelarter.docx", "A 9490-2024")</f>
        <v/>
      </c>
    </row>
    <row r="34" ht="15" customHeight="1">
      <c r="A34" t="inlineStr">
        <is>
          <t>A 54296-2023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46293</v>
      </c>
      <c r="F34" t="inlineStr">
        <is>
          <t>VÄSTMANLANDS LÄN</t>
        </is>
      </c>
      <c r="G34" t="inlineStr">
        <is>
          <t>SKINNSKATTEBERG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HYPERLINK("https://klasma.github.io/Logging_1904/artfynd/A 54296-2023 artfynd.xlsx", "A 54296-2023")</f>
        <v/>
      </c>
      <c r="X34">
        <f>HYPERLINK("https://klasma.github.io/Logging_1904/kartor/A 54296-2023 karta.png", "A 54296-2023")</f>
        <v/>
      </c>
      <c r="Y34">
        <f>HYPERLINK("https://klasma.github.io/Logging_1904/kartor_geotiff/A 54296-2023 georefererad karta.tif", "A 54296-2023")</f>
        <v/>
      </c>
      <c r="AA34">
        <f>HYPERLINK("https://klasma.github.io/Logging_1904/klagomål/A 54296-2023 FSC-klagomål.docx", "A 54296-2023")</f>
        <v/>
      </c>
      <c r="AB34">
        <f>HYPERLINK("https://klasma.github.io/Logging_1904/klagomålsmail/A 54296-2023 FSC-klagomål mail.docx", "A 54296-2023")</f>
        <v/>
      </c>
      <c r="AC34">
        <f>HYPERLINK("https://klasma.github.io/Logging_1904/tillsyn/A 54296-2023 tillsynsbegäran.docx", "A 54296-2023")</f>
        <v/>
      </c>
      <c r="AD34">
        <f>HYPERLINK("https://klasma.github.io/Logging_1904/tillsynsmail/A 54296-2023 tillsynsbegäran mail.docx", "A 54296-2023")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46293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57395-2025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46293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Vedticka</t>
        </is>
      </c>
      <c r="W36">
        <f>HYPERLINK("https://klasma.github.io/Logging_1904/artfynd/A 57395-2025 artfynd.xlsx", "A 57395-2025")</f>
        <v/>
      </c>
      <c r="X36">
        <f>HYPERLINK("https://klasma.github.io/Logging_1904/kartor/A 57395-2025 karta.png", "A 57395-2025")</f>
        <v/>
      </c>
      <c r="Y36">
        <f>HYPERLINK("https://klasma.github.io/Logging_1904/kartor_geotiff/A 57395-2025 georefererad karta.tif", "A 57395-2025")</f>
        <v/>
      </c>
      <c r="AA36">
        <f>HYPERLINK("https://klasma.github.io/Logging_1904/klagomål/A 57395-2025 FSC-klagomål.docx", "A 57395-2025")</f>
        <v/>
      </c>
      <c r="AB36">
        <f>HYPERLINK("https://klasma.github.io/Logging_1904/klagomålsmail/A 57395-2025 FSC-klagomål mail.docx", "A 57395-2025")</f>
        <v/>
      </c>
      <c r="AC36">
        <f>HYPERLINK("https://klasma.github.io/Logging_1904/tillsyn/A 57395-2025 tillsynsbegäran.docx", "A 57395-2025")</f>
        <v/>
      </c>
      <c r="AD36">
        <f>HYPERLINK("https://klasma.github.io/Logging_1904/tillsynsmail/A 57395-2025 tillsynsbegäran mail.docx", "A 57395-2025")</f>
        <v/>
      </c>
    </row>
    <row r="37" ht="15" customHeight="1">
      <c r="A37" t="inlineStr">
        <is>
          <t>A 20559-2026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46140</v>
      </c>
      <c r="E37" s="1" t="n">
        <v>46293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20559-2026 artfynd.xlsx", "A 20559-2026")</f>
        <v/>
      </c>
      <c r="X37">
        <f>HYPERLINK("https://klasma.github.io/Logging_1904/kartor/A 20559-2026 karta.png", "A 20559-2026")</f>
        <v/>
      </c>
      <c r="Y37">
        <f>HYPERLINK("https://klasma.github.io/Logging_1904/kartor_geotiff/A 20559-2026 georefererad karta.tif", "A 20559-2026")</f>
        <v/>
      </c>
      <c r="AA37">
        <f>HYPERLINK("https://klasma.github.io/Logging_1904/klagomål/A 20559-2026 FSC-klagomål.docx", "A 20559-2026")</f>
        <v/>
      </c>
      <c r="AB37">
        <f>HYPERLINK("https://klasma.github.io/Logging_1904/klagomålsmail/A 20559-2026 FSC-klagomål mail.docx", "A 20559-2026")</f>
        <v/>
      </c>
      <c r="AC37">
        <f>HYPERLINK("https://klasma.github.io/Logging_1904/tillsyn/A 20559-2026 tillsynsbegäran.docx", "A 20559-2026")</f>
        <v/>
      </c>
      <c r="AD37">
        <f>HYPERLINK("https://klasma.github.io/Logging_1904/tillsynsmail/A 20559-2026 tillsynsbegäran mail.docx", "A 20559-2026")</f>
        <v/>
      </c>
      <c r="AE37">
        <f>HYPERLINK("https://klasma.github.io/Logging_1904/fåglar/A 20559-2026 prioriterade fågelarter.docx", "A 20559-2026")</f>
        <v/>
      </c>
    </row>
    <row r="38" ht="15" customHeight="1">
      <c r="A38" t="inlineStr">
        <is>
          <t>A 31006-2025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45832</v>
      </c>
      <c r="E38" s="1" t="n">
        <v>46293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HYPERLINK("https://klasma.github.io/Logging_1904/artfynd/A 31006-2025 artfynd.xlsx", "A 31006-2025")</f>
        <v/>
      </c>
      <c r="X38">
        <f>HYPERLINK("https://klasma.github.io/Logging_1904/kartor/A 31006-2025 karta.png", "A 31006-2025")</f>
        <v/>
      </c>
      <c r="Y38">
        <f>HYPERLINK("https://klasma.github.io/Logging_1904/kartor_geotiff/A 31006-2025 georefererad karta.tif", "A 31006-2025")</f>
        <v/>
      </c>
      <c r="AA38">
        <f>HYPERLINK("https://klasma.github.io/Logging_1904/klagomål/A 31006-2025 FSC-klagomål.docx", "A 31006-2025")</f>
        <v/>
      </c>
      <c r="AB38">
        <f>HYPERLINK("https://klasma.github.io/Logging_1904/klagomålsmail/A 31006-2025 FSC-klagomål mail.docx", "A 31006-2025")</f>
        <v/>
      </c>
      <c r="AC38">
        <f>HYPERLINK("https://klasma.github.io/Logging_1904/tillsyn/A 31006-2025 tillsynsbegäran.docx", "A 31006-2025")</f>
        <v/>
      </c>
      <c r="AD38">
        <f>HYPERLINK("https://klasma.github.io/Logging_1904/tillsynsmail/A 31006-2025 tillsynsbegäran mail.docx", "A 31006-2025")</f>
        <v/>
      </c>
      <c r="AE38">
        <f>HYPERLINK("https://klasma.github.io/Logging_1904/fåglar/A 31006-2025 prioriterade fågelarter.docx", "A 31006-2025")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46293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HYPERLINK("https://klasma.github.io/Logging_1904/artfynd/A 21849-2026 artfynd.xlsx", "A 21849-2026")</f>
        <v/>
      </c>
      <c r="X39">
        <f>HYPERLINK("https://klasma.github.io/Logging_1904/kartor/A 21849-2026 karta.png", "A 21849-2026")</f>
        <v/>
      </c>
      <c r="Y39">
        <f>HYPERLINK("https://klasma.github.io/Logging_1904/kartor_geotiff/A 21849-2026 georefererad karta.tif", "A 21849-2026")</f>
        <v/>
      </c>
      <c r="Z39">
        <f>HYPERLINK("https://klasma.github.io/Logging_1904/knärot/A 21849-2026 karta knärot.png", "A 21849-2026")</f>
        <v/>
      </c>
      <c r="AA39">
        <f>HYPERLINK("https://klasma.github.io/Logging_1904/klagomål/A 21849-2026 FSC-klagomål.docx", "A 21849-2026")</f>
        <v/>
      </c>
      <c r="AB39">
        <f>HYPERLINK("https://klasma.github.io/Logging_1904/klagomålsmail/A 21849-2026 FSC-klagomål mail.docx", "A 21849-2026")</f>
        <v/>
      </c>
      <c r="AC39">
        <f>HYPERLINK("https://klasma.github.io/Logging_1904/tillsyn/A 21849-2026 tillsynsbegäran.docx", "A 21849-2026")</f>
        <v/>
      </c>
      <c r="AD39">
        <f>HYPERLINK("https://klasma.github.io/Logging_1904/tillsynsmail/A 21849-2026 tillsynsbegäran mail.docx", "A 21849-2026")</f>
        <v/>
      </c>
    </row>
    <row r="40" ht="15" customHeight="1">
      <c r="A40" t="inlineStr">
        <is>
          <t>A 49630-2024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46293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7.3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HYPERLINK("https://klasma.github.io/Logging_1904/artfynd/A 49630-2024 artfynd.xlsx", "A 49630-2024")</f>
        <v/>
      </c>
      <c r="X40">
        <f>HYPERLINK("https://klasma.github.io/Logging_1904/kartor/A 49630-2024 karta.png", "A 49630-2024")</f>
        <v/>
      </c>
      <c r="Y40">
        <f>HYPERLINK("https://klasma.github.io/Logging_1904/kartor_geotiff/A 49630-2024 georefererad karta.tif", "A 49630-2024")</f>
        <v/>
      </c>
      <c r="AA40">
        <f>HYPERLINK("https://klasma.github.io/Logging_1904/klagomål/A 49630-2024 FSC-klagomål.docx", "A 49630-2024")</f>
        <v/>
      </c>
      <c r="AB40">
        <f>HYPERLINK("https://klasma.github.io/Logging_1904/klagomålsmail/A 49630-2024 FSC-klagomål mail.docx", "A 49630-2024")</f>
        <v/>
      </c>
      <c r="AC40">
        <f>HYPERLINK("https://klasma.github.io/Logging_1904/tillsyn/A 49630-2024 tillsynsbegäran.docx", "A 49630-2024")</f>
        <v/>
      </c>
      <c r="AD40">
        <f>HYPERLINK("https://klasma.github.io/Logging_1904/tillsynsmail/A 49630-2024 tillsynsbegäran mail.docx", "A 49630-2024")</f>
        <v/>
      </c>
    </row>
    <row r="41" ht="15" customHeight="1">
      <c r="A41" t="inlineStr">
        <is>
          <t>A 43413-2024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45568</v>
      </c>
      <c r="E41" s="1" t="n">
        <v>46293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Orange taggsvamp</t>
        </is>
      </c>
      <c r="W41">
        <f>HYPERLINK("https://klasma.github.io/Logging_1904/artfynd/A 43413-2024 artfynd.xlsx", "A 43413-2024")</f>
        <v/>
      </c>
      <c r="X41">
        <f>HYPERLINK("https://klasma.github.io/Logging_1904/kartor/A 43413-2024 karta.png", "A 43413-2024")</f>
        <v/>
      </c>
      <c r="Y41">
        <f>HYPERLINK("https://klasma.github.io/Logging_1904/kartor_geotiff/A 43413-2024 georefererad karta.tif", "A 43413-2024")</f>
        <v/>
      </c>
      <c r="AA41">
        <f>HYPERLINK("https://klasma.github.io/Logging_1904/klagomål/A 43413-2024 FSC-klagomål.docx", "A 43413-2024")</f>
        <v/>
      </c>
      <c r="AB41">
        <f>HYPERLINK("https://klasma.github.io/Logging_1904/klagomålsmail/A 43413-2024 FSC-klagomål mail.docx", "A 43413-2024")</f>
        <v/>
      </c>
      <c r="AC41">
        <f>HYPERLINK("https://klasma.github.io/Logging_1904/tillsyn/A 43413-2024 tillsynsbegäran.docx", "A 43413-2024")</f>
        <v/>
      </c>
      <c r="AD41">
        <f>HYPERLINK("https://klasma.github.io/Logging_1904/tillsynsmail/A 43413-2024 tillsynsbegäran mail.docx", "A 43413-2024")</f>
        <v/>
      </c>
    </row>
    <row r="42" ht="15" customHeight="1">
      <c r="A42" t="inlineStr">
        <is>
          <t>A 24492-2026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46293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24492-2026 artfynd.xlsx", "A 24492-2026")</f>
        <v/>
      </c>
      <c r="X42">
        <f>HYPERLINK("https://klasma.github.io/Logging_1904/kartor/A 24492-2026 karta.png", "A 24492-2026")</f>
        <v/>
      </c>
      <c r="Y42">
        <f>HYPERLINK("https://klasma.github.io/Logging_1904/kartor_geotiff/A 24492-2026 georefererad karta.tif", "A 24492-2026")</f>
        <v/>
      </c>
      <c r="AA42">
        <f>HYPERLINK("https://klasma.github.io/Logging_1904/klagomål/A 24492-2026 FSC-klagomål.docx", "A 24492-2026")</f>
        <v/>
      </c>
      <c r="AB42">
        <f>HYPERLINK("https://klasma.github.io/Logging_1904/klagomålsmail/A 24492-2026 FSC-klagomål mail.docx", "A 24492-2026")</f>
        <v/>
      </c>
      <c r="AC42">
        <f>HYPERLINK("https://klasma.github.io/Logging_1904/tillsyn/A 24492-2026 tillsynsbegäran.docx", "A 24492-2026")</f>
        <v/>
      </c>
      <c r="AD42">
        <f>HYPERLINK("https://klasma.github.io/Logging_1904/tillsynsmail/A 24492-2026 tillsynsbegäran mail.docx", "A 24492-2026")</f>
        <v/>
      </c>
      <c r="AE42">
        <f>HYPERLINK("https://klasma.github.io/Logging_1904/fåglar/A 24492-2026 prioriterade fågelarter.docx", "A 24492-2026")</f>
        <v/>
      </c>
    </row>
    <row r="43" ht="15" customHeight="1">
      <c r="A43" t="inlineStr">
        <is>
          <t>A 33435-2024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45519</v>
      </c>
      <c r="E43" s="1" t="n">
        <v>46293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Nattskärra</t>
        </is>
      </c>
      <c r="W43">
        <f>HYPERLINK("https://klasma.github.io/Logging_1904/artfynd/A 33435-2024 artfynd.xlsx", "A 33435-2024")</f>
        <v/>
      </c>
      <c r="X43">
        <f>HYPERLINK("https://klasma.github.io/Logging_1904/kartor/A 33435-2024 karta.png", "A 33435-2024")</f>
        <v/>
      </c>
      <c r="Y43">
        <f>HYPERLINK("https://klasma.github.io/Logging_1904/kartor_geotiff/A 33435-2024 georefererad karta.tif", "A 33435-2024")</f>
        <v/>
      </c>
      <c r="AA43">
        <f>HYPERLINK("https://klasma.github.io/Logging_1904/klagomål/A 33435-2024 FSC-klagomål.docx", "A 33435-2024")</f>
        <v/>
      </c>
      <c r="AB43">
        <f>HYPERLINK("https://klasma.github.io/Logging_1904/klagomålsmail/A 33435-2024 FSC-klagomål mail.docx", "A 33435-2024")</f>
        <v/>
      </c>
      <c r="AC43">
        <f>HYPERLINK("https://klasma.github.io/Logging_1904/tillsyn/A 33435-2024 tillsynsbegäran.docx", "A 33435-2024")</f>
        <v/>
      </c>
      <c r="AD43">
        <f>HYPERLINK("https://klasma.github.io/Logging_1904/tillsynsmail/A 33435-2024 tillsynsbegäran mail.docx", "A 33435-2024")</f>
        <v/>
      </c>
      <c r="AE43">
        <f>HYPERLINK("https://klasma.github.io/Logging_1904/fåglar/A 33435-2024 prioriterade fågelarter.docx", "A 33435-2024")</f>
        <v/>
      </c>
    </row>
    <row r="44" ht="15" customHeight="1">
      <c r="A44" t="inlineStr">
        <is>
          <t>A 24944-2026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46293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8.4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HYPERLINK("https://klasma.github.io/Logging_1904/artfynd/A 24944-2026 artfynd.xlsx", "A 24944-2026")</f>
        <v/>
      </c>
      <c r="X44">
        <f>HYPERLINK("https://klasma.github.io/Logging_1904/kartor/A 24944-2026 karta.png", "A 24944-2026")</f>
        <v/>
      </c>
      <c r="Y44">
        <f>HYPERLINK("https://klasma.github.io/Logging_1904/kartor_geotiff/A 24944-2026 georefererad karta.tif", "A 24944-2026")</f>
        <v/>
      </c>
      <c r="AA44">
        <f>HYPERLINK("https://klasma.github.io/Logging_1904/klagomål/A 24944-2026 FSC-klagomål.docx", "A 24944-2026")</f>
        <v/>
      </c>
      <c r="AB44">
        <f>HYPERLINK("https://klasma.github.io/Logging_1904/klagomålsmail/A 24944-2026 FSC-klagomål mail.docx", "A 24944-2026")</f>
        <v/>
      </c>
      <c r="AC44">
        <f>HYPERLINK("https://klasma.github.io/Logging_1904/tillsyn/A 24944-2026 tillsynsbegäran.docx", "A 24944-2026")</f>
        <v/>
      </c>
      <c r="AD44">
        <f>HYPERLINK("https://klasma.github.io/Logging_1904/tillsynsmail/A 24944-2026 tillsynsbegäran mail.docx", "A 24944-2026")</f>
        <v/>
      </c>
    </row>
    <row r="45" ht="15" customHeight="1">
      <c r="A45" t="inlineStr">
        <is>
          <t>A 12024-2023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44995</v>
      </c>
      <c r="E45" s="1" t="n">
        <v>46293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HYPERLINK("https://klasma.github.io/Logging_1904/artfynd/A 12024-2023 artfynd.xlsx", "A 12024-2023")</f>
        <v/>
      </c>
      <c r="X45">
        <f>HYPERLINK("https://klasma.github.io/Logging_1904/kartor/A 12024-2023 karta.png", "A 12024-2023")</f>
        <v/>
      </c>
      <c r="Y45">
        <f>HYPERLINK("https://klasma.github.io/Logging_1904/kartor_geotiff/A 12024-2023 georefererad karta.tif", "A 12024-2023")</f>
        <v/>
      </c>
      <c r="AA45">
        <f>HYPERLINK("https://klasma.github.io/Logging_1904/klagomål/A 12024-2023 FSC-klagomål.docx", "A 12024-2023")</f>
        <v/>
      </c>
      <c r="AB45">
        <f>HYPERLINK("https://klasma.github.io/Logging_1904/klagomålsmail/A 12024-2023 FSC-klagomål mail.docx", "A 12024-2023")</f>
        <v/>
      </c>
      <c r="AC45">
        <f>HYPERLINK("https://klasma.github.io/Logging_1904/tillsyn/A 12024-2023 tillsynsbegäran.docx", "A 12024-2023")</f>
        <v/>
      </c>
      <c r="AD45">
        <f>HYPERLINK("https://klasma.github.io/Logging_1904/tillsynsmail/A 12024-2023 tillsynsbegäran mail.docx", "A 12024-2023")</f>
        <v/>
      </c>
    </row>
    <row r="46" ht="15" customHeight="1">
      <c r="A46" t="inlineStr">
        <is>
          <t>A 26860-2026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46293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10.3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HYPERLINK("https://klasma.github.io/Logging_1904/artfynd/A 26860-2026 artfynd.xlsx", "A 26860-2026")</f>
        <v/>
      </c>
      <c r="X46">
        <f>HYPERLINK("https://klasma.github.io/Logging_1904/kartor/A 26860-2026 karta.png", "A 26860-2026")</f>
        <v/>
      </c>
      <c r="Y46">
        <f>HYPERLINK("https://klasma.github.io/Logging_1904/kartor_geotiff/A 26860-2026 georefererad karta.tif", "A 26860-2026")</f>
        <v/>
      </c>
      <c r="AA46">
        <f>HYPERLINK("https://klasma.github.io/Logging_1904/klagomål/A 26860-2026 FSC-klagomål.docx", "A 26860-2026")</f>
        <v/>
      </c>
      <c r="AB46">
        <f>HYPERLINK("https://klasma.github.io/Logging_1904/klagomålsmail/A 26860-2026 FSC-klagomål mail.docx", "A 26860-2026")</f>
        <v/>
      </c>
      <c r="AC46">
        <f>HYPERLINK("https://klasma.github.io/Logging_1904/tillsyn/A 26860-2026 tillsynsbegäran.docx", "A 26860-2026")</f>
        <v/>
      </c>
      <c r="AD46">
        <f>HYPERLINK("https://klasma.github.io/Logging_1904/tillsynsmail/A 26860-2026 tillsynsbegäran mail.docx", "A 26860-2026")</f>
        <v/>
      </c>
      <c r="AE46">
        <f>HYPERLINK("https://klasma.github.io/Logging_1904/fåglar/A 26860-2026 prioriterade fågelarter.docx", "A 26860-2026")</f>
        <v/>
      </c>
    </row>
    <row r="47" ht="15" customHeight="1">
      <c r="A47" t="inlineStr">
        <is>
          <t>A 19205-2024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46293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Järpe</t>
        </is>
      </c>
      <c r="W47">
        <f>HYPERLINK("https://klasma.github.io/Logging_1904/artfynd/A 19205-2024 artfynd.xlsx", "A 19205-2024")</f>
        <v/>
      </c>
      <c r="X47">
        <f>HYPERLINK("https://klasma.github.io/Logging_1904/kartor/A 19205-2024 karta.png", "A 19205-2024")</f>
        <v/>
      </c>
      <c r="Y47">
        <f>HYPERLINK("https://klasma.github.io/Logging_1904/kartor_geotiff/A 19205-2024 georefererad karta.tif", "A 19205-2024")</f>
        <v/>
      </c>
      <c r="AA47">
        <f>HYPERLINK("https://klasma.github.io/Logging_1904/klagomål/A 19205-2024 FSC-klagomål.docx", "A 19205-2024")</f>
        <v/>
      </c>
      <c r="AB47">
        <f>HYPERLINK("https://klasma.github.io/Logging_1904/klagomålsmail/A 19205-2024 FSC-klagomål mail.docx", "A 19205-2024")</f>
        <v/>
      </c>
      <c r="AC47">
        <f>HYPERLINK("https://klasma.github.io/Logging_1904/tillsyn/A 19205-2024 tillsynsbegäran.docx", "A 19205-2024")</f>
        <v/>
      </c>
      <c r="AD47">
        <f>HYPERLINK("https://klasma.github.io/Logging_1904/tillsynsmail/A 19205-2024 tillsynsbegäran mail.docx", "A 19205-2024")</f>
        <v/>
      </c>
      <c r="AE47">
        <f>HYPERLINK("https://klasma.github.io/Logging_1904/fåglar/A 19205-2024 prioriterade fågelarter.docx", "A 19205-2024")</f>
        <v/>
      </c>
    </row>
    <row r="48" ht="15" customHeight="1">
      <c r="A48" t="inlineStr">
        <is>
          <t>A 30579-2026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46293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HYPERLINK("https://klasma.github.io/Logging_1904/artfynd/A 30579-2026 artfynd.xlsx", "A 30579-2026")</f>
        <v/>
      </c>
      <c r="X48">
        <f>HYPERLINK("https://klasma.github.io/Logging_1904/kartor/A 30579-2026 karta.png", "A 30579-2026")</f>
        <v/>
      </c>
      <c r="Y48">
        <f>HYPERLINK("https://klasma.github.io/Logging_1904/kartor_geotiff/A 30579-2026 georefererad karta.tif", "A 30579-2026")</f>
        <v/>
      </c>
      <c r="AA48">
        <f>HYPERLINK("https://klasma.github.io/Logging_1904/klagomål/A 30579-2026 FSC-klagomål.docx", "A 30579-2026")</f>
        <v/>
      </c>
      <c r="AB48">
        <f>HYPERLINK("https://klasma.github.io/Logging_1904/klagomålsmail/A 30579-2026 FSC-klagomål mail.docx", "A 30579-2026")</f>
        <v/>
      </c>
      <c r="AC48">
        <f>HYPERLINK("https://klasma.github.io/Logging_1904/tillsyn/A 30579-2026 tillsynsbegäran.docx", "A 30579-2026")</f>
        <v/>
      </c>
      <c r="AD48">
        <f>HYPERLINK("https://klasma.github.io/Logging_1904/tillsynsmail/A 30579-2026 tillsynsbegäran mail.docx", "A 30579-2026")</f>
        <v/>
      </c>
    </row>
    <row r="49" ht="15" customHeight="1">
      <c r="A49" t="inlineStr">
        <is>
          <t>A 35371-2026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46293</v>
      </c>
      <c r="F49" t="inlineStr">
        <is>
          <t>VÄSTMANLANDS LÄN</t>
        </is>
      </c>
      <c r="G49" t="inlineStr">
        <is>
          <t>SKINNSKATTEBERG</t>
        </is>
      </c>
      <c r="I49" t="n">
        <v>1.3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HYPERLINK("https://klasma.github.io/Logging_1904/artfynd/A 35371-2026 artfynd.xlsx", "A 35371-2026")</f>
        <v/>
      </c>
      <c r="X49">
        <f>HYPERLINK("https://klasma.github.io/Logging_1904/kartor/A 35371-2026 karta.png", "A 35371-2026")</f>
        <v/>
      </c>
      <c r="Y49">
        <f>HYPERLINK("https://klasma.github.io/Logging_1904/kartor_geotiff/A 35371-2026 georefererad karta.tif", "A 35371-2026")</f>
        <v/>
      </c>
      <c r="AA49">
        <f>HYPERLINK("https://klasma.github.io/Logging_1904/klagomål/A 35371-2026 FSC-klagomål.docx", "A 35371-2026")</f>
        <v/>
      </c>
      <c r="AB49">
        <f>HYPERLINK("https://klasma.github.io/Logging_1904/klagomålsmail/A 35371-2026 FSC-klagomål mail.docx", "A 35371-2026")</f>
        <v/>
      </c>
      <c r="AC49">
        <f>HYPERLINK("https://klasma.github.io/Logging_1904/tillsyn/A 35371-2026 tillsynsbegäran.docx", "A 35371-2026")</f>
        <v/>
      </c>
      <c r="AD49">
        <f>HYPERLINK("https://klasma.github.io/Logging_1904/tillsynsmail/A 35371-2026 tillsynsbegäran mail.docx", "A 35371-2026")</f>
        <v/>
      </c>
      <c r="AE49">
        <f>HYPERLINK("https://klasma.github.io/Logging_1904/fåglar/A 35371-2026 prioriterade fågelarter.docx", "A 35371-2026")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46293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37900-2026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46279</v>
      </c>
      <c r="E51" s="1" t="n">
        <v>46293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9.199999999999999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HYPERLINK("https://klasma.github.io/Logging_1904/artfynd/A 37900-2026 artfynd.xlsx", "A 37900-2026")</f>
        <v/>
      </c>
      <c r="X51">
        <f>HYPERLINK("https://klasma.github.io/Logging_1904/kartor/A 37900-2026 karta.png", "A 37900-2026")</f>
        <v/>
      </c>
      <c r="Y51">
        <f>HYPERLINK("https://klasma.github.io/Logging_1904/kartor_geotiff/A 37900-2026 georefererad karta.tif", "A 37900-2026")</f>
        <v/>
      </c>
      <c r="AA51">
        <f>HYPERLINK("https://klasma.github.io/Logging_1904/klagomål/A 37900-2026 FSC-klagomål.docx", "A 37900-2026")</f>
        <v/>
      </c>
      <c r="AB51">
        <f>HYPERLINK("https://klasma.github.io/Logging_1904/klagomålsmail/A 37900-2026 FSC-klagomål mail.docx", "A 37900-2026")</f>
        <v/>
      </c>
      <c r="AC51">
        <f>HYPERLINK("https://klasma.github.io/Logging_1904/tillsyn/A 37900-2026 tillsynsbegäran.docx", "A 37900-2026")</f>
        <v/>
      </c>
      <c r="AD51">
        <f>HYPERLINK("https://klasma.github.io/Logging_1904/tillsynsmail/A 37900-2026 tillsynsbegäran mail.docx", "A 37900-2026")</f>
        <v/>
      </c>
      <c r="AE51">
        <f>HYPERLINK("https://klasma.github.io/Logging_1904/fåglar/A 37900-2026 prioriterade fågelarter.docx", "A 37900-2026")</f>
        <v/>
      </c>
    </row>
    <row r="52" ht="15" customHeight="1">
      <c r="A52" t="inlineStr">
        <is>
          <t>A 38734-2026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46293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6.1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HYPERLINK("https://klasma.github.io/Logging_1904/artfynd/A 38734-2026 artfynd.xlsx", "A 38734-2026")</f>
        <v/>
      </c>
      <c r="X52">
        <f>HYPERLINK("https://klasma.github.io/Logging_1904/kartor/A 38734-2026 karta.png", "A 38734-2026")</f>
        <v/>
      </c>
      <c r="Y52">
        <f>HYPERLINK("https://klasma.github.io/Logging_1904/kartor_geotiff/A 38734-2026 georefererad karta.tif", "A 38734-2026")</f>
        <v/>
      </c>
      <c r="AA52">
        <f>HYPERLINK("https://klasma.github.io/Logging_1904/klagomål/A 38734-2026 FSC-klagomål.docx", "A 38734-2026")</f>
        <v/>
      </c>
      <c r="AB52">
        <f>HYPERLINK("https://klasma.github.io/Logging_1904/klagomålsmail/A 38734-2026 FSC-klagomål mail.docx", "A 38734-2026")</f>
        <v/>
      </c>
      <c r="AC52">
        <f>HYPERLINK("https://klasma.github.io/Logging_1904/tillsyn/A 38734-2026 tillsynsbegäran.docx", "A 38734-2026")</f>
        <v/>
      </c>
      <c r="AD52">
        <f>HYPERLINK("https://klasma.github.io/Logging_1904/tillsynsmail/A 38734-2026 tillsynsbegäran mail.docx", "A 38734-2026")</f>
        <v/>
      </c>
    </row>
    <row r="53" ht="15" customHeight="1">
      <c r="A53" t="inlineStr">
        <is>
          <t>A 38733-2026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46293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HYPERLINK("https://klasma.github.io/Logging_1904/artfynd/A 38733-2026 artfynd.xlsx", "A 38733-2026")</f>
        <v/>
      </c>
      <c r="X53">
        <f>HYPERLINK("https://klasma.github.io/Logging_1904/kartor/A 38733-2026 karta.png", "A 38733-2026")</f>
        <v/>
      </c>
      <c r="Y53">
        <f>HYPERLINK("https://klasma.github.io/Logging_1904/kartor_geotiff/A 38733-2026 georefererad karta.tif", "A 38733-2026")</f>
        <v/>
      </c>
      <c r="AA53">
        <f>HYPERLINK("https://klasma.github.io/Logging_1904/klagomål/A 38733-2026 FSC-klagomål.docx", "A 38733-2026")</f>
        <v/>
      </c>
      <c r="AB53">
        <f>HYPERLINK("https://klasma.github.io/Logging_1904/klagomålsmail/A 38733-2026 FSC-klagomål mail.docx", "A 38733-2026")</f>
        <v/>
      </c>
      <c r="AC53">
        <f>HYPERLINK("https://klasma.github.io/Logging_1904/tillsyn/A 38733-2026 tillsynsbegäran.docx", "A 38733-2026")</f>
        <v/>
      </c>
      <c r="AD53">
        <f>HYPERLINK("https://klasma.github.io/Logging_1904/tillsynsmail/A 38733-2026 tillsynsbegäran mail.docx", "A 38733-2026")</f>
        <v/>
      </c>
    </row>
    <row r="54" ht="15" customHeight="1">
      <c r="A54" t="inlineStr">
        <is>
          <t>A 28312-2023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45099</v>
      </c>
      <c r="E54" s="1" t="n">
        <v>46293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Skrovlig taggsvamp</t>
        </is>
      </c>
      <c r="W54">
        <f>HYPERLINK("https://klasma.github.io/Logging_1904/artfynd/A 28312-2023 artfynd.xlsx", "A 28312-2023")</f>
        <v/>
      </c>
      <c r="X54">
        <f>HYPERLINK("https://klasma.github.io/Logging_1904/kartor/A 28312-2023 karta.png", "A 28312-2023")</f>
        <v/>
      </c>
      <c r="Y54">
        <f>HYPERLINK("https://klasma.github.io/Logging_1904/kartor_geotiff/A 28312-2023 georefererad karta.tif", "A 28312-2023")</f>
        <v/>
      </c>
      <c r="AA54">
        <f>HYPERLINK("https://klasma.github.io/Logging_1904/klagomål/A 28312-2023 FSC-klagomål.docx", "A 28312-2023")</f>
        <v/>
      </c>
      <c r="AB54">
        <f>HYPERLINK("https://klasma.github.io/Logging_1904/klagomålsmail/A 28312-2023 FSC-klagomål mail.docx", "A 28312-2023")</f>
        <v/>
      </c>
      <c r="AC54">
        <f>HYPERLINK("https://klasma.github.io/Logging_1904/tillsyn/A 28312-2023 tillsynsbegäran.docx", "A 28312-2023")</f>
        <v/>
      </c>
      <c r="AD54">
        <f>HYPERLINK("https://klasma.github.io/Logging_1904/tillsynsmail/A 28312-2023 tillsynsbegäran mail.docx", "A 28312-2023")</f>
        <v/>
      </c>
    </row>
    <row r="55" ht="15" customHeight="1">
      <c r="A55" t="inlineStr">
        <is>
          <t>A 57747-2023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45246</v>
      </c>
      <c r="E55" s="1" t="n">
        <v>46293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Myopa fasciata</t>
        </is>
      </c>
      <c r="W55">
        <f>HYPERLINK("https://klasma.github.io/Logging_1904/artfynd/A 57747-2023 artfynd.xlsx", "A 57747-2023")</f>
        <v/>
      </c>
      <c r="X55">
        <f>HYPERLINK("https://klasma.github.io/Logging_1904/kartor/A 57747-2023 karta.png", "A 57747-2023")</f>
        <v/>
      </c>
      <c r="Y55">
        <f>HYPERLINK("https://klasma.github.io/Logging_1904/kartor_geotiff/A 57747-2023 georefererad karta.tif", "A 57747-2023")</f>
        <v/>
      </c>
      <c r="AA55">
        <f>HYPERLINK("https://klasma.github.io/Logging_1904/klagomål/A 57747-2023 FSC-klagomål.docx", "A 57747-2023")</f>
        <v/>
      </c>
      <c r="AB55">
        <f>HYPERLINK("https://klasma.github.io/Logging_1904/klagomålsmail/A 57747-2023 FSC-klagomål mail.docx", "A 57747-2023")</f>
        <v/>
      </c>
      <c r="AC55">
        <f>HYPERLINK("https://klasma.github.io/Logging_1904/tillsyn/A 57747-2023 tillsynsbegäran.docx", "A 57747-2023")</f>
        <v/>
      </c>
      <c r="AD55">
        <f>HYPERLINK("https://klasma.github.io/Logging_1904/tillsynsmail/A 57747-2023 tillsynsbegäran mail.docx", "A 57747-2023")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46293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46293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46293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46293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46293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46293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44466</v>
      </c>
      <c r="E62" s="1" t="n">
        <v>46293</v>
      </c>
      <c r="F62" t="inlineStr">
        <is>
          <t>VÄSTMANLANDS LÄN</t>
        </is>
      </c>
      <c r="G62" t="inlineStr">
        <is>
          <t>SKINNSKATTEBERG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16860-2022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44674</v>
      </c>
      <c r="E63" s="1" t="n">
        <v>46293</v>
      </c>
      <c r="F63" t="inlineStr">
        <is>
          <t>VÄSTMANLANDS LÄN</t>
        </is>
      </c>
      <c r="G63" t="inlineStr">
        <is>
          <t>SKINNSKATTEBERG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44829</v>
      </c>
      <c r="E64" s="1" t="n">
        <v>46293</v>
      </c>
      <c r="F64" t="inlineStr">
        <is>
          <t>VÄSTMANLANDS LÄN</t>
        </is>
      </c>
      <c r="G64" t="inlineStr">
        <is>
          <t>SKINNSKATTEBERG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69259-2021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44531</v>
      </c>
      <c r="E65" s="1" t="n">
        <v>46293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46293</v>
      </c>
      <c r="F66" t="inlineStr">
        <is>
          <t>VÄSTMANLANDS LÄN</t>
        </is>
      </c>
      <c r="G66" t="inlineStr">
        <is>
          <t>SKINNSKATTEBERG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46293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46293</v>
      </c>
      <c r="F68" t="inlineStr">
        <is>
          <t>VÄSTMANLANDS LÄN</t>
        </is>
      </c>
      <c r="G68" t="inlineStr">
        <is>
          <t>SKINNSKATTEBERG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71996-2021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46293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46293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46293</v>
      </c>
      <c r="F71" t="inlineStr">
        <is>
          <t>VÄSTMANLANDS LÄN</t>
        </is>
      </c>
      <c r="G71" t="inlineStr">
        <is>
          <t>SKINNSKATTEBERG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66587-2021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44519</v>
      </c>
      <c r="E72" s="1" t="n">
        <v>46293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44545</v>
      </c>
      <c r="E73" s="1" t="n">
        <v>46293</v>
      </c>
      <c r="F73" t="inlineStr">
        <is>
          <t>VÄSTMANLANDS LÄN</t>
        </is>
      </c>
      <c r="G73" t="inlineStr">
        <is>
          <t>SKINNSKATTEBERG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46293</v>
      </c>
      <c r="F74" t="inlineStr">
        <is>
          <t>VÄSTMANLANDS LÄN</t>
        </is>
      </c>
      <c r="G74" t="inlineStr">
        <is>
          <t>SKINNSKATTEBERG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71999-2021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44544</v>
      </c>
      <c r="E75" s="1" t="n">
        <v>46293</v>
      </c>
      <c r="F75" t="inlineStr">
        <is>
          <t>VÄSTMANLANDS LÄN</t>
        </is>
      </c>
      <c r="G75" t="inlineStr">
        <is>
          <t>SKINNSKATTEBERG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44852</v>
      </c>
      <c r="E76" s="1" t="n">
        <v>46293</v>
      </c>
      <c r="F76" t="inlineStr">
        <is>
          <t>VÄSTMANLANDS LÄN</t>
        </is>
      </c>
      <c r="G76" t="inlineStr">
        <is>
          <t>SKINNSKATTEBERG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46293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46293</v>
      </c>
      <c r="F78" t="inlineStr">
        <is>
          <t>VÄSTMANLANDS LÄN</t>
        </is>
      </c>
      <c r="G78" t="inlineStr">
        <is>
          <t>SKINNSKATTEBERG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46293</v>
      </c>
      <c r="F79" t="inlineStr">
        <is>
          <t>VÄSTMANLANDS LÄN</t>
        </is>
      </c>
      <c r="G79" t="inlineStr">
        <is>
          <t>SKINNSKATTEBERG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46293</v>
      </c>
      <c r="F80" t="inlineStr">
        <is>
          <t>VÄSTMANLANDS LÄN</t>
        </is>
      </c>
      <c r="G80" t="inlineStr">
        <is>
          <t>SKINNSKATTEBERG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45512</v>
      </c>
      <c r="E81" s="1" t="n">
        <v>46293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45082</v>
      </c>
      <c r="E82" s="1" t="n">
        <v>46293</v>
      </c>
      <c r="F82" t="inlineStr">
        <is>
          <t>VÄSTMANLANDS LÄN</t>
        </is>
      </c>
      <c r="G82" t="inlineStr">
        <is>
          <t>SKINNSKATTEBERG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20248-2024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45434</v>
      </c>
      <c r="E83" s="1" t="n">
        <v>46293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46293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Kyrkan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46293</v>
      </c>
      <c r="F85" t="inlineStr">
        <is>
          <t>VÄSTMANLANDS LÄN</t>
        </is>
      </c>
      <c r="G85" t="inlineStr">
        <is>
          <t>SKINNSKATTEBERG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46293</v>
      </c>
      <c r="F86" t="inlineStr">
        <is>
          <t>VÄSTMANLANDS LÄN</t>
        </is>
      </c>
      <c r="G86" t="inlineStr">
        <is>
          <t>SKINNSKATTEBERG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37210-2022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46293</v>
      </c>
      <c r="F87" t="inlineStr">
        <is>
          <t>VÄSTMANLANDS LÄN</t>
        </is>
      </c>
      <c r="G87" t="inlineStr">
        <is>
          <t>SKINNSKATTEBERG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45447</v>
      </c>
      <c r="E88" s="1" t="n">
        <v>46293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45410</v>
      </c>
      <c r="E89" s="1" t="n">
        <v>46293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22285-2025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45786</v>
      </c>
      <c r="E90" s="1" t="n">
        <v>46293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46293</v>
      </c>
      <c r="F91" t="inlineStr">
        <is>
          <t>VÄSTMANLANDS LÄN</t>
        </is>
      </c>
      <c r="G91" t="inlineStr">
        <is>
          <t>SKINNSKATTEBERG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27653-2023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46293</v>
      </c>
      <c r="F92" t="inlineStr">
        <is>
          <t>VÄSTMANLANDS LÄN</t>
        </is>
      </c>
      <c r="G92" t="inlineStr">
        <is>
          <t>SKINNSKATTEBERG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46293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45247</v>
      </c>
      <c r="E94" s="1" t="n">
        <v>46293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45476</v>
      </c>
      <c r="E95" s="1" t="n">
        <v>46293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45527</v>
      </c>
      <c r="E96" s="1" t="n">
        <v>46293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46293</v>
      </c>
      <c r="F97" t="inlineStr">
        <is>
          <t>VÄSTMANLANDS LÄN</t>
        </is>
      </c>
      <c r="G97" t="inlineStr">
        <is>
          <t>SKINNSKATTEBERG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45574</v>
      </c>
      <c r="E98" s="1" t="n">
        <v>46293</v>
      </c>
      <c r="F98" t="inlineStr">
        <is>
          <t>VÄSTMANLANDS LÄN</t>
        </is>
      </c>
      <c r="G98" t="inlineStr">
        <is>
          <t>SKINNSKATTEBERG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46037</v>
      </c>
      <c r="E99" s="1" t="n">
        <v>46293</v>
      </c>
      <c r="F99" t="inlineStr">
        <is>
          <t>VÄSTMANLANDS LÄN</t>
        </is>
      </c>
      <c r="G99" t="inlineStr">
        <is>
          <t>SKINNSKATTEBERG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55428-2021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44475</v>
      </c>
      <c r="E100" s="1" t="n">
        <v>46293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46293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46293</v>
      </c>
      <c r="F102" t="inlineStr">
        <is>
          <t>VÄSTMANLANDS LÄN</t>
        </is>
      </c>
      <c r="G102" t="inlineStr">
        <is>
          <t>SKINNSKATTEBERG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46293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40783-2025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45897</v>
      </c>
      <c r="E104" s="1" t="n">
        <v>46293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46293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46293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46293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40776-2025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46293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45054</v>
      </c>
      <c r="E109" s="1" t="n">
        <v>46293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5704-2026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46051</v>
      </c>
      <c r="E110" s="1" t="n">
        <v>46293</v>
      </c>
      <c r="F110" t="inlineStr">
        <is>
          <t>VÄSTMANLANDS LÄN</t>
        </is>
      </c>
      <c r="G110" t="inlineStr">
        <is>
          <t>SKINNSKATTEBERG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5693-2026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46051</v>
      </c>
      <c r="E111" s="1" t="n">
        <v>46293</v>
      </c>
      <c r="F111" t="inlineStr">
        <is>
          <t>VÄSTMANLANDS LÄN</t>
        </is>
      </c>
      <c r="G111" t="inlineStr">
        <is>
          <t>SKINNSKATTEBERG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5675-2026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46051</v>
      </c>
      <c r="E112" s="1" t="n">
        <v>46293</v>
      </c>
      <c r="F112" t="inlineStr">
        <is>
          <t>VÄSTMANLANDS LÄN</t>
        </is>
      </c>
      <c r="G112" t="inlineStr">
        <is>
          <t>SKINNSKATTEBERG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46293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46293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16088-2024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45406</v>
      </c>
      <c r="E115" s="1" t="n">
        <v>46293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46293</v>
      </c>
      <c r="F116" t="inlineStr">
        <is>
          <t>VÄSTMANLANDS LÄN</t>
        </is>
      </c>
      <c r="G116" t="inlineStr">
        <is>
          <t>SKINNSKATTEBERG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46293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45554</v>
      </c>
      <c r="E118" s="1" t="n">
        <v>46293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46293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46293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44184-2025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45915</v>
      </c>
      <c r="E121" s="1" t="n">
        <v>46293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46293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41581-2025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46293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46293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46293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45504</v>
      </c>
      <c r="E126" s="1" t="n">
        <v>46293</v>
      </c>
      <c r="F126" t="inlineStr">
        <is>
          <t>VÄSTMANLANDS LÄN</t>
        </is>
      </c>
      <c r="G126" t="inlineStr">
        <is>
          <t>SKINNSKATTEBERG</t>
        </is>
      </c>
      <c r="I126" t="n">
        <v>17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45555</v>
      </c>
      <c r="E127" s="1" t="n">
        <v>46293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25846-2025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45804</v>
      </c>
      <c r="E128" s="1" t="n">
        <v>46293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46293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46293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46293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46293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46293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46293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45252</v>
      </c>
      <c r="E135" s="1" t="n">
        <v>46293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46293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46293</v>
      </c>
      <c r="F137" t="inlineStr">
        <is>
          <t>VÄSTMANLANDS LÄN</t>
        </is>
      </c>
      <c r="G137" t="inlineStr">
        <is>
          <t>SKINNSKATTEBERG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46293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45947</v>
      </c>
      <c r="E139" s="1" t="n">
        <v>46293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46293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46293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51026-2025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45947</v>
      </c>
      <c r="E142" s="1" t="n">
        <v>46293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15094-2026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46293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46293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46107</v>
      </c>
      <c r="E145" s="1" t="n">
        <v>46293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46293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46107</v>
      </c>
      <c r="E147" s="1" t="n">
        <v>46293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46293</v>
      </c>
      <c r="F148" t="inlineStr">
        <is>
          <t>VÄSTMANLANDS LÄN</t>
        </is>
      </c>
      <c r="G148" t="inlineStr">
        <is>
          <t>SKINNSKATTEBERG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16136-2026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46108</v>
      </c>
      <c r="E149" s="1" t="n">
        <v>46293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15955-2026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46108</v>
      </c>
      <c r="E150" s="1" t="n">
        <v>46293</v>
      </c>
      <c r="F150" t="inlineStr">
        <is>
          <t>VÄSTMANLANDS LÄN</t>
        </is>
      </c>
      <c r="G150" t="inlineStr">
        <is>
          <t>SKINNSKATTEBERG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46293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46293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46293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46293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17098-2026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46114</v>
      </c>
      <c r="E155" s="1" t="n">
        <v>46293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46293</v>
      </c>
      <c r="F156" t="inlineStr">
        <is>
          <t>VÄSTMANLANDS LÄN</t>
        </is>
      </c>
      <c r="G156" t="inlineStr">
        <is>
          <t>SKINNSKATTEBERG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46293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15184-2025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45744</v>
      </c>
      <c r="E158" s="1" t="n">
        <v>46293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46293</v>
      </c>
      <c r="F159" t="inlineStr">
        <is>
          <t>VÄSTMANLANDS LÄN</t>
        </is>
      </c>
      <c r="G159" t="inlineStr">
        <is>
          <t>SKINNSKATTEBERG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46293</v>
      </c>
      <c r="F160" t="inlineStr">
        <is>
          <t>VÄSTMANLANDS LÄN</t>
        </is>
      </c>
      <c r="G160" t="inlineStr">
        <is>
          <t>SKINNSKATTEBERG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17933-2026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46293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46293</v>
      </c>
      <c r="F162" t="inlineStr">
        <is>
          <t>VÄSTMANLANDS LÄN</t>
        </is>
      </c>
      <c r="G162" t="inlineStr">
        <is>
          <t>SKINNSKATTEBERG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45604</v>
      </c>
      <c r="E163" s="1" t="n">
        <v>46293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46293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46293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46293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45480</v>
      </c>
      <c r="E167" s="1" t="n">
        <v>46293</v>
      </c>
      <c r="F167" t="inlineStr">
        <is>
          <t>VÄSTMANLANDS LÄN</t>
        </is>
      </c>
      <c r="G167" t="inlineStr">
        <is>
          <t>SKINNSKATTEBERG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46293</v>
      </c>
      <c r="F168" t="inlineStr">
        <is>
          <t>VÄSTMANLANDS LÄN</t>
        </is>
      </c>
      <c r="G168" t="inlineStr">
        <is>
          <t>SKINNSKATTEBERG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46293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46293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46293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56465-2025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45975</v>
      </c>
      <c r="E172" s="1" t="n">
        <v>46293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46293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46293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46293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45610</v>
      </c>
      <c r="E176" s="1" t="n">
        <v>46293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46293</v>
      </c>
      <c r="F177" t="inlineStr">
        <is>
          <t>VÄSTMANLANDS LÄN</t>
        </is>
      </c>
      <c r="G177" t="inlineStr">
        <is>
          <t>SKINNSKATTEBERG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19582-2026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46134</v>
      </c>
      <c r="E178" s="1" t="n">
        <v>46293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19541-2026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46134</v>
      </c>
      <c r="E179" s="1" t="n">
        <v>46293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19540-2026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46134</v>
      </c>
      <c r="E180" s="1" t="n">
        <v>46293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45537</v>
      </c>
      <c r="E181" s="1" t="n">
        <v>46293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42093-2023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45177</v>
      </c>
      <c r="E182" s="1" t="n">
        <v>46293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46293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45987</v>
      </c>
      <c r="E184" s="1" t="n">
        <v>46293</v>
      </c>
      <c r="F184" t="inlineStr">
        <is>
          <t>VÄSTMANLANDS LÄN</t>
        </is>
      </c>
      <c r="G184" t="inlineStr">
        <is>
          <t>SKINNSKATTEBERG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46293</v>
      </c>
      <c r="F185" t="inlineStr">
        <is>
          <t>VÄSTMANLANDS LÄN</t>
        </is>
      </c>
      <c r="G185" t="inlineStr">
        <is>
          <t>SKINNSKATTEBERG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44728</v>
      </c>
      <c r="E186" s="1" t="n">
        <v>46293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44768</v>
      </c>
      <c r="E187" s="1" t="n">
        <v>46293</v>
      </c>
      <c r="F187" t="inlineStr">
        <is>
          <t>VÄSTMANLANDS LÄN</t>
        </is>
      </c>
      <c r="G187" t="inlineStr">
        <is>
          <t>SKINNSKATTEBERG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46293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46293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46293</v>
      </c>
      <c r="F190" t="inlineStr">
        <is>
          <t>VÄSTMANLANDS LÄN</t>
        </is>
      </c>
      <c r="G190" t="inlineStr">
        <is>
          <t>SKINNSKATTEBERG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46293</v>
      </c>
      <c r="F191" t="inlineStr">
        <is>
          <t>VÄSTMANLANDS LÄN</t>
        </is>
      </c>
      <c r="G191" t="inlineStr">
        <is>
          <t>SKINNSKATTEBERG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46293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20563-2026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46140</v>
      </c>
      <c r="E193" s="1" t="n">
        <v>46293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46003</v>
      </c>
      <c r="E194" s="1" t="n">
        <v>46293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46293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45447</v>
      </c>
      <c r="E196" s="1" t="n">
        <v>46293</v>
      </c>
      <c r="F196" t="inlineStr">
        <is>
          <t>VÄSTMANLANDS LÄN</t>
        </is>
      </c>
      <c r="G196" t="inlineStr">
        <is>
          <t>SKINNSKATTEBERG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28873-2025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45820</v>
      </c>
      <c r="E197" s="1" t="n">
        <v>46293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44648</v>
      </c>
      <c r="E198" s="1" t="n">
        <v>46293</v>
      </c>
      <c r="F198" t="inlineStr">
        <is>
          <t>VÄSTMANLANDS LÄN</t>
        </is>
      </c>
      <c r="G198" t="inlineStr">
        <is>
          <t>SKINNSKATTEBERG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46293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28831-2025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45820</v>
      </c>
      <c r="E200" s="1" t="n">
        <v>46293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46293</v>
      </c>
      <c r="F201" t="inlineStr">
        <is>
          <t>VÄSTMANLANDS LÄN</t>
        </is>
      </c>
      <c r="G201" t="inlineStr">
        <is>
          <t>SKINNSKATTEBERG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46293</v>
      </c>
      <c r="F202" t="inlineStr">
        <is>
          <t>VÄSTMANLANDS LÄN</t>
        </is>
      </c>
      <c r="G202" t="inlineStr">
        <is>
          <t>SKINNSKATTEBERG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45485</v>
      </c>
      <c r="E203" s="1" t="n">
        <v>46293</v>
      </c>
      <c r="F203" t="inlineStr">
        <is>
          <t>VÄSTMANLANDS LÄN</t>
        </is>
      </c>
      <c r="G203" t="inlineStr">
        <is>
          <t>SKINNSKATTEBERG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46293</v>
      </c>
      <c r="F204" t="inlineStr">
        <is>
          <t>VÄSTMANLANDS LÄN</t>
        </is>
      </c>
      <c r="G204" t="inlineStr">
        <is>
          <t>SKINNSKATTEBERG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45686</v>
      </c>
      <c r="E205" s="1" t="n">
        <v>46293</v>
      </c>
      <c r="F205" t="inlineStr">
        <is>
          <t>VÄSTMANLANDS LÄN</t>
        </is>
      </c>
      <c r="G205" t="inlineStr">
        <is>
          <t>SKINNSKATTEBERG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29808-2025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45825</v>
      </c>
      <c r="E206" s="1" t="n">
        <v>46293</v>
      </c>
      <c r="F206" t="inlineStr">
        <is>
          <t>VÄSTMANLANDS LÄN</t>
        </is>
      </c>
      <c r="G206" t="inlineStr">
        <is>
          <t>SKINNSKATTEBERG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29810-2025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45825</v>
      </c>
      <c r="E207" s="1" t="n">
        <v>46293</v>
      </c>
      <c r="F207" t="inlineStr">
        <is>
          <t>VÄSTMANLANDS LÄN</t>
        </is>
      </c>
      <c r="G207" t="inlineStr">
        <is>
          <t>SKINNSKATTEBERG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46293</v>
      </c>
      <c r="F208" t="inlineStr">
        <is>
          <t>VÄSTMANLANDS LÄN</t>
        </is>
      </c>
      <c r="G208" t="inlineStr">
        <is>
          <t>SKINNSKATTEBERG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46293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46293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30439-2025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45827</v>
      </c>
      <c r="E211" s="1" t="n">
        <v>46293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46293</v>
      </c>
      <c r="F212" t="inlineStr">
        <is>
          <t>VÄSTMANLANDS LÄN</t>
        </is>
      </c>
      <c r="G212" t="inlineStr">
        <is>
          <t>SKINNSKATTEBERG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45586</v>
      </c>
      <c r="E213" s="1" t="n">
        <v>46293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46293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46142</v>
      </c>
      <c r="E215" s="1" t="n">
        <v>46293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46142</v>
      </c>
      <c r="E216" s="1" t="n">
        <v>46293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20854-2026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46142</v>
      </c>
      <c r="E217" s="1" t="n">
        <v>46293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20856-2026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46142</v>
      </c>
      <c r="E218" s="1" t="n">
        <v>46293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46142</v>
      </c>
      <c r="E219" s="1" t="n">
        <v>46293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53183-2021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44468</v>
      </c>
      <c r="E220" s="1" t="n">
        <v>46293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46150</v>
      </c>
      <c r="E221" s="1" t="n">
        <v>46293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46150</v>
      </c>
      <c r="E222" s="1" t="n">
        <v>46293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46293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46293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52600-2021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44466</v>
      </c>
      <c r="E225" s="1" t="n">
        <v>46293</v>
      </c>
      <c r="F225" t="inlineStr">
        <is>
          <t>VÄSTMANLANDS LÄN</t>
        </is>
      </c>
      <c r="G225" t="inlineStr">
        <is>
          <t>SKINNSKATTEBERG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45406</v>
      </c>
      <c r="E226" s="1" t="n">
        <v>46293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31234-2025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45832</v>
      </c>
      <c r="E227" s="1" t="n">
        <v>46293</v>
      </c>
      <c r="F227" t="inlineStr">
        <is>
          <t>VÄSTMANLANDS LÄN</t>
        </is>
      </c>
      <c r="G227" t="inlineStr">
        <is>
          <t>SKINNSKATTEBERG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45264</v>
      </c>
      <c r="E228" s="1" t="n">
        <v>46293</v>
      </c>
      <c r="F228" t="inlineStr">
        <is>
          <t>VÄSTMANLANDS LÄN</t>
        </is>
      </c>
      <c r="G228" t="inlineStr">
        <is>
          <t>SKINNSKATTEBERG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46293</v>
      </c>
      <c r="F229" t="inlineStr">
        <is>
          <t>VÄSTMANLANDS LÄN</t>
        </is>
      </c>
      <c r="G229" t="inlineStr">
        <is>
          <t>SKINNSKATTEBERG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46293</v>
      </c>
      <c r="F230" t="inlineStr">
        <is>
          <t>VÄSTMANLANDS LÄN</t>
        </is>
      </c>
      <c r="G230" t="inlineStr">
        <is>
          <t>SKINNSKATTEBERG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22779-2026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46157</v>
      </c>
      <c r="E231" s="1" t="n">
        <v>46293</v>
      </c>
      <c r="F231" t="inlineStr">
        <is>
          <t>VÄSTMANLANDS LÄN</t>
        </is>
      </c>
      <c r="G231" t="inlineStr">
        <is>
          <t>SKINNSKATTEBERG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44903</v>
      </c>
      <c r="E232" s="1" t="n">
        <v>46293</v>
      </c>
      <c r="F232" t="inlineStr">
        <is>
          <t>VÄSTMANLANDS LÄN</t>
        </is>
      </c>
      <c r="G232" t="inlineStr">
        <is>
          <t>SKINNSKATTEBERG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45555</v>
      </c>
      <c r="E233" s="1" t="n">
        <v>46293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45128</v>
      </c>
      <c r="E234" s="1" t="n">
        <v>46293</v>
      </c>
      <c r="F234" t="inlineStr">
        <is>
          <t>VÄSTMANLANDS LÄN</t>
        </is>
      </c>
      <c r="G234" t="inlineStr">
        <is>
          <t>SKINNSKATTEBERG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46293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46163</v>
      </c>
      <c r="E236" s="1" t="n">
        <v>46293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46293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46293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46293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45848</v>
      </c>
      <c r="E240" s="1" t="n">
        <v>46293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40174-2024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45554</v>
      </c>
      <c r="E241" s="1" t="n">
        <v>46293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45853</v>
      </c>
      <c r="E242" s="1" t="n">
        <v>46293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35205-2025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45853</v>
      </c>
      <c r="E243" s="1" t="n">
        <v>46293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11800-2024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45375</v>
      </c>
      <c r="E244" s="1" t="n">
        <v>46293</v>
      </c>
      <c r="F244" t="inlineStr">
        <is>
          <t>VÄSTMANLANDS LÄN</t>
        </is>
      </c>
      <c r="G244" t="inlineStr">
        <is>
          <t>SKINNSKATTEBERG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44965</v>
      </c>
      <c r="E245" s="1" t="n">
        <v>46293</v>
      </c>
      <c r="F245" t="inlineStr">
        <is>
          <t>VÄSTMANLANDS LÄN</t>
        </is>
      </c>
      <c r="G245" t="inlineStr">
        <is>
          <t>SKINNSKATTEBERG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45568</v>
      </c>
      <c r="E246" s="1" t="n">
        <v>46293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46293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46293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46293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46293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44936</v>
      </c>
      <c r="E251" s="1" t="n">
        <v>46293</v>
      </c>
      <c r="F251" t="inlineStr">
        <is>
          <t>VÄSTMANLANDS LÄN</t>
        </is>
      </c>
      <c r="G251" t="inlineStr">
        <is>
          <t>SKINNSKATTEBERG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46293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45527</v>
      </c>
      <c r="E253" s="1" t="n">
        <v>46293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45434</v>
      </c>
      <c r="E254" s="1" t="n">
        <v>46293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46293</v>
      </c>
      <c r="F255" t="inlineStr">
        <is>
          <t>VÄSTMANLANDS LÄN</t>
        </is>
      </c>
      <c r="G255" t="inlineStr">
        <is>
          <t>SKINNSKATTEBERG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46293</v>
      </c>
      <c r="F256" t="inlineStr">
        <is>
          <t>VÄSTMANLANDS LÄN</t>
        </is>
      </c>
      <c r="G256" t="inlineStr">
        <is>
          <t>SKINNSKATTEBERG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46293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7.5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25753-2026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46293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46293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45429</v>
      </c>
      <c r="E260" s="1" t="n">
        <v>46293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26356-2026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46182</v>
      </c>
      <c r="E261" s="1" t="n">
        <v>46293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46182</v>
      </c>
      <c r="E262" s="1" t="n">
        <v>46293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66584-2021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44519</v>
      </c>
      <c r="E263" s="1" t="n">
        <v>46293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46293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46293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46293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11992-2023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44995</v>
      </c>
      <c r="E267" s="1" t="n">
        <v>46293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45180</v>
      </c>
      <c r="E268" s="1" t="n">
        <v>46293</v>
      </c>
      <c r="F268" t="inlineStr">
        <is>
          <t>VÄSTMANLANDS LÄN</t>
        </is>
      </c>
      <c r="G268" t="inlineStr">
        <is>
          <t>SKINNSKATTEBERG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15540-2024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45401</v>
      </c>
      <c r="E269" s="1" t="n">
        <v>46293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18161-2024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45420</v>
      </c>
      <c r="E270" s="1" t="n">
        <v>46293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46293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46293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46293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46293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14719-2023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45014</v>
      </c>
      <c r="E275" s="1" t="n">
        <v>46293</v>
      </c>
      <c r="F275" t="inlineStr">
        <is>
          <t>VÄSTMANLANDS LÄN</t>
        </is>
      </c>
      <c r="G275" t="inlineStr">
        <is>
          <t>SKINNSKATTEBERG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14736-2023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45014</v>
      </c>
      <c r="E276" s="1" t="n">
        <v>46293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46293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45643</v>
      </c>
      <c r="E278" s="1" t="n">
        <v>46293</v>
      </c>
      <c r="F278" t="inlineStr">
        <is>
          <t>VÄSTMANLANDS LÄN</t>
        </is>
      </c>
      <c r="G278" t="inlineStr">
        <is>
          <t>SKINNSKATTEBERG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46195</v>
      </c>
      <c r="E279" s="1" t="n">
        <v>46293</v>
      </c>
      <c r="F279" t="inlineStr">
        <is>
          <t>VÄSTMANLANDS LÄN</t>
        </is>
      </c>
      <c r="G279" t="inlineStr">
        <is>
          <t>SKINNSKATTEBERG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46197</v>
      </c>
      <c r="E280" s="1" t="n">
        <v>46293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28458-2026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46197</v>
      </c>
      <c r="E281" s="1" t="n">
        <v>46293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46293</v>
      </c>
      <c r="F282" t="inlineStr">
        <is>
          <t>VÄSTMANLANDS LÄN</t>
        </is>
      </c>
      <c r="G282" t="inlineStr">
        <is>
          <t>SKINNSKATTEBERG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45686</v>
      </c>
      <c r="E283" s="1" t="n">
        <v>46293</v>
      </c>
      <c r="F283" t="inlineStr">
        <is>
          <t>VÄSTMANLANDS LÄN</t>
        </is>
      </c>
      <c r="G283" t="inlineStr">
        <is>
          <t>SKINNSKATTEBERG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46197</v>
      </c>
      <c r="E284" s="1" t="n">
        <v>46293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45393</v>
      </c>
      <c r="E285" s="1" t="n">
        <v>46293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29091-2026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46200</v>
      </c>
      <c r="E286" s="1" t="n">
        <v>46293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46293</v>
      </c>
      <c r="F287" t="inlineStr">
        <is>
          <t>VÄSTMANLANDS LÄN</t>
        </is>
      </c>
      <c r="G287" t="inlineStr">
        <is>
          <t>SKINNSKATTEBERG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46293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46200</v>
      </c>
      <c r="E289" s="1" t="n">
        <v>46293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46293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46293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46293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31268-2023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46293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45770</v>
      </c>
      <c r="E294" s="1" t="n">
        <v>46293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46293</v>
      </c>
      <c r="F295" t="inlineStr">
        <is>
          <t>VÄSTMANLANDS LÄN</t>
        </is>
      </c>
      <c r="G295" t="inlineStr">
        <is>
          <t>SKINNSKATTEBERG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46293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46293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46293</v>
      </c>
      <c r="F298" t="inlineStr">
        <is>
          <t>VÄSTMANLANDS LÄN</t>
        </is>
      </c>
      <c r="G298" t="inlineStr">
        <is>
          <t>SKINNSKATTEBERG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45245</v>
      </c>
      <c r="E299" s="1" t="n">
        <v>46293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46260</v>
      </c>
      <c r="E300" s="1" t="n">
        <v>46293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24793-2022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44728</v>
      </c>
      <c r="E301" s="1" t="n">
        <v>46293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35168-2026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46260</v>
      </c>
      <c r="E302" s="1" t="n">
        <v>46293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46262</v>
      </c>
      <c r="E303" s="1" t="n">
        <v>46293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46262</v>
      </c>
      <c r="E304" s="1" t="n">
        <v>46293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35582-2026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46262</v>
      </c>
      <c r="E305" s="1" t="n">
        <v>46293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46262</v>
      </c>
      <c r="E306" s="1" t="n">
        <v>46293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46293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45096</v>
      </c>
      <c r="E308" s="1" t="n">
        <v>46293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46293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45169</v>
      </c>
      <c r="E310" s="1" t="n">
        <v>46293</v>
      </c>
      <c r="F310" t="inlineStr">
        <is>
          <t>VÄSTMANLANDS LÄN</t>
        </is>
      </c>
      <c r="G310" t="inlineStr">
        <is>
          <t>SKINNSKATTEBERG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45420</v>
      </c>
      <c r="E311" s="1" t="n">
        <v>46293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45407</v>
      </c>
      <c r="E312" s="1" t="n">
        <v>46293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35746-2026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46265</v>
      </c>
      <c r="E313" s="1" t="n">
        <v>46293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45170</v>
      </c>
      <c r="E314" s="1" t="n">
        <v>46293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46293</v>
      </c>
      <c r="F315" t="inlineStr">
        <is>
          <t>VÄSTMANLANDS LÄN</t>
        </is>
      </c>
      <c r="G315" t="inlineStr">
        <is>
          <t>SKINNSKATTEBERG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46293</v>
      </c>
      <c r="F316" t="inlineStr">
        <is>
          <t>VÄSTMANLANDS LÄN</t>
        </is>
      </c>
      <c r="G316" t="inlineStr">
        <is>
          <t>SKINNSKATTEBERG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46293</v>
      </c>
      <c r="F317" t="inlineStr">
        <is>
          <t>VÄSTMANLANDS LÄN</t>
        </is>
      </c>
      <c r="G317" t="inlineStr">
        <is>
          <t>SKINNSKATTEBERG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46293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46293</v>
      </c>
      <c r="F319" t="inlineStr">
        <is>
          <t>VÄSTMANLANDS LÄN</t>
        </is>
      </c>
      <c r="G319" t="inlineStr">
        <is>
          <t>SKINNSKATTEBERG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46293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Kyrkan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46274</v>
      </c>
      <c r="E321" s="1" t="n">
        <v>46293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29026-2026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46199</v>
      </c>
      <c r="E322" s="1" t="n">
        <v>46293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61181-2021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44498</v>
      </c>
      <c r="E323" s="1" t="n">
        <v>46293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45532</v>
      </c>
      <c r="E324" s="1" t="n">
        <v>46293</v>
      </c>
      <c r="F324" t="inlineStr">
        <is>
          <t>VÄSTMANLANDS LÄN</t>
        </is>
      </c>
      <c r="G324" t="inlineStr">
        <is>
          <t>SKINNSKATTEBERG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46293</v>
      </c>
      <c r="F325" t="inlineStr">
        <is>
          <t>VÄSTMANLANDS LÄN</t>
        </is>
      </c>
      <c r="G325" t="inlineStr">
        <is>
          <t>SKINNSKATTEBERG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45063</v>
      </c>
      <c r="E326" s="1" t="n">
        <v>46293</v>
      </c>
      <c r="F326" t="inlineStr">
        <is>
          <t>VÄSTMANLANDS LÄN</t>
        </is>
      </c>
      <c r="G326" t="inlineStr">
        <is>
          <t>SKINNSKATTEBERG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45063</v>
      </c>
      <c r="E327" s="1" t="n">
        <v>46293</v>
      </c>
      <c r="F327" t="inlineStr">
        <is>
          <t>VÄSTMANLANDS LÄN</t>
        </is>
      </c>
      <c r="G327" t="inlineStr">
        <is>
          <t>SKINNSKATTEBERG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46237</v>
      </c>
      <c r="E328" s="1" t="n">
        <v>46293</v>
      </c>
      <c r="F328" t="inlineStr">
        <is>
          <t>VÄSTMANLANDS LÄN</t>
        </is>
      </c>
      <c r="G328" t="inlineStr">
        <is>
          <t>SKINNSKATTEBERG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32205-2026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46237</v>
      </c>
      <c r="E329" s="1" t="n">
        <v>46293</v>
      </c>
      <c r="F329" t="inlineStr">
        <is>
          <t>VÄSTMANLANDS LÄN</t>
        </is>
      </c>
      <c r="G329" t="inlineStr">
        <is>
          <t>SKINNSKATTEBERG</t>
        </is>
      </c>
      <c r="I329" t="n">
        <v>12.2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46279</v>
      </c>
      <c r="E330" s="1" t="n">
        <v>46293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46293</v>
      </c>
      <c r="F331" t="inlineStr">
        <is>
          <t>VÄSTMANLANDS LÄN</t>
        </is>
      </c>
      <c r="G331" t="inlineStr">
        <is>
          <t>SKINNSKATTEBERG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46282</v>
      </c>
      <c r="E332" s="1" t="n">
        <v>46293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46262</v>
      </c>
      <c r="E333" s="1" t="n">
        <v>46293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48825-2022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44859</v>
      </c>
      <c r="E334" s="1" t="n">
        <v>46293</v>
      </c>
      <c r="F334" t="inlineStr">
        <is>
          <t>VÄSTMANLANDS LÄN</t>
        </is>
      </c>
      <c r="G334" t="inlineStr">
        <is>
          <t>SKINNSKATTEBERG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46293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53142-2021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44468</v>
      </c>
      <c r="E336" s="1" t="n">
        <v>46293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53145-2021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44468</v>
      </c>
      <c r="E337" s="1" t="n">
        <v>46293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46285</v>
      </c>
      <c r="E338" s="1" t="n">
        <v>46293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18109-2023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45040</v>
      </c>
      <c r="E339" s="1" t="n">
        <v>46293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11826-2024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45376</v>
      </c>
      <c r="E340" s="1" t="n">
        <v>46293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20816-2023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45058</v>
      </c>
      <c r="E341" s="1" t="n">
        <v>46293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46293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46293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46293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45048</v>
      </c>
      <c r="E345" s="1" t="n">
        <v>46293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46293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46293</v>
      </c>
      <c r="F347" t="inlineStr">
        <is>
          <t>VÄSTMANLANDS LÄN</t>
        </is>
      </c>
      <c r="G347" t="inlineStr">
        <is>
          <t>SKINNSKATTEBERG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46247</v>
      </c>
      <c r="E348" s="1" t="n">
        <v>46293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46293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46289</v>
      </c>
      <c r="E350" s="1" t="n">
        <v>46293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33553-2026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46248</v>
      </c>
      <c r="E351" s="1" t="n">
        <v>46293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39863-2026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46290</v>
      </c>
      <c r="E352" s="1" t="n">
        <v>46293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46293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7103-2022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44603</v>
      </c>
      <c r="E354" s="1" t="n">
        <v>46293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Kyrkan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45425</v>
      </c>
      <c r="E355" s="1" t="n">
        <v>46293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46293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46293</v>
      </c>
      <c r="F357" t="inlineStr">
        <is>
          <t>VÄSTMANLANDS LÄN</t>
        </is>
      </c>
      <c r="G357" t="inlineStr">
        <is>
          <t>SKINNSKATTEBERG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45252</v>
      </c>
      <c r="E358" s="1" t="n">
        <v>46293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45387</v>
      </c>
      <c r="E359" s="1" t="n">
        <v>46293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45114</v>
      </c>
      <c r="E360" s="1" t="n">
        <v>46293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44964</v>
      </c>
      <c r="E361" s="1" t="n">
        <v>46293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13713-2024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45390</v>
      </c>
      <c r="E362" s="1" t="n">
        <v>46293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53880-2021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44469</v>
      </c>
      <c r="E363" s="1" t="n">
        <v>46293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25843-2023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45090</v>
      </c>
      <c r="E364" s="1" t="n">
        <v>46293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45762</v>
      </c>
      <c r="E365" s="1" t="n">
        <v>46293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46293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45637</v>
      </c>
      <c r="E367" s="1" t="n">
        <v>46293</v>
      </c>
      <c r="F367" t="inlineStr">
        <is>
          <t>VÄSTMANLANDS LÄN</t>
        </is>
      </c>
      <c r="G367" t="inlineStr">
        <is>
          <t>SKINNSKATTEBERG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46293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Allmännings- och besparingsskogar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45056</v>
      </c>
      <c r="E369" s="1" t="n">
        <v>46293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45520</v>
      </c>
      <c r="E370" s="1" t="n">
        <v>46293</v>
      </c>
      <c r="F370" t="inlineStr">
        <is>
          <t>VÄSTMANLANDS LÄN</t>
        </is>
      </c>
      <c r="G370" t="inlineStr">
        <is>
          <t>SKINNSKATTEBERG</t>
        </is>
      </c>
      <c r="I370" t="n">
        <v>9.1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54657-2022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44883</v>
      </c>
      <c r="E371" s="1" t="n">
        <v>46293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36288-2022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46293</v>
      </c>
      <c r="F372" t="inlineStr">
        <is>
          <t>VÄSTMANLANDS LÄN</t>
        </is>
      </c>
      <c r="G372" t="inlineStr">
        <is>
          <t>SKINNSKATTEBERG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60185-2022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44910</v>
      </c>
      <c r="E373" s="1" t="n">
        <v>46293</v>
      </c>
      <c r="F373" t="inlineStr">
        <is>
          <t>VÄSTMANLANDS LÄN</t>
        </is>
      </c>
      <c r="G373" t="inlineStr">
        <is>
          <t>SKINNSKATTEBERG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45134</v>
      </c>
      <c r="E374" s="1" t="n">
        <v>46293</v>
      </c>
      <c r="F374" t="inlineStr">
        <is>
          <t>VÄSTMANLANDS LÄN</t>
        </is>
      </c>
      <c r="G374" t="inlineStr">
        <is>
          <t>SKINNSKATTEBERG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15561-2024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45401</v>
      </c>
      <c r="E375" s="1" t="n">
        <v>46293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46293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45068</v>
      </c>
      <c r="E377" s="1" t="n">
        <v>46293</v>
      </c>
      <c r="F377" t="inlineStr">
        <is>
          <t>VÄSTMANLANDS LÄN</t>
        </is>
      </c>
      <c r="G377" t="inlineStr">
        <is>
          <t>SKINNSKATTEBERG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44713</v>
      </c>
      <c r="E378" s="1" t="n">
        <v>46293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45592</v>
      </c>
      <c r="E379" s="1" t="n">
        <v>46293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43805-2024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45571</v>
      </c>
      <c r="E380" s="1" t="n">
        <v>46293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43806-2024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45571</v>
      </c>
      <c r="E381" s="1" t="n">
        <v>46293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54501-2024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45617</v>
      </c>
      <c r="E382" s="1" t="n">
        <v>46293</v>
      </c>
      <c r="F382" t="inlineStr">
        <is>
          <t>VÄSTMANLANDS LÄN</t>
        </is>
      </c>
      <c r="G382" t="inlineStr">
        <is>
          <t>SKINNSKATTEBERG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45506</v>
      </c>
      <c r="E383" s="1" t="n">
        <v>46293</v>
      </c>
      <c r="F383" t="inlineStr">
        <is>
          <t>VÄSTMANLANDS LÄN</t>
        </is>
      </c>
      <c r="G383" t="inlineStr">
        <is>
          <t>SKINNSKATTEBERG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40545-2023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45170</v>
      </c>
      <c r="E384" s="1" t="n">
        <v>46293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51472-2024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45604</v>
      </c>
      <c r="E385" s="1" t="n">
        <v>46293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44935</v>
      </c>
      <c r="E386" s="1" t="n">
        <v>46293</v>
      </c>
      <c r="F386" t="inlineStr">
        <is>
          <t>VÄSTMANLANDS LÄN</t>
        </is>
      </c>
      <c r="G386" t="inlineStr">
        <is>
          <t>SKINNSKATTEBERG</t>
        </is>
      </c>
      <c r="I386" t="n">
        <v>10.5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45237</v>
      </c>
      <c r="E387" s="1" t="n">
        <v>46293</v>
      </c>
      <c r="F387" t="inlineStr">
        <is>
          <t>VÄSTMANLANDS LÄN</t>
        </is>
      </c>
      <c r="G387" t="inlineStr">
        <is>
          <t>SKINNSKATTEBERG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46293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45385</v>
      </c>
      <c r="E389" s="1" t="n">
        <v>46293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43807-2024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45571</v>
      </c>
      <c r="E390" s="1" t="n">
        <v>46293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45740</v>
      </c>
      <c r="E391" s="1" t="n">
        <v>46293</v>
      </c>
      <c r="F391" t="inlineStr">
        <is>
          <t>VÄSTMANLANDS LÄN</t>
        </is>
      </c>
      <c r="G391" t="inlineStr">
        <is>
          <t>SKINNSKATTEBERG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27329-2023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45096</v>
      </c>
      <c r="E392" s="1" t="n">
        <v>46293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40167-2024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45554</v>
      </c>
      <c r="E393" s="1" t="n">
        <v>46293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54589-2024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45617</v>
      </c>
      <c r="E394" s="1" t="n">
        <v>46293</v>
      </c>
      <c r="F394" t="inlineStr">
        <is>
          <t>VÄSTMANLANDS LÄN</t>
        </is>
      </c>
      <c r="G394" t="inlineStr">
        <is>
          <t>SKINNSKATTEBERG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45777</v>
      </c>
      <c r="E395" s="1" t="n">
        <v>46293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46293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50980-2022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44867</v>
      </c>
      <c r="E397" s="1" t="n">
        <v>46293</v>
      </c>
      <c r="F397" t="inlineStr">
        <is>
          <t>VÄSTMANLANDS LÄN</t>
        </is>
      </c>
      <c r="G397" t="inlineStr">
        <is>
          <t>SKINNSKATTEBERG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12158-2024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45377</v>
      </c>
      <c r="E398" s="1" t="n">
        <v>46293</v>
      </c>
      <c r="F398" t="inlineStr">
        <is>
          <t>VÄSTMANLANDS LÄN</t>
        </is>
      </c>
      <c r="G398" t="inlineStr">
        <is>
          <t>SKINNSKATTEBERG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37730-2024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46293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46293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28941-2024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45480</v>
      </c>
      <c r="E401" s="1" t="n">
        <v>46293</v>
      </c>
      <c r="F401" t="inlineStr">
        <is>
          <t>VÄSTMANLANDS LÄN</t>
        </is>
      </c>
      <c r="G401" t="inlineStr">
        <is>
          <t>SKINNSKATTEBERG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1765-2024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45435</v>
      </c>
      <c r="E402" s="1" t="n">
        <v>46293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1462-2025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45786</v>
      </c>
      <c r="E403" s="1" t="n">
        <v>46293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1931-2025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45827</v>
      </c>
      <c r="E404" s="1" t="n">
        <v>46293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2177-2025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45853</v>
      </c>
      <c r="E405" s="1" t="n">
        <v>46293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2422-2025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46293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2421-2025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46293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2420-2025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45897</v>
      </c>
      <c r="E408" s="1" t="n">
        <v>46293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2456-2025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45901</v>
      </c>
      <c r="E409" s="1" t="n">
        <v>46293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2578-2025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45915</v>
      </c>
      <c r="E410" s="1" t="n">
        <v>46293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1325-2026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46147</v>
      </c>
      <c r="E411" s="1" t="n">
        <v>46293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65.3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1678-2026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46182</v>
      </c>
      <c r="E412" s="1" t="n">
        <v>46293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46293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46293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46293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2525-2026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46290</v>
      </c>
      <c r="E416" s="1" t="n">
        <v>46293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2026-09-28T01:58:44Z</dcterms:created>
  <dcterms:modified xmlns:dcterms="http://purl.org/dc/terms/" xmlns:xsi="http://www.w3.org/2001/XMLSchema-instance" xsi:type="dcterms:W3CDTF">2026-09-28T01:58:45Z</dcterms:modified>
</cp:coreProperties>
</file>