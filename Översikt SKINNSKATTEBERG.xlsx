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46271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46271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46271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46271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46271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46271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46271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46271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46271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46271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46271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46271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t="n">
        <v>4</v>
      </c>
      <c r="V13" s="2" t="inlineStr">
        <is>
          <t>Brunpudrad nållav
Vedtrappmossa
Brandticka</t>
        </is>
      </c>
      <c r="W13">
        <f>HYPERLINK("https://klasma.github.io/Logging_1904/artfynd/A 58355-2025 artfynd.xlsx", "A 58355-2025")</f>
        <v/>
      </c>
      <c r="X13">
        <f>HYPERLINK("https://klasma.github.io/Logging_1904/kartor/A 58355-2025 karta.png", "A 58355-2025")</f>
        <v/>
      </c>
      <c r="Y13">
        <f>HYPERLINK("https://klasma.github.io/Logging_1904/kartor_geotiff/A 58355-2025 georefererad karta.tif", "A 58355-2025")</f>
        <v/>
      </c>
      <c r="AA13">
        <f>HYPERLINK("https://klasma.github.io/Logging_1904/klagomål/A 58355-2025 FSC-klagomål.docx", "A 58355-2025")</f>
        <v/>
      </c>
      <c r="AB13">
        <f>HYPERLINK("https://klasma.github.io/Logging_1904/klagomålsmail/A 58355-2025 FSC-klagomål mail.docx", "A 58355-2025")</f>
        <v/>
      </c>
      <c r="AC13">
        <f>HYPERLINK("https://klasma.github.io/Logging_1904/tillsyn/A 58355-2025 tillsynsbegäran.docx", "A 58355-2025")</f>
        <v/>
      </c>
      <c r="AD13">
        <f>HYPERLINK("https://klasma.github.io/Logging_1904/tillsynsmail/A 58355-2025 tillsynsbegäran mail.docx", "A 58355-2025")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46271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46271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46271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46271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46271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46271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46271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46271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46271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54296-2023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46271</v>
      </c>
      <c r="F23" t="inlineStr">
        <is>
          <t>VÄSTMANLANDS LÄN</t>
        </is>
      </c>
      <c r="G23" t="inlineStr">
        <is>
          <t>SKINNSKATTEBERG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Kopparödla</t>
        </is>
      </c>
      <c r="W23">
        <f>HYPERLINK("https://klasma.github.io/Logging_1904/artfynd/A 54296-2023 artfynd.xlsx", "A 54296-2023")</f>
        <v/>
      </c>
      <c r="X23">
        <f>HYPERLINK("https://klasma.github.io/Logging_1904/kartor/A 54296-2023 karta.png", "A 54296-2023")</f>
        <v/>
      </c>
      <c r="Y23">
        <f>HYPERLINK("https://klasma.github.io/Logging_1904/kartor_geotiff/A 54296-2023 georefererad karta.tif", "A 54296-2023")</f>
        <v/>
      </c>
      <c r="AA23">
        <f>HYPERLINK("https://klasma.github.io/Logging_1904/klagomål/A 54296-2023 FSC-klagomål.docx", "A 54296-2023")</f>
        <v/>
      </c>
      <c r="AB23">
        <f>HYPERLINK("https://klasma.github.io/Logging_1904/klagomålsmail/A 54296-2023 FSC-klagomål mail.docx", "A 54296-2023")</f>
        <v/>
      </c>
      <c r="AC23">
        <f>HYPERLINK("https://klasma.github.io/Logging_1904/tillsyn/A 54296-2023 tillsynsbegäran.docx", "A 54296-2023")</f>
        <v/>
      </c>
      <c r="AD23">
        <f>HYPERLINK("https://klasma.github.io/Logging_1904/tillsynsmail/A 54296-2023 tillsynsbegäran mail.docx", "A 54296-2023")</f>
        <v/>
      </c>
    </row>
    <row r="24" ht="15" customHeight="1">
      <c r="A24" t="inlineStr">
        <is>
          <t>A 31006-2025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45832</v>
      </c>
      <c r="E24" s="1" t="n">
        <v>46271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HYPERLINK("https://klasma.github.io/Logging_1904/artfynd/A 31006-2025 artfynd.xlsx", "A 31006-2025")</f>
        <v/>
      </c>
      <c r="X24">
        <f>HYPERLINK("https://klasma.github.io/Logging_1904/kartor/A 31006-2025 karta.png", "A 31006-2025")</f>
        <v/>
      </c>
      <c r="Y24">
        <f>HYPERLINK("https://klasma.github.io/Logging_1904/kartor_geotiff/A 31006-2025 georefererad karta.tif", "A 31006-2025")</f>
        <v/>
      </c>
      <c r="AA24">
        <f>HYPERLINK("https://klasma.github.io/Logging_1904/klagomål/A 31006-2025 FSC-klagomål.docx", "A 31006-2025")</f>
        <v/>
      </c>
      <c r="AB24">
        <f>HYPERLINK("https://klasma.github.io/Logging_1904/klagomålsmail/A 31006-2025 FSC-klagomål mail.docx", "A 31006-2025")</f>
        <v/>
      </c>
      <c r="AC24">
        <f>HYPERLINK("https://klasma.github.io/Logging_1904/tillsyn/A 31006-2025 tillsynsbegäran.docx", "A 31006-2025")</f>
        <v/>
      </c>
      <c r="AD24">
        <f>HYPERLINK("https://klasma.github.io/Logging_1904/tillsynsmail/A 31006-2025 tillsynsbegäran mail.docx", "A 31006-2025")</f>
        <v/>
      </c>
      <c r="AE24">
        <f>HYPERLINK("https://klasma.github.io/Logging_1904/fåglar/A 31006-2025 prioriterade fågelarter.docx", "A 31006-2025")</f>
        <v/>
      </c>
    </row>
    <row r="25" ht="15" customHeight="1">
      <c r="A25" t="inlineStr">
        <is>
          <t>A 47538-2025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46271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HYPERLINK("https://klasma.github.io/Logging_1904/artfynd/A 47538-2025 artfynd.xlsx", "A 47538-2025")</f>
        <v/>
      </c>
      <c r="X25">
        <f>HYPERLINK("https://klasma.github.io/Logging_1904/kartor/A 47538-2025 karta.png", "A 47538-2025")</f>
        <v/>
      </c>
      <c r="Y25">
        <f>HYPERLINK("https://klasma.github.io/Logging_1904/kartor_geotiff/A 47538-2025 georefererad karta.tif", "A 47538-2025")</f>
        <v/>
      </c>
      <c r="AA25">
        <f>HYPERLINK("https://klasma.github.io/Logging_1904/klagomål/A 47538-2025 FSC-klagomål.docx", "A 47538-2025")</f>
        <v/>
      </c>
      <c r="AB25">
        <f>HYPERLINK("https://klasma.github.io/Logging_1904/klagomålsmail/A 47538-2025 FSC-klagomål mail.docx", "A 47538-2025")</f>
        <v/>
      </c>
      <c r="AC25">
        <f>HYPERLINK("https://klasma.github.io/Logging_1904/tillsyn/A 47538-2025 tillsynsbegäran.docx", "A 47538-2025")</f>
        <v/>
      </c>
      <c r="AD25">
        <f>HYPERLINK("https://klasma.github.io/Logging_1904/tillsynsmail/A 47538-2025 tillsynsbegäran mail.docx", "A 47538-2025")</f>
        <v/>
      </c>
    </row>
    <row r="26" ht="15" customHeight="1">
      <c r="A26" t="inlineStr">
        <is>
          <t>A 57747-2023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45246</v>
      </c>
      <c r="E26" s="1" t="n">
        <v>46271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2.3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Myopa fasciata</t>
        </is>
      </c>
      <c r="W26">
        <f>HYPERLINK("https://klasma.github.io/Logging_1904/artfynd/A 57747-2023 artfynd.xlsx", "A 57747-2023")</f>
        <v/>
      </c>
      <c r="X26">
        <f>HYPERLINK("https://klasma.github.io/Logging_1904/kartor/A 57747-2023 karta.png", "A 57747-2023")</f>
        <v/>
      </c>
      <c r="Y26">
        <f>HYPERLINK("https://klasma.github.io/Logging_1904/kartor_geotiff/A 57747-2023 georefererad karta.tif", "A 57747-2023")</f>
        <v/>
      </c>
      <c r="AA26">
        <f>HYPERLINK("https://klasma.github.io/Logging_1904/klagomål/A 57747-2023 FSC-klagomål.docx", "A 57747-2023")</f>
        <v/>
      </c>
      <c r="AB26">
        <f>HYPERLINK("https://klasma.github.io/Logging_1904/klagomålsmail/A 57747-2023 FSC-klagomål mail.docx", "A 57747-2023")</f>
        <v/>
      </c>
      <c r="AC26">
        <f>HYPERLINK("https://klasma.github.io/Logging_1904/tillsyn/A 57747-2023 tillsynsbegäran.docx", "A 57747-2023")</f>
        <v/>
      </c>
      <c r="AD26">
        <f>HYPERLINK("https://klasma.github.io/Logging_1904/tillsynsmail/A 57747-2023 tillsynsbegäran mail.docx", "A 57747-2023")</f>
        <v/>
      </c>
    </row>
    <row r="27" ht="15" customHeight="1">
      <c r="A27" t="inlineStr">
        <is>
          <t>A 49630-2024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46271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7.3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HYPERLINK("https://klasma.github.io/Logging_1904/artfynd/A 49630-2024 artfynd.xlsx", "A 49630-2024")</f>
        <v/>
      </c>
      <c r="X27">
        <f>HYPERLINK("https://klasma.github.io/Logging_1904/kartor/A 49630-2024 karta.png", "A 49630-2024")</f>
        <v/>
      </c>
      <c r="Y27">
        <f>HYPERLINK("https://klasma.github.io/Logging_1904/kartor_geotiff/A 49630-2024 georefererad karta.tif", "A 49630-2024")</f>
        <v/>
      </c>
      <c r="AA27">
        <f>HYPERLINK("https://klasma.github.io/Logging_1904/klagomål/A 49630-2024 FSC-klagomål.docx", "A 49630-2024")</f>
        <v/>
      </c>
      <c r="AB27">
        <f>HYPERLINK("https://klasma.github.io/Logging_1904/klagomålsmail/A 49630-2024 FSC-klagomål mail.docx", "A 49630-2024")</f>
        <v/>
      </c>
      <c r="AC27">
        <f>HYPERLINK("https://klasma.github.io/Logging_1904/tillsyn/A 49630-2024 tillsynsbegäran.docx", "A 49630-2024")</f>
        <v/>
      </c>
      <c r="AD27">
        <f>HYPERLINK("https://klasma.github.io/Logging_1904/tillsynsmail/A 49630-2024 tillsynsbegäran mail.docx", "A 49630-2024")</f>
        <v/>
      </c>
    </row>
    <row r="28" ht="15" customHeight="1">
      <c r="A28" t="inlineStr">
        <is>
          <t>A 19205-2024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46271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Järpe</t>
        </is>
      </c>
      <c r="W28">
        <f>HYPERLINK("https://klasma.github.io/Logging_1904/artfynd/A 19205-2024 artfynd.xlsx", "A 19205-2024")</f>
        <v/>
      </c>
      <c r="X28">
        <f>HYPERLINK("https://klasma.github.io/Logging_1904/kartor/A 19205-2024 karta.png", "A 19205-2024")</f>
        <v/>
      </c>
      <c r="Y28">
        <f>HYPERLINK("https://klasma.github.io/Logging_1904/kartor_geotiff/A 19205-2024 georefererad karta.tif", "A 19205-2024")</f>
        <v/>
      </c>
      <c r="AA28">
        <f>HYPERLINK("https://klasma.github.io/Logging_1904/klagomål/A 19205-2024 FSC-klagomål.docx", "A 19205-2024")</f>
        <v/>
      </c>
      <c r="AB28">
        <f>HYPERLINK("https://klasma.github.io/Logging_1904/klagomålsmail/A 19205-2024 FSC-klagomål mail.docx", "A 19205-2024")</f>
        <v/>
      </c>
      <c r="AC28">
        <f>HYPERLINK("https://klasma.github.io/Logging_1904/tillsyn/A 19205-2024 tillsynsbegäran.docx", "A 19205-2024")</f>
        <v/>
      </c>
      <c r="AD28">
        <f>HYPERLINK("https://klasma.github.io/Logging_1904/tillsynsmail/A 19205-2024 tillsynsbegäran mail.docx", "A 19205-2024")</f>
        <v/>
      </c>
      <c r="AE28">
        <f>HYPERLINK("https://klasma.github.io/Logging_1904/fåglar/A 19205-2024 prioriterade fågelarter.docx", "A 19205-2024")</f>
        <v/>
      </c>
    </row>
    <row r="29" ht="15" customHeight="1">
      <c r="A29" t="inlineStr">
        <is>
          <t>A 57395-2025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45980</v>
      </c>
      <c r="E29" s="1" t="n">
        <v>46271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Vedticka</t>
        </is>
      </c>
      <c r="W29">
        <f>HYPERLINK("https://klasma.github.io/Logging_1904/artfynd/A 57395-2025 artfynd.xlsx", "A 57395-2025")</f>
        <v/>
      </c>
      <c r="X29">
        <f>HYPERLINK("https://klasma.github.io/Logging_1904/kartor/A 57395-2025 karta.png", "A 57395-2025")</f>
        <v/>
      </c>
      <c r="Y29">
        <f>HYPERLINK("https://klasma.github.io/Logging_1904/kartor_geotiff/A 57395-2025 georefererad karta.tif", "A 57395-2025")</f>
        <v/>
      </c>
      <c r="AA29">
        <f>HYPERLINK("https://klasma.github.io/Logging_1904/klagomål/A 57395-2025 FSC-klagomål.docx", "A 57395-2025")</f>
        <v/>
      </c>
      <c r="AB29">
        <f>HYPERLINK("https://klasma.github.io/Logging_1904/klagomålsmail/A 57395-2025 FSC-klagomål mail.docx", "A 57395-2025")</f>
        <v/>
      </c>
      <c r="AC29">
        <f>HYPERLINK("https://klasma.github.io/Logging_1904/tillsyn/A 57395-2025 tillsynsbegäran.docx", "A 57395-2025")</f>
        <v/>
      </c>
      <c r="AD29">
        <f>HYPERLINK("https://klasma.github.io/Logging_1904/tillsynsmail/A 57395-2025 tillsynsbegäran mail.docx", "A 57395-2025")</f>
        <v/>
      </c>
    </row>
    <row r="30" ht="15" customHeight="1">
      <c r="A30" t="inlineStr">
        <is>
          <t>A 15734-2026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46107</v>
      </c>
      <c r="E30" s="1" t="n">
        <v>46271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Koppartaggsvamp</t>
        </is>
      </c>
      <c r="W30">
        <f>HYPERLINK("https://klasma.github.io/Logging_1904/artfynd/A 15734-2026 artfynd.xlsx", "A 15734-2026")</f>
        <v/>
      </c>
      <c r="X30">
        <f>HYPERLINK("https://klasma.github.io/Logging_1904/kartor/A 15734-2026 karta.png", "A 15734-2026")</f>
        <v/>
      </c>
      <c r="Y30">
        <f>HYPERLINK("https://klasma.github.io/Logging_1904/kartor_geotiff/A 15734-2026 georefererad karta.tif", "A 15734-2026")</f>
        <v/>
      </c>
      <c r="AA30">
        <f>HYPERLINK("https://klasma.github.io/Logging_1904/klagomål/A 15734-2026 FSC-klagomål.docx", "A 15734-2026")</f>
        <v/>
      </c>
      <c r="AB30">
        <f>HYPERLINK("https://klasma.github.io/Logging_1904/klagomålsmail/A 15734-2026 FSC-klagomål mail.docx", "A 15734-2026")</f>
        <v/>
      </c>
      <c r="AC30">
        <f>HYPERLINK("https://klasma.github.io/Logging_1904/tillsyn/A 15734-2026 tillsynsbegäran.docx", "A 15734-2026")</f>
        <v/>
      </c>
      <c r="AD30">
        <f>HYPERLINK("https://klasma.github.io/Logging_1904/tillsynsmail/A 15734-2026 tillsynsbegäran mail.docx", "A 15734-2026")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46271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20559-2026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46140</v>
      </c>
      <c r="E32" s="1" t="n">
        <v>46271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HYPERLINK("https://klasma.github.io/Logging_1904/artfynd/A 20559-2026 artfynd.xlsx", "A 20559-2026")</f>
        <v/>
      </c>
      <c r="X32">
        <f>HYPERLINK("https://klasma.github.io/Logging_1904/kartor/A 20559-2026 karta.png", "A 20559-2026")</f>
        <v/>
      </c>
      <c r="Y32">
        <f>HYPERLINK("https://klasma.github.io/Logging_1904/kartor_geotiff/A 20559-2026 georefererad karta.tif", "A 20559-2026")</f>
        <v/>
      </c>
      <c r="AA32">
        <f>HYPERLINK("https://klasma.github.io/Logging_1904/klagomål/A 20559-2026 FSC-klagomål.docx", "A 20559-2026")</f>
        <v/>
      </c>
      <c r="AB32">
        <f>HYPERLINK("https://klasma.github.io/Logging_1904/klagomålsmail/A 20559-2026 FSC-klagomål mail.docx", "A 20559-2026")</f>
        <v/>
      </c>
      <c r="AC32">
        <f>HYPERLINK("https://klasma.github.io/Logging_1904/tillsyn/A 20559-2026 tillsynsbegäran.docx", "A 20559-2026")</f>
        <v/>
      </c>
      <c r="AD32">
        <f>HYPERLINK("https://klasma.github.io/Logging_1904/tillsynsmail/A 20559-2026 tillsynsbegäran mail.docx", "A 20559-2026")</f>
        <v/>
      </c>
      <c r="AE32">
        <f>HYPERLINK("https://klasma.github.io/Logging_1904/fåglar/A 20559-2026 prioriterade fågelarter.docx", "A 20559-2026")</f>
        <v/>
      </c>
    </row>
    <row r="33" ht="15" customHeight="1">
      <c r="A33" t="inlineStr">
        <is>
          <t>A 21849-2026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46271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12.5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HYPERLINK("https://klasma.github.io/Logging_1904/artfynd/A 21849-2026 artfynd.xlsx", "A 21849-2026")</f>
        <v/>
      </c>
      <c r="X33">
        <f>HYPERLINK("https://klasma.github.io/Logging_1904/kartor/A 21849-2026 karta.png", "A 21849-2026")</f>
        <v/>
      </c>
      <c r="Y33">
        <f>HYPERLINK("https://klasma.github.io/Logging_1904/kartor_geotiff/A 21849-2026 georefererad karta.tif", "A 21849-2026")</f>
        <v/>
      </c>
      <c r="Z33">
        <f>HYPERLINK("https://klasma.github.io/Logging_1904/knärot/A 21849-2026 karta knärot.png", "A 21849-2026")</f>
        <v/>
      </c>
      <c r="AA33">
        <f>HYPERLINK("https://klasma.github.io/Logging_1904/klagomål/A 21849-2026 FSC-klagomål.docx", "A 21849-2026")</f>
        <v/>
      </c>
      <c r="AB33">
        <f>HYPERLINK("https://klasma.github.io/Logging_1904/klagomålsmail/A 21849-2026 FSC-klagomål mail.docx", "A 21849-2026")</f>
        <v/>
      </c>
      <c r="AC33">
        <f>HYPERLINK("https://klasma.github.io/Logging_1904/tillsyn/A 21849-2026 tillsynsbegäran.docx", "A 21849-2026")</f>
        <v/>
      </c>
      <c r="AD33">
        <f>HYPERLINK("https://klasma.github.io/Logging_1904/tillsynsmail/A 21849-2026 tillsynsbegäran mail.docx", "A 21849-2026")</f>
        <v/>
      </c>
    </row>
    <row r="34" ht="15" customHeight="1">
      <c r="A34" t="inlineStr">
        <is>
          <t>A 9491-2024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46271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Skogshare</t>
        </is>
      </c>
      <c r="W34">
        <f>HYPERLINK("https://klasma.github.io/Logging_1904/artfynd/A 9491-2024 artfynd.xlsx", "A 9491-2024")</f>
        <v/>
      </c>
      <c r="X34">
        <f>HYPERLINK("https://klasma.github.io/Logging_1904/kartor/A 9491-2024 karta.png", "A 9491-2024")</f>
        <v/>
      </c>
      <c r="Y34">
        <f>HYPERLINK("https://klasma.github.io/Logging_1904/kartor_geotiff/A 9491-2024 georefererad karta.tif", "A 9491-2024")</f>
        <v/>
      </c>
      <c r="AA34">
        <f>HYPERLINK("https://klasma.github.io/Logging_1904/klagomål/A 9491-2024 FSC-klagomål.docx", "A 9491-2024")</f>
        <v/>
      </c>
      <c r="AB34">
        <f>HYPERLINK("https://klasma.github.io/Logging_1904/klagomålsmail/A 9491-2024 FSC-klagomål mail.docx", "A 9491-2024")</f>
        <v/>
      </c>
      <c r="AC34">
        <f>HYPERLINK("https://klasma.github.io/Logging_1904/tillsyn/A 9491-2024 tillsynsbegäran.docx", "A 9491-2024")</f>
        <v/>
      </c>
      <c r="AD34">
        <f>HYPERLINK("https://klasma.github.io/Logging_1904/tillsynsmail/A 9491-2024 tillsynsbegäran mail.docx", "A 9491-2024")</f>
        <v/>
      </c>
    </row>
    <row r="35" ht="15" customHeight="1">
      <c r="A35" t="inlineStr">
        <is>
          <t>A 24492-2026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46170</v>
      </c>
      <c r="E35" s="1" t="n">
        <v>46271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24492-2026 artfynd.xlsx", "A 24492-2026")</f>
        <v/>
      </c>
      <c r="X35">
        <f>HYPERLINK("https://klasma.github.io/Logging_1904/kartor/A 24492-2026 karta.png", "A 24492-2026")</f>
        <v/>
      </c>
      <c r="Y35">
        <f>HYPERLINK("https://klasma.github.io/Logging_1904/kartor_geotiff/A 24492-2026 georefererad karta.tif", "A 24492-2026")</f>
        <v/>
      </c>
      <c r="AA35">
        <f>HYPERLINK("https://klasma.github.io/Logging_1904/klagomål/A 24492-2026 FSC-klagomål.docx", "A 24492-2026")</f>
        <v/>
      </c>
      <c r="AB35">
        <f>HYPERLINK("https://klasma.github.io/Logging_1904/klagomålsmail/A 24492-2026 FSC-klagomål mail.docx", "A 24492-2026")</f>
        <v/>
      </c>
      <c r="AC35">
        <f>HYPERLINK("https://klasma.github.io/Logging_1904/tillsyn/A 24492-2026 tillsynsbegäran.docx", "A 24492-2026")</f>
        <v/>
      </c>
      <c r="AD35">
        <f>HYPERLINK("https://klasma.github.io/Logging_1904/tillsynsmail/A 24492-2026 tillsynsbegäran mail.docx", "A 24492-2026")</f>
        <v/>
      </c>
      <c r="AE35">
        <f>HYPERLINK("https://klasma.github.io/Logging_1904/fåglar/A 24492-2026 prioriterade fågelarter.docx", "A 24492-2026")</f>
        <v/>
      </c>
    </row>
    <row r="36" ht="15" customHeight="1">
      <c r="A36" t="inlineStr">
        <is>
          <t>A 43413-2024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45568</v>
      </c>
      <c r="E36" s="1" t="n">
        <v>46271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Orange taggsvamp</t>
        </is>
      </c>
      <c r="W36">
        <f>HYPERLINK("https://klasma.github.io/Logging_1904/artfynd/A 43413-2024 artfynd.xlsx", "A 43413-2024")</f>
        <v/>
      </c>
      <c r="X36">
        <f>HYPERLINK("https://klasma.github.io/Logging_1904/kartor/A 43413-2024 karta.png", "A 43413-2024")</f>
        <v/>
      </c>
      <c r="Y36">
        <f>HYPERLINK("https://klasma.github.io/Logging_1904/kartor_geotiff/A 43413-2024 georefererad karta.tif", "A 43413-2024")</f>
        <v/>
      </c>
      <c r="AA36">
        <f>HYPERLINK("https://klasma.github.io/Logging_1904/klagomål/A 43413-2024 FSC-klagomål.docx", "A 43413-2024")</f>
        <v/>
      </c>
      <c r="AB36">
        <f>HYPERLINK("https://klasma.github.io/Logging_1904/klagomålsmail/A 43413-2024 FSC-klagomål mail.docx", "A 43413-2024")</f>
        <v/>
      </c>
      <c r="AC36">
        <f>HYPERLINK("https://klasma.github.io/Logging_1904/tillsyn/A 43413-2024 tillsynsbegäran.docx", "A 43413-2024")</f>
        <v/>
      </c>
      <c r="AD36">
        <f>HYPERLINK("https://klasma.github.io/Logging_1904/tillsynsmail/A 43413-2024 tillsynsbegäran mail.docx", "A 43413-2024")</f>
        <v/>
      </c>
    </row>
    <row r="37" ht="15" customHeight="1">
      <c r="A37" t="inlineStr">
        <is>
          <t>A 24944-2026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46271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8.4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Garnlav</t>
        </is>
      </c>
      <c r="W37">
        <f>HYPERLINK("https://klasma.github.io/Logging_1904/artfynd/A 24944-2026 artfynd.xlsx", "A 24944-2026")</f>
        <v/>
      </c>
      <c r="X37">
        <f>HYPERLINK("https://klasma.github.io/Logging_1904/kartor/A 24944-2026 karta.png", "A 24944-2026")</f>
        <v/>
      </c>
      <c r="Y37">
        <f>HYPERLINK("https://klasma.github.io/Logging_1904/kartor_geotiff/A 24944-2026 georefererad karta.tif", "A 24944-2026")</f>
        <v/>
      </c>
      <c r="AA37">
        <f>HYPERLINK("https://klasma.github.io/Logging_1904/klagomål/A 24944-2026 FSC-klagomål.docx", "A 24944-2026")</f>
        <v/>
      </c>
      <c r="AB37">
        <f>HYPERLINK("https://klasma.github.io/Logging_1904/klagomålsmail/A 24944-2026 FSC-klagomål mail.docx", "A 24944-2026")</f>
        <v/>
      </c>
      <c r="AC37">
        <f>HYPERLINK("https://klasma.github.io/Logging_1904/tillsyn/A 24944-2026 tillsynsbegäran.docx", "A 24944-2026")</f>
        <v/>
      </c>
      <c r="AD37">
        <f>HYPERLINK("https://klasma.github.io/Logging_1904/tillsynsmail/A 24944-2026 tillsynsbegäran mail.docx", "A 24944-2026")</f>
        <v/>
      </c>
    </row>
    <row r="38" ht="15" customHeight="1">
      <c r="A38" t="inlineStr">
        <is>
          <t>A 23893-2023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46271</v>
      </c>
      <c r="F38" t="inlineStr">
        <is>
          <t>VÄSTMANLANDS LÄN</t>
        </is>
      </c>
      <c r="G38" t="inlineStr">
        <is>
          <t>SKINNSKATTEBERG</t>
        </is>
      </c>
      <c r="I38" t="n">
        <v>1.6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Knärot</t>
        </is>
      </c>
      <c r="W38">
        <f>HYPERLINK("https://klasma.github.io/Logging_1904/artfynd/A 23893-2023 artfynd.xlsx", "A 23893-2023")</f>
        <v/>
      </c>
      <c r="X38">
        <f>HYPERLINK("https://klasma.github.io/Logging_1904/kartor/A 23893-2023 karta.png", "A 23893-2023")</f>
        <v/>
      </c>
      <c r="Y38">
        <f>HYPERLINK("https://klasma.github.io/Logging_1904/kartor_geotiff/A 23893-2023 georefererad karta.tif", "A 23893-2023")</f>
        <v/>
      </c>
      <c r="Z38">
        <f>HYPERLINK("https://klasma.github.io/Logging_1904/knärot/A 23893-2023 karta knärot.png", "A 23893-2023")</f>
        <v/>
      </c>
      <c r="AA38">
        <f>HYPERLINK("https://klasma.github.io/Logging_1904/klagomål/A 23893-2023 FSC-klagomål.docx", "A 23893-2023")</f>
        <v/>
      </c>
      <c r="AB38">
        <f>HYPERLINK("https://klasma.github.io/Logging_1904/klagomålsmail/A 23893-2023 FSC-klagomål mail.docx", "A 23893-2023")</f>
        <v/>
      </c>
      <c r="AC38">
        <f>HYPERLINK("https://klasma.github.io/Logging_1904/tillsyn/A 23893-2023 tillsynsbegäran.docx", "A 23893-2023")</f>
        <v/>
      </c>
      <c r="AD38">
        <f>HYPERLINK("https://klasma.github.io/Logging_1904/tillsynsmail/A 23893-2023 tillsynsbegäran mail.docx", "A 23893-2023")</f>
        <v/>
      </c>
    </row>
    <row r="39" ht="15" customHeight="1">
      <c r="A39" t="inlineStr">
        <is>
          <t>A 26860-2026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46271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10.3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Kungsörn</t>
        </is>
      </c>
      <c r="W39">
        <f>HYPERLINK("https://klasma.github.io/Logging_1904/artfynd/A 26860-2026 artfynd.xlsx", "A 26860-2026")</f>
        <v/>
      </c>
      <c r="X39">
        <f>HYPERLINK("https://klasma.github.io/Logging_1904/kartor/A 26860-2026 karta.png", "A 26860-2026")</f>
        <v/>
      </c>
      <c r="Y39">
        <f>HYPERLINK("https://klasma.github.io/Logging_1904/kartor_geotiff/A 26860-2026 georefererad karta.tif", "A 26860-2026")</f>
        <v/>
      </c>
      <c r="AA39">
        <f>HYPERLINK("https://klasma.github.io/Logging_1904/klagomål/A 26860-2026 FSC-klagomål.docx", "A 26860-2026")</f>
        <v/>
      </c>
      <c r="AB39">
        <f>HYPERLINK("https://klasma.github.io/Logging_1904/klagomålsmail/A 26860-2026 FSC-klagomål mail.docx", "A 26860-2026")</f>
        <v/>
      </c>
      <c r="AC39">
        <f>HYPERLINK("https://klasma.github.io/Logging_1904/tillsyn/A 26860-2026 tillsynsbegäran.docx", "A 26860-2026")</f>
        <v/>
      </c>
      <c r="AD39">
        <f>HYPERLINK("https://klasma.github.io/Logging_1904/tillsynsmail/A 26860-2026 tillsynsbegäran mail.docx", "A 26860-2026")</f>
        <v/>
      </c>
      <c r="AE39">
        <f>HYPERLINK("https://klasma.github.io/Logging_1904/fåglar/A 26860-2026 prioriterade fågelarter.docx", "A 26860-2026")</f>
        <v/>
      </c>
    </row>
    <row r="40" ht="15" customHeight="1">
      <c r="A40" t="inlineStr">
        <is>
          <t>A 33435-2024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45519</v>
      </c>
      <c r="E40" s="1" t="n">
        <v>46271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Nattskärra</t>
        </is>
      </c>
      <c r="W40">
        <f>HYPERLINK("https://klasma.github.io/Logging_1904/artfynd/A 33435-2024 artfynd.xlsx", "A 33435-2024")</f>
        <v/>
      </c>
      <c r="X40">
        <f>HYPERLINK("https://klasma.github.io/Logging_1904/kartor/A 33435-2024 karta.png", "A 33435-2024")</f>
        <v/>
      </c>
      <c r="Y40">
        <f>HYPERLINK("https://klasma.github.io/Logging_1904/kartor_geotiff/A 33435-2024 georefererad karta.tif", "A 33435-2024")</f>
        <v/>
      </c>
      <c r="AA40">
        <f>HYPERLINK("https://klasma.github.io/Logging_1904/klagomål/A 33435-2024 FSC-klagomål.docx", "A 33435-2024")</f>
        <v/>
      </c>
      <c r="AB40">
        <f>HYPERLINK("https://klasma.github.io/Logging_1904/klagomålsmail/A 33435-2024 FSC-klagomål mail.docx", "A 33435-2024")</f>
        <v/>
      </c>
      <c r="AC40">
        <f>HYPERLINK("https://klasma.github.io/Logging_1904/tillsyn/A 33435-2024 tillsynsbegäran.docx", "A 33435-2024")</f>
        <v/>
      </c>
      <c r="AD40">
        <f>HYPERLINK("https://klasma.github.io/Logging_1904/tillsynsmail/A 33435-2024 tillsynsbegäran mail.docx", "A 33435-2024")</f>
        <v/>
      </c>
      <c r="AE40">
        <f>HYPERLINK("https://klasma.github.io/Logging_1904/fåglar/A 33435-2024 prioriterade fågelarter.docx", "A 33435-2024")</f>
        <v/>
      </c>
    </row>
    <row r="41" ht="15" customHeight="1">
      <c r="A41" t="inlineStr">
        <is>
          <t>A 12024-2023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44995</v>
      </c>
      <c r="E41" s="1" t="n">
        <v>46271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HYPERLINK("https://klasma.github.io/Logging_1904/artfynd/A 12024-2023 artfynd.xlsx", "A 12024-2023")</f>
        <v/>
      </c>
      <c r="X41">
        <f>HYPERLINK("https://klasma.github.io/Logging_1904/kartor/A 12024-2023 karta.png", "A 12024-2023")</f>
        <v/>
      </c>
      <c r="Y41">
        <f>HYPERLINK("https://klasma.github.io/Logging_1904/kartor_geotiff/A 12024-2023 georefererad karta.tif", "A 12024-2023")</f>
        <v/>
      </c>
      <c r="AA41">
        <f>HYPERLINK("https://klasma.github.io/Logging_1904/klagomål/A 12024-2023 FSC-klagomål.docx", "A 12024-2023")</f>
        <v/>
      </c>
      <c r="AB41">
        <f>HYPERLINK("https://klasma.github.io/Logging_1904/klagomålsmail/A 12024-2023 FSC-klagomål mail.docx", "A 12024-2023")</f>
        <v/>
      </c>
      <c r="AC41">
        <f>HYPERLINK("https://klasma.github.io/Logging_1904/tillsyn/A 12024-2023 tillsynsbegäran.docx", "A 12024-2023")</f>
        <v/>
      </c>
      <c r="AD41">
        <f>HYPERLINK("https://klasma.github.io/Logging_1904/tillsynsmail/A 12024-2023 tillsynsbegäran mail.docx", "A 12024-2023")</f>
        <v/>
      </c>
    </row>
    <row r="42" ht="15" customHeight="1">
      <c r="A42" t="inlineStr">
        <is>
          <t>A 9490-2024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46271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Nattskärra</t>
        </is>
      </c>
      <c r="W42">
        <f>HYPERLINK("https://klasma.github.io/Logging_1904/artfynd/A 9490-2024 artfynd.xlsx", "A 9490-2024")</f>
        <v/>
      </c>
      <c r="X42">
        <f>HYPERLINK("https://klasma.github.io/Logging_1904/kartor/A 9490-2024 karta.png", "A 9490-2024")</f>
        <v/>
      </c>
      <c r="Y42">
        <f>HYPERLINK("https://klasma.github.io/Logging_1904/kartor_geotiff/A 9490-2024 georefererad karta.tif", "A 9490-2024")</f>
        <v/>
      </c>
      <c r="AA42">
        <f>HYPERLINK("https://klasma.github.io/Logging_1904/klagomål/A 9490-2024 FSC-klagomål.docx", "A 9490-2024")</f>
        <v/>
      </c>
      <c r="AB42">
        <f>HYPERLINK("https://klasma.github.io/Logging_1904/klagomålsmail/A 9490-2024 FSC-klagomål mail.docx", "A 9490-2024")</f>
        <v/>
      </c>
      <c r="AC42">
        <f>HYPERLINK("https://klasma.github.io/Logging_1904/tillsyn/A 9490-2024 tillsynsbegäran.docx", "A 9490-2024")</f>
        <v/>
      </c>
      <c r="AD42">
        <f>HYPERLINK("https://klasma.github.io/Logging_1904/tillsynsmail/A 9490-2024 tillsynsbegäran mail.docx", "A 9490-2024")</f>
        <v/>
      </c>
      <c r="AE42">
        <f>HYPERLINK("https://klasma.github.io/Logging_1904/fåglar/A 9490-2024 prioriterade fågelarter.docx", "A 9490-2024")</f>
        <v/>
      </c>
    </row>
    <row r="43" ht="15" customHeight="1">
      <c r="A43" t="inlineStr">
        <is>
          <t>A 4000-2024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46271</v>
      </c>
      <c r="F43" t="inlineStr">
        <is>
          <t>VÄSTMANLANDS LÄN</t>
        </is>
      </c>
      <c r="G43" t="inlineStr">
        <is>
          <t>SKINNSKATTEBERG</t>
        </is>
      </c>
      <c r="I43" t="n">
        <v>14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Klasefibbla</t>
        </is>
      </c>
      <c r="W43">
        <f>HYPERLINK("https://klasma.github.io/Logging_1904/artfynd/A 4000-2024 artfynd.xlsx", "A 4000-2024")</f>
        <v/>
      </c>
      <c r="X43">
        <f>HYPERLINK("https://klasma.github.io/Logging_1904/kartor/A 4000-2024 karta.png", "A 4000-2024")</f>
        <v/>
      </c>
      <c r="Y43">
        <f>HYPERLINK("https://klasma.github.io/Logging_1904/kartor_geotiff/A 4000-2024 georefererad karta.tif", "A 4000-2024")</f>
        <v/>
      </c>
      <c r="AA43">
        <f>HYPERLINK("https://klasma.github.io/Logging_1904/klagomål/A 4000-2024 FSC-klagomål.docx", "A 4000-2024")</f>
        <v/>
      </c>
      <c r="AB43">
        <f>HYPERLINK("https://klasma.github.io/Logging_1904/klagomålsmail/A 4000-2024 FSC-klagomål mail.docx", "A 4000-2024")</f>
        <v/>
      </c>
      <c r="AC43">
        <f>HYPERLINK("https://klasma.github.io/Logging_1904/tillsyn/A 4000-2024 tillsynsbegäran.docx", "A 4000-2024")</f>
        <v/>
      </c>
      <c r="AD43">
        <f>HYPERLINK("https://klasma.github.io/Logging_1904/tillsynsmail/A 4000-2024 tillsynsbegäran mail.docx", "A 4000-2024")</f>
        <v/>
      </c>
    </row>
    <row r="44" ht="15" customHeight="1">
      <c r="A44" t="inlineStr">
        <is>
          <t>A 28312-2023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46271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HYPERLINK("https://klasma.github.io/Logging_1904/artfynd/A 28312-2023 artfynd.xlsx", "A 28312-2023")</f>
        <v/>
      </c>
      <c r="X44">
        <f>HYPERLINK("https://klasma.github.io/Logging_1904/kartor/A 28312-2023 karta.png", "A 28312-2023")</f>
        <v/>
      </c>
      <c r="Y44">
        <f>HYPERLINK("https://klasma.github.io/Logging_1904/kartor_geotiff/A 28312-2023 georefererad karta.tif", "A 28312-2023")</f>
        <v/>
      </c>
      <c r="AA44">
        <f>HYPERLINK("https://klasma.github.io/Logging_1904/klagomål/A 28312-2023 FSC-klagomål.docx", "A 28312-2023")</f>
        <v/>
      </c>
      <c r="AB44">
        <f>HYPERLINK("https://klasma.github.io/Logging_1904/klagomålsmail/A 28312-2023 FSC-klagomål mail.docx", "A 28312-2023")</f>
        <v/>
      </c>
      <c r="AC44">
        <f>HYPERLINK("https://klasma.github.io/Logging_1904/tillsyn/A 28312-2023 tillsynsbegäran.docx", "A 28312-2023")</f>
        <v/>
      </c>
      <c r="AD44">
        <f>HYPERLINK("https://klasma.github.io/Logging_1904/tillsynsmail/A 28312-2023 tillsynsbegäran mail.docx", "A 28312-2023")</f>
        <v/>
      </c>
    </row>
    <row r="45" ht="15" customHeight="1">
      <c r="A45" t="inlineStr">
        <is>
          <t>A 30579-2026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46271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HYPERLINK("https://klasma.github.io/Logging_1904/artfynd/A 30579-2026 artfynd.xlsx", "A 30579-2026")</f>
        <v/>
      </c>
      <c r="X45">
        <f>HYPERLINK("https://klasma.github.io/Logging_1904/kartor/A 30579-2026 karta.png", "A 30579-2026")</f>
        <v/>
      </c>
      <c r="Y45">
        <f>HYPERLINK("https://klasma.github.io/Logging_1904/kartor_geotiff/A 30579-2026 georefererad karta.tif", "A 30579-2026")</f>
        <v/>
      </c>
      <c r="AA45">
        <f>HYPERLINK("https://klasma.github.io/Logging_1904/klagomål/A 30579-2026 FSC-klagomål.docx", "A 30579-2026")</f>
        <v/>
      </c>
      <c r="AB45">
        <f>HYPERLINK("https://klasma.github.io/Logging_1904/klagomålsmail/A 30579-2026 FSC-klagomål mail.docx", "A 30579-2026")</f>
        <v/>
      </c>
      <c r="AC45">
        <f>HYPERLINK("https://klasma.github.io/Logging_1904/tillsyn/A 30579-2026 tillsynsbegäran.docx", "A 30579-2026")</f>
        <v/>
      </c>
      <c r="AD45">
        <f>HYPERLINK("https://klasma.github.io/Logging_1904/tillsynsmail/A 30579-2026 tillsynsbegäran mail.docx", "A 30579-2026")</f>
        <v/>
      </c>
    </row>
    <row r="46" ht="15" customHeight="1">
      <c r="A46" t="inlineStr">
        <is>
          <t>A 34303-2026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46271</v>
      </c>
      <c r="F46" t="inlineStr">
        <is>
          <t>VÄSTMANLANDS LÄN</t>
        </is>
      </c>
      <c r="G46" t="inlineStr">
        <is>
          <t>SKINNSKATTEBERG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HYPERLINK("https://klasma.github.io/Logging_1904/artfynd/A 34303-2026 artfynd.xlsx", "A 34303-2026")</f>
        <v/>
      </c>
      <c r="X46">
        <f>HYPERLINK("https://klasma.github.io/Logging_1904/kartor/A 34303-2026 karta.png", "A 34303-2026")</f>
        <v/>
      </c>
      <c r="Y46">
        <f>HYPERLINK("https://klasma.github.io/Logging_1904/kartor_geotiff/A 34303-2026 georefererad karta.tif", "A 34303-2026")</f>
        <v/>
      </c>
      <c r="AA46">
        <f>HYPERLINK("https://klasma.github.io/Logging_1904/klagomål/A 34303-2026 FSC-klagomål.docx", "A 34303-2026")</f>
        <v/>
      </c>
      <c r="AB46">
        <f>HYPERLINK("https://klasma.github.io/Logging_1904/klagomålsmail/A 34303-2026 FSC-klagomål mail.docx", "A 34303-2026")</f>
        <v/>
      </c>
      <c r="AC46">
        <f>HYPERLINK("https://klasma.github.io/Logging_1904/tillsyn/A 34303-2026 tillsynsbegäran.docx", "A 34303-2026")</f>
        <v/>
      </c>
      <c r="AD46">
        <f>HYPERLINK("https://klasma.github.io/Logging_1904/tillsynsmail/A 34303-2026 tillsynsbegäran mail.docx", "A 34303-2026")</f>
        <v/>
      </c>
    </row>
    <row r="47" ht="15" customHeight="1">
      <c r="A47" t="inlineStr">
        <is>
          <t>A 35371-2026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46271</v>
      </c>
      <c r="F47" t="inlineStr">
        <is>
          <t>VÄSTMANLANDS LÄN</t>
        </is>
      </c>
      <c r="G47" t="inlineStr">
        <is>
          <t>SKINNSKATTEBERG</t>
        </is>
      </c>
      <c r="I47" t="n">
        <v>1.3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HYPERLINK("https://klasma.github.io/Logging_1904/artfynd/A 35371-2026 artfynd.xlsx", "A 35371-2026")</f>
        <v/>
      </c>
      <c r="X47">
        <f>HYPERLINK("https://klasma.github.io/Logging_1904/kartor/A 35371-2026 karta.png", "A 35371-2026")</f>
        <v/>
      </c>
      <c r="Y47">
        <f>HYPERLINK("https://klasma.github.io/Logging_1904/kartor_geotiff/A 35371-2026 georefererad karta.tif", "A 35371-2026")</f>
        <v/>
      </c>
      <c r="AA47">
        <f>HYPERLINK("https://klasma.github.io/Logging_1904/klagomål/A 35371-2026 FSC-klagomål.docx", "A 35371-2026")</f>
        <v/>
      </c>
      <c r="AB47">
        <f>HYPERLINK("https://klasma.github.io/Logging_1904/klagomålsmail/A 35371-2026 FSC-klagomål mail.docx", "A 35371-2026")</f>
        <v/>
      </c>
      <c r="AC47">
        <f>HYPERLINK("https://klasma.github.io/Logging_1904/tillsyn/A 35371-2026 tillsynsbegäran.docx", "A 35371-2026")</f>
        <v/>
      </c>
      <c r="AD47">
        <f>HYPERLINK("https://klasma.github.io/Logging_1904/tillsynsmail/A 35371-2026 tillsynsbegäran mail.docx", "A 35371-2026")</f>
        <v/>
      </c>
      <c r="AE47">
        <f>HYPERLINK("https://klasma.github.io/Logging_1904/fåglar/A 35371-2026 prioriterade fågelarter.docx", "A 35371-2026")</f>
        <v/>
      </c>
    </row>
    <row r="48" ht="15" customHeight="1">
      <c r="A48" t="inlineStr">
        <is>
          <t>A 36263-2026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46268</v>
      </c>
      <c r="E48" s="1" t="n">
        <v>46271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Lopplummer (aggregat)</t>
        </is>
      </c>
      <c r="W48">
        <f>HYPERLINK("https://klasma.github.io/Logging_1904/artfynd/A 36263-2026 artfynd.xlsx", "A 36263-2026")</f>
        <v/>
      </c>
      <c r="X48">
        <f>HYPERLINK("https://klasma.github.io/Logging_1904/kartor/A 36263-2026 karta.png", "A 36263-2026")</f>
        <v/>
      </c>
      <c r="Y48">
        <f>HYPERLINK("https://klasma.github.io/Logging_1904/kartor_geotiff/A 36263-2026 georefererad karta.tif", "A 36263-2026")</f>
        <v/>
      </c>
      <c r="AA48">
        <f>HYPERLINK("https://klasma.github.io/Logging_1904/klagomål/A 36263-2026 FSC-klagomål.docx", "A 36263-2026")</f>
        <v/>
      </c>
      <c r="AB48">
        <f>HYPERLINK("https://klasma.github.io/Logging_1904/klagomålsmail/A 36263-2026 FSC-klagomål mail.docx", "A 36263-2026")</f>
        <v/>
      </c>
      <c r="AC48">
        <f>HYPERLINK("https://klasma.github.io/Logging_1904/tillsyn/A 36263-2026 tillsynsbegäran.docx", "A 36263-2026")</f>
        <v/>
      </c>
      <c r="AD48">
        <f>HYPERLINK("https://klasma.github.io/Logging_1904/tillsynsmail/A 36263-2026 tillsynsbegäran mail.docx", "A 36263-2026")</f>
        <v/>
      </c>
    </row>
    <row r="49" ht="15" customHeight="1">
      <c r="A49" t="inlineStr">
        <is>
          <t>S 3632-2024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45548</v>
      </c>
      <c r="E49" s="1" t="n">
        <v>46271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196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Tjäder</t>
        </is>
      </c>
      <c r="W49">
        <f>HYPERLINK("https://klasma.github.io/Logging_1904/artfynd/S 3632-2024 artfynd.xlsx", "S 3632-2024")</f>
        <v/>
      </c>
      <c r="X49">
        <f>HYPERLINK("https://klasma.github.io/Logging_1904/kartor/S 3632-2024 karta.png", "S 3632-2024")</f>
        <v/>
      </c>
      <c r="Y49">
        <f>HYPERLINK("https://klasma.github.io/Logging_1904/kartor_geotiff/S 3632-2024 georefererad karta.tif", "S 3632-2024")</f>
        <v/>
      </c>
      <c r="AA49">
        <f>HYPERLINK("https://klasma.github.io/Logging_1904/klagomål/S 3632-2024 FSC-klagomål.docx", "S 3632-2024")</f>
        <v/>
      </c>
      <c r="AB49">
        <f>HYPERLINK("https://klasma.github.io/Logging_1904/klagomålsmail/S 3632-2024 FSC-klagomål mail.docx", "S 3632-2024")</f>
        <v/>
      </c>
      <c r="AC49">
        <f>HYPERLINK("https://klasma.github.io/Logging_1904/tillsyn/S 3632-2024 tillsynsbegäran.docx", "S 3632-2024")</f>
        <v/>
      </c>
      <c r="AD49">
        <f>HYPERLINK("https://klasma.github.io/Logging_1904/tillsynsmail/S 3632-2024 tillsynsbegäran mail.docx", "S 3632-2024")</f>
        <v/>
      </c>
      <c r="AE49">
        <f>HYPERLINK("https://klasma.github.io/Logging_1904/fåglar/S 3632-2024 prioriterade fågelarter.docx", "S 3632-2024")</f>
        <v/>
      </c>
    </row>
    <row r="50" ht="15" customHeight="1">
      <c r="A50" t="inlineStr">
        <is>
          <t>S 1982-2025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45832</v>
      </c>
      <c r="E50" s="1" t="n">
        <v>46271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HYPERLINK("https://klasma.github.io/Logging_1904/artfynd/S 1982-2025 artfynd.xlsx", "S 1982-2025")</f>
        <v/>
      </c>
      <c r="X50">
        <f>HYPERLINK("https://klasma.github.io/Logging_1904/kartor/S 1982-2025 karta.png", "S 1982-2025")</f>
        <v/>
      </c>
      <c r="Y50">
        <f>HYPERLINK("https://klasma.github.io/Logging_1904/kartor_geotiff/S 1982-2025 georefererad karta.tif", "S 1982-2025")</f>
        <v/>
      </c>
      <c r="AA50">
        <f>HYPERLINK("https://klasma.github.io/Logging_1904/klagomål/S 1982-2025 FSC-klagomål.docx", "S 1982-2025")</f>
        <v/>
      </c>
      <c r="AB50">
        <f>HYPERLINK("https://klasma.github.io/Logging_1904/klagomålsmail/S 1982-2025 FSC-klagomål mail.docx", "S 1982-2025")</f>
        <v/>
      </c>
      <c r="AC50">
        <f>HYPERLINK("https://klasma.github.io/Logging_1904/tillsyn/S 1982-2025 tillsynsbegäran.docx", "S 1982-2025")</f>
        <v/>
      </c>
      <c r="AD50">
        <f>HYPERLINK("https://klasma.github.io/Logging_1904/tillsynsmail/S 1982-2025 tillsynsbegäran mail.docx", "S 1982-2025")</f>
        <v/>
      </c>
      <c r="AE50">
        <f>HYPERLINK("https://klasma.github.io/Logging_1904/fåglar/S 1982-2025 prioriterade fågelarter.docx", "S 1982-2025")</f>
        <v/>
      </c>
    </row>
    <row r="51" ht="15" customHeight="1">
      <c r="A51" t="inlineStr">
        <is>
          <t>S 870-2026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46107</v>
      </c>
      <c r="E51" s="1" t="n">
        <v>46271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Koppartaggsvamp</t>
        </is>
      </c>
      <c r="W51">
        <f>HYPERLINK("https://klasma.github.io/Logging_1904/artfynd/S 870-2026 artfynd.xlsx", "S 870-2026")</f>
        <v/>
      </c>
      <c r="X51">
        <f>HYPERLINK("https://klasma.github.io/Logging_1904/kartor/S 870-2026 karta.png", "S 870-2026")</f>
        <v/>
      </c>
      <c r="Y51">
        <f>HYPERLINK("https://klasma.github.io/Logging_1904/kartor_geotiff/S 870-2026 georefererad karta.tif", "S 870-2026")</f>
        <v/>
      </c>
      <c r="AA51">
        <f>HYPERLINK("https://klasma.github.io/Logging_1904/klagomål/S 870-2026 FSC-klagomål.docx", "S 870-2026")</f>
        <v/>
      </c>
      <c r="AB51">
        <f>HYPERLINK("https://klasma.github.io/Logging_1904/klagomålsmail/S 870-2026 FSC-klagomål mail.docx", "S 870-2026")</f>
        <v/>
      </c>
      <c r="AC51">
        <f>HYPERLINK("https://klasma.github.io/Logging_1904/tillsyn/S 870-2026 tillsynsbegäran.docx", "S 870-2026")</f>
        <v/>
      </c>
      <c r="AD51">
        <f>HYPERLINK("https://klasma.github.io/Logging_1904/tillsynsmail/S 870-2026 tillsynsbegäran mail.docx", "S 870-2026")</f>
        <v/>
      </c>
    </row>
    <row r="52" ht="15" customHeight="1">
      <c r="A52" t="inlineStr">
        <is>
          <t>A 33600-2022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44789</v>
      </c>
      <c r="E52" s="1" t="n">
        <v>46271</v>
      </c>
      <c r="F52" t="inlineStr">
        <is>
          <t>VÄSTMANLANDS LÄN</t>
        </is>
      </c>
      <c r="G52" t="inlineStr">
        <is>
          <t>SKINNSKATTEBERG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44545</v>
      </c>
      <c r="E53" s="1" t="n">
        <v>46271</v>
      </c>
      <c r="F53" t="inlineStr">
        <is>
          <t>VÄSTMANLANDS LÄN</t>
        </is>
      </c>
      <c r="G53" t="inlineStr">
        <is>
          <t>SKINNSKATTEBERG</t>
        </is>
      </c>
      <c r="I53" t="n">
        <v>7.9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53454-2022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44879</v>
      </c>
      <c r="E54" s="1" t="n">
        <v>46271</v>
      </c>
      <c r="F54" t="inlineStr">
        <is>
          <t>VÄSTMANLANDS LÄN</t>
        </is>
      </c>
      <c r="G54" t="inlineStr">
        <is>
          <t>SKINNSKATTEBERG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46271</v>
      </c>
      <c r="F55" t="inlineStr">
        <is>
          <t>VÄSTMANLANDS LÄN</t>
        </is>
      </c>
      <c r="G55" t="inlineStr">
        <is>
          <t>SKINNSKATTEBERG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16860-2022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44674</v>
      </c>
      <c r="E56" s="1" t="n">
        <v>46271</v>
      </c>
      <c r="F56" t="inlineStr">
        <is>
          <t>VÄSTMANLANDS LÄN</t>
        </is>
      </c>
      <c r="G56" t="inlineStr">
        <is>
          <t>SKINNSKATTEBERG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46271</v>
      </c>
      <c r="F57" t="inlineStr">
        <is>
          <t>VÄSTMANLANDS LÄN</t>
        </is>
      </c>
      <c r="G57" t="inlineStr">
        <is>
          <t>SKINNSKATTEBERG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69259-2021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46271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72634-2021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46271</v>
      </c>
      <c r="F59" t="inlineStr">
        <is>
          <t>VÄSTMANLANDS LÄN</t>
        </is>
      </c>
      <c r="G59" t="inlineStr">
        <is>
          <t>SKINNSKATTEBERG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44741</v>
      </c>
      <c r="E60" s="1" t="n">
        <v>46271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46271</v>
      </c>
      <c r="F61" t="inlineStr">
        <is>
          <t>VÄSTMANLANDS LÄN</t>
        </is>
      </c>
      <c r="G61" t="inlineStr">
        <is>
          <t>SKINNSKATTEBERG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46271</v>
      </c>
      <c r="F62" t="inlineStr">
        <is>
          <t>VÄSTMANLANDS LÄN</t>
        </is>
      </c>
      <c r="G62" t="inlineStr">
        <is>
          <t>SKINNSKATTEBERG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46271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46271</v>
      </c>
      <c r="F64" t="inlineStr">
        <is>
          <t>VÄSTMANLANDS LÄN</t>
        </is>
      </c>
      <c r="G64" t="inlineStr">
        <is>
          <t>SKINNSKATTEBERG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44519</v>
      </c>
      <c r="E65" s="1" t="n">
        <v>46271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46271</v>
      </c>
      <c r="F66" t="inlineStr">
        <is>
          <t>VÄSTMANLANDS LÄN</t>
        </is>
      </c>
      <c r="G66" t="inlineStr">
        <is>
          <t>SKINNSKATTEBERG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46271</v>
      </c>
      <c r="F67" t="inlineStr">
        <is>
          <t>VÄSTMANLANDS LÄN</t>
        </is>
      </c>
      <c r="G67" t="inlineStr">
        <is>
          <t>SKINNSKATTEBERG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46271</v>
      </c>
      <c r="F68" t="inlineStr">
        <is>
          <t>VÄSTMANLANDS LÄN</t>
        </is>
      </c>
      <c r="G68" t="inlineStr">
        <is>
          <t>SKINNSKATTEBERG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46271</v>
      </c>
      <c r="F69" t="inlineStr">
        <is>
          <t>VÄSTMANLANDS LÄN</t>
        </is>
      </c>
      <c r="G69" t="inlineStr">
        <is>
          <t>SKINNSKATTEBERG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46469-2021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46271</v>
      </c>
      <c r="F70" t="inlineStr">
        <is>
          <t>VÄSTMANLANDS LÄN</t>
        </is>
      </c>
      <c r="G70" t="inlineStr">
        <is>
          <t>SKINNSKATTEBERG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46271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46271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46271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46271</v>
      </c>
      <c r="F74" t="inlineStr">
        <is>
          <t>VÄSTMANLANDS LÄN</t>
        </is>
      </c>
      <c r="G74" t="inlineStr">
        <is>
          <t>SKINNSKATTEBERG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45058</v>
      </c>
      <c r="E75" s="1" t="n">
        <v>46271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46271</v>
      </c>
      <c r="F76" t="inlineStr">
        <is>
          <t>VÄSTMANLANDS LÄN</t>
        </is>
      </c>
      <c r="G76" t="inlineStr">
        <is>
          <t>SKINNSKATTEBERG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45762</v>
      </c>
      <c r="E77" s="1" t="n">
        <v>46271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45237</v>
      </c>
      <c r="E78" s="1" t="n">
        <v>46271</v>
      </c>
      <c r="F78" t="inlineStr">
        <is>
          <t>VÄSTMANLANDS LÄN</t>
        </is>
      </c>
      <c r="G78" t="inlineStr">
        <is>
          <t>SKINNSKATTEBERG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51472-2024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45604</v>
      </c>
      <c r="E79" s="1" t="n">
        <v>46271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52532-2024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45609</v>
      </c>
      <c r="E80" s="1" t="n">
        <v>46271</v>
      </c>
      <c r="F80" t="inlineStr">
        <is>
          <t>VÄSTMANLANDS LÄN</t>
        </is>
      </c>
      <c r="G80" t="inlineStr">
        <is>
          <t>SKINNSKATTEBERG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18516-2024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45425</v>
      </c>
      <c r="E81" s="1" t="n">
        <v>46271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46271</v>
      </c>
      <c r="F82" t="inlineStr">
        <is>
          <t>VÄSTMANLANDS LÄN</t>
        </is>
      </c>
      <c r="G82" t="inlineStr">
        <is>
          <t>SKINNSKATTEBERG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46271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46271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Kyrkan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16088-2024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45406</v>
      </c>
      <c r="E85" s="1" t="n">
        <v>46271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46271</v>
      </c>
      <c r="F86" t="inlineStr">
        <is>
          <t>VÄSTMANLANDS LÄN</t>
        </is>
      </c>
      <c r="G86" t="inlineStr">
        <is>
          <t>SKINNSKATTEBERG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46271</v>
      </c>
      <c r="F87" t="inlineStr">
        <is>
          <t>VÄSTMANLANDS LÄN</t>
        </is>
      </c>
      <c r="G87" t="inlineStr">
        <is>
          <t>SKINNSKATTEBERG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18161-2024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45420</v>
      </c>
      <c r="E88" s="1" t="n">
        <v>46271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31629-2024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45506</v>
      </c>
      <c r="E89" s="1" t="n">
        <v>46271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53145-2021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44468</v>
      </c>
      <c r="E90" s="1" t="n">
        <v>46271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28058-2024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45476</v>
      </c>
      <c r="E91" s="1" t="n">
        <v>46271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53243-2021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44468</v>
      </c>
      <c r="E92" s="1" t="n">
        <v>46271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59578-2024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45637</v>
      </c>
      <c r="E93" s="1" t="n">
        <v>46271</v>
      </c>
      <c r="F93" t="inlineStr">
        <is>
          <t>VÄSTMANLANDS LÄN</t>
        </is>
      </c>
      <c r="G93" t="inlineStr">
        <is>
          <t>SKINNSKATTEBERG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50407-2023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46271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46271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Kyrkan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11800-2024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45375</v>
      </c>
      <c r="E96" s="1" t="n">
        <v>46271</v>
      </c>
      <c r="F96" t="inlineStr">
        <is>
          <t>VÄSTMANLANDS LÄN</t>
        </is>
      </c>
      <c r="G96" t="inlineStr">
        <is>
          <t>SKINNSKATTEBERG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45250</v>
      </c>
      <c r="E97" s="1" t="n">
        <v>46271</v>
      </c>
      <c r="F97" t="inlineStr">
        <is>
          <t>VÄSTMANLANDS LÄN</t>
        </is>
      </c>
      <c r="G97" t="inlineStr">
        <is>
          <t>SKINNSKATTEBERG</t>
        </is>
      </c>
      <c r="I97" t="n">
        <v>10.1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46271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25846-2025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45804</v>
      </c>
      <c r="E99" s="1" t="n">
        <v>46271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45247</v>
      </c>
      <c r="E100" s="1" t="n">
        <v>46271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45162</v>
      </c>
      <c r="E101" s="1" t="n">
        <v>46271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46271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45480</v>
      </c>
      <c r="E103" s="1" t="n">
        <v>46271</v>
      </c>
      <c r="F103" t="inlineStr">
        <is>
          <t>VÄSTMANLANDS LÄN</t>
        </is>
      </c>
      <c r="G103" t="inlineStr">
        <is>
          <t>SKINNSKATTEBERG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46271</v>
      </c>
      <c r="F104" t="inlineStr">
        <is>
          <t>VÄSTMANLANDS LÄN</t>
        </is>
      </c>
      <c r="G104" t="inlineStr">
        <is>
          <t>SKINNSKATTEBERG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46271</v>
      </c>
      <c r="F105" t="inlineStr">
        <is>
          <t>VÄSTMANLANDS LÄN</t>
        </is>
      </c>
      <c r="G105" t="inlineStr">
        <is>
          <t>SKINNSKATTEBERG</t>
        </is>
      </c>
      <c r="I105" t="n">
        <v>10.5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46271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28831-2025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45820</v>
      </c>
      <c r="E107" s="1" t="n">
        <v>46271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28873-2025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45820</v>
      </c>
      <c r="E108" s="1" t="n">
        <v>46271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29808-2025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45825</v>
      </c>
      <c r="E109" s="1" t="n">
        <v>46271</v>
      </c>
      <c r="F109" t="inlineStr">
        <is>
          <t>VÄSTMANLANDS LÄN</t>
        </is>
      </c>
      <c r="G109" t="inlineStr">
        <is>
          <t>SKINNSKATTEBERG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45770</v>
      </c>
      <c r="E110" s="1" t="n">
        <v>46271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46271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40776-2025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45897</v>
      </c>
      <c r="E112" s="1" t="n">
        <v>46271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46271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46271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40783-2025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45897</v>
      </c>
      <c r="E115" s="1" t="n">
        <v>46271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40782-2025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45897</v>
      </c>
      <c r="E116" s="1" t="n">
        <v>46271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45825</v>
      </c>
      <c r="E117" s="1" t="n">
        <v>46271</v>
      </c>
      <c r="F117" t="inlineStr">
        <is>
          <t>VÄSTMANLANDS LÄN</t>
        </is>
      </c>
      <c r="G117" t="inlineStr">
        <is>
          <t>SKINNSKATTEBERG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45571</v>
      </c>
      <c r="E118" s="1" t="n">
        <v>46271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46271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30439-2025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45827</v>
      </c>
      <c r="E120" s="1" t="n">
        <v>46271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35706-2024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45532</v>
      </c>
      <c r="E121" s="1" t="n">
        <v>46271</v>
      </c>
      <c r="F121" t="inlineStr">
        <is>
          <t>VÄSTMANLANDS LÄN</t>
        </is>
      </c>
      <c r="G121" t="inlineStr">
        <is>
          <t>SKINNSKATTEBERG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16089-2024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45406</v>
      </c>
      <c r="E122" s="1" t="n">
        <v>46271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46271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46271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31234-2025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45832</v>
      </c>
      <c r="E125" s="1" t="n">
        <v>46271</v>
      </c>
      <c r="F125" t="inlineStr">
        <is>
          <t>VÄSTMANLANDS LÄN</t>
        </is>
      </c>
      <c r="G125" t="inlineStr">
        <is>
          <t>SKINNSKATTEBERG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46271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46271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46271</v>
      </c>
      <c r="F128" t="inlineStr">
        <is>
          <t>VÄSTMANLANDS LÄN</t>
        </is>
      </c>
      <c r="G128" t="inlineStr">
        <is>
          <t>SKINNSKATTEBERG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46271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45915</v>
      </c>
      <c r="E130" s="1" t="n">
        <v>46271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44184-2025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45915</v>
      </c>
      <c r="E131" s="1" t="n">
        <v>46271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41581-2025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45901</v>
      </c>
      <c r="E132" s="1" t="n">
        <v>46271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46271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46271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46271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46271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46271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45245</v>
      </c>
      <c r="E138" s="1" t="n">
        <v>46271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44603</v>
      </c>
      <c r="E139" s="1" t="n">
        <v>46271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Kyrkan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34720-2025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45848</v>
      </c>
      <c r="E140" s="1" t="n">
        <v>46271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46271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46271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47693-2023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46271</v>
      </c>
      <c r="F143" t="inlineStr">
        <is>
          <t>VÄSTMANLANDS LÄN</t>
        </is>
      </c>
      <c r="G143" t="inlineStr">
        <is>
          <t>SKINNSKATTEBERG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45853</v>
      </c>
      <c r="E144" s="1" t="n">
        <v>46271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45554</v>
      </c>
      <c r="E145" s="1" t="n">
        <v>46271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44964</v>
      </c>
      <c r="E146" s="1" t="n">
        <v>46271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35205-2025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45853</v>
      </c>
      <c r="E147" s="1" t="n">
        <v>46271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44993</v>
      </c>
      <c r="E148" s="1" t="n">
        <v>46271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46271</v>
      </c>
      <c r="F149" t="inlineStr">
        <is>
          <t>VÄSTMANLANDS LÄN</t>
        </is>
      </c>
      <c r="G149" t="inlineStr">
        <is>
          <t>SKINNSKATTEBERG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46271</v>
      </c>
      <c r="F150" t="inlineStr">
        <is>
          <t>VÄSTMANLANDS LÄN</t>
        </is>
      </c>
      <c r="G150" t="inlineStr">
        <is>
          <t>SKINNSKATTEBERG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46271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51026-2025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45947</v>
      </c>
      <c r="E152" s="1" t="n">
        <v>46271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51028-2025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45947</v>
      </c>
      <c r="E153" s="1" t="n">
        <v>46271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46271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46271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46271</v>
      </c>
      <c r="F156" t="inlineStr">
        <is>
          <t>VÄSTMANLANDS LÄN</t>
        </is>
      </c>
      <c r="G156" t="inlineStr">
        <is>
          <t>SKINNSKATTEBERG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54589-2024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46271</v>
      </c>
      <c r="F157" t="inlineStr">
        <is>
          <t>VÄSTMANLANDS LÄN</t>
        </is>
      </c>
      <c r="G157" t="inlineStr">
        <is>
          <t>SKINNSKATTEBERG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37763-2025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45880</v>
      </c>
      <c r="E158" s="1" t="n">
        <v>46271</v>
      </c>
      <c r="F158" t="inlineStr">
        <is>
          <t>VÄSTMANLANDS LÄN</t>
        </is>
      </c>
      <c r="G158" t="inlineStr">
        <is>
          <t>SKINNSKATTEBERG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45754</v>
      </c>
      <c r="E159" s="1" t="n">
        <v>46271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5704-2026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46051</v>
      </c>
      <c r="E160" s="1" t="n">
        <v>46271</v>
      </c>
      <c r="F160" t="inlineStr">
        <is>
          <t>VÄSTMANLANDS LÄN</t>
        </is>
      </c>
      <c r="G160" t="inlineStr">
        <is>
          <t>SKINNSKATTEBERG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45959</v>
      </c>
      <c r="E161" s="1" t="n">
        <v>46271</v>
      </c>
      <c r="F161" t="inlineStr">
        <is>
          <t>VÄSTMANLANDS LÄN</t>
        </is>
      </c>
      <c r="G161" t="inlineStr">
        <is>
          <t>SKINNSKATTEBERG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5693-2026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46051</v>
      </c>
      <c r="E162" s="1" t="n">
        <v>46271</v>
      </c>
      <c r="F162" t="inlineStr">
        <is>
          <t>VÄSTMANLANDS LÄN</t>
        </is>
      </c>
      <c r="G162" t="inlineStr">
        <is>
          <t>SKINNSKATTEBERG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5675-2026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46051</v>
      </c>
      <c r="E163" s="1" t="n">
        <v>46271</v>
      </c>
      <c r="F163" t="inlineStr">
        <is>
          <t>VÄSTMANLANDS LÄN</t>
        </is>
      </c>
      <c r="G163" t="inlineStr">
        <is>
          <t>SKINNSKATTEBERG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46271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46271</v>
      </c>
      <c r="F165" t="inlineStr">
        <is>
          <t>VÄSTMANLANDS LÄN</t>
        </is>
      </c>
      <c r="G165" t="inlineStr">
        <is>
          <t>SKINNSKATTEBERG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46271</v>
      </c>
      <c r="F166" t="inlineStr">
        <is>
          <t>VÄSTMANLANDS LÄN</t>
        </is>
      </c>
      <c r="G166" t="inlineStr">
        <is>
          <t>SKINNSKATTEBERG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46056</v>
      </c>
      <c r="E167" s="1" t="n">
        <v>46271</v>
      </c>
      <c r="F167" t="inlineStr">
        <is>
          <t>VÄSTMANLANDS LÄN</t>
        </is>
      </c>
      <c r="G167" t="inlineStr">
        <is>
          <t>SKINNSKATTEBERG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46271</v>
      </c>
      <c r="F168" t="inlineStr">
        <is>
          <t>VÄSTMANLANDS LÄN</t>
        </is>
      </c>
      <c r="G168" t="inlineStr">
        <is>
          <t>SKINNSKATTEBERG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21579-2023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45063</v>
      </c>
      <c r="E169" s="1" t="n">
        <v>46271</v>
      </c>
      <c r="F169" t="inlineStr">
        <is>
          <t>VÄSTMANLANDS LÄN</t>
        </is>
      </c>
      <c r="G169" t="inlineStr">
        <is>
          <t>SKINNSKATTEBERG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31262-2023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45114</v>
      </c>
      <c r="E170" s="1" t="n">
        <v>46271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7.9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46271</v>
      </c>
      <c r="F171" t="inlineStr">
        <is>
          <t>VÄSTMANLANDS LÄN</t>
        </is>
      </c>
      <c r="G171" t="inlineStr">
        <is>
          <t>SKINNSKATTEBERG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46271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46271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8.699999999999999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55005-2025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46271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45571</v>
      </c>
      <c r="E175" s="1" t="n">
        <v>46271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45571</v>
      </c>
      <c r="E176" s="1" t="n">
        <v>46271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45237</v>
      </c>
      <c r="E177" s="1" t="n">
        <v>46271</v>
      </c>
      <c r="F177" t="inlineStr">
        <is>
          <t>VÄSTMANLANDS LÄN</t>
        </is>
      </c>
      <c r="G177" t="inlineStr">
        <is>
          <t>SKINNSKATTEBERG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20248-2024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45434</v>
      </c>
      <c r="E178" s="1" t="n">
        <v>46271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46271</v>
      </c>
      <c r="F179" t="inlineStr">
        <is>
          <t>VÄSTMANLANDS LÄN</t>
        </is>
      </c>
      <c r="G179" t="inlineStr">
        <is>
          <t>SKINNSKATTEBERG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46271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46271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46271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56465-2025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45975</v>
      </c>
      <c r="E183" s="1" t="n">
        <v>46271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16729-2024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45410</v>
      </c>
      <c r="E184" s="1" t="n">
        <v>46271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57282-2025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45979</v>
      </c>
      <c r="E185" s="1" t="n">
        <v>46271</v>
      </c>
      <c r="F185" t="inlineStr">
        <is>
          <t>VÄSTMANLANDS LÄN</t>
        </is>
      </c>
      <c r="G185" t="inlineStr">
        <is>
          <t>SKINNSKATTEBERG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33900-2023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45134</v>
      </c>
      <c r="E186" s="1" t="n">
        <v>46271</v>
      </c>
      <c r="F186" t="inlineStr">
        <is>
          <t>VÄSTMANLANDS LÄN</t>
        </is>
      </c>
      <c r="G186" t="inlineStr">
        <is>
          <t>SKINNSKATTEBERG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45096</v>
      </c>
      <c r="E187" s="1" t="n">
        <v>46271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45740</v>
      </c>
      <c r="E188" s="1" t="n">
        <v>46271</v>
      </c>
      <c r="F188" t="inlineStr">
        <is>
          <t>VÄSTMANLANDS LÄN</t>
        </is>
      </c>
      <c r="G188" t="inlineStr">
        <is>
          <t>SKINNSKATTEBERG</t>
        </is>
      </c>
      <c r="I188" t="n">
        <v>10.4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46271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11826-2024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45376</v>
      </c>
      <c r="E190" s="1" t="n">
        <v>46271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46271</v>
      </c>
      <c r="F191" t="inlineStr">
        <is>
          <t>VÄSTMANLANDS LÄN</t>
        </is>
      </c>
      <c r="G191" t="inlineStr">
        <is>
          <t>SKINNSKATTEBERG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46271</v>
      </c>
      <c r="F192" t="inlineStr">
        <is>
          <t>VÄSTMANLANDS LÄN</t>
        </is>
      </c>
      <c r="G192" t="inlineStr">
        <is>
          <t>SKINNSKATTEBERG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46271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Kyrkan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46271</v>
      </c>
      <c r="F194" t="inlineStr">
        <is>
          <t>VÄSTMANLANDS LÄN</t>
        </is>
      </c>
      <c r="G194" t="inlineStr">
        <is>
          <t>SKINNSKATTEBERG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25843-2023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45090</v>
      </c>
      <c r="E195" s="1" t="n">
        <v>46271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46271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46271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45329</v>
      </c>
      <c r="E198" s="1" t="n">
        <v>46271</v>
      </c>
      <c r="F198" t="inlineStr">
        <is>
          <t>VÄSTMANLANDS LÄN</t>
        </is>
      </c>
      <c r="G198" t="inlineStr">
        <is>
          <t>SKINNSKATTEBERG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58834-2022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44903</v>
      </c>
      <c r="E199" s="1" t="n">
        <v>46271</v>
      </c>
      <c r="F199" t="inlineStr">
        <is>
          <t>VÄSTMANLANDS LÄN</t>
        </is>
      </c>
      <c r="G199" t="inlineStr">
        <is>
          <t>SKINNSKATTEBERG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44648</v>
      </c>
      <c r="E200" s="1" t="n">
        <v>46271</v>
      </c>
      <c r="F200" t="inlineStr">
        <is>
          <t>VÄSTMANLANDS LÄN</t>
        </is>
      </c>
      <c r="G200" t="inlineStr">
        <is>
          <t>SKINNSKATTEBERG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46003</v>
      </c>
      <c r="E201" s="1" t="n">
        <v>46271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46271</v>
      </c>
      <c r="F202" t="inlineStr">
        <is>
          <t>VÄSTMANLANDS LÄN</t>
        </is>
      </c>
      <c r="G202" t="inlineStr">
        <is>
          <t>SKINNSKATTEBERG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46271</v>
      </c>
      <c r="F203" t="inlineStr">
        <is>
          <t>VÄSTMANLANDS LÄN</t>
        </is>
      </c>
      <c r="G203" t="inlineStr">
        <is>
          <t>SKINNSKATTEBERG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46271</v>
      </c>
      <c r="F204" t="inlineStr">
        <is>
          <t>VÄSTMANLANDS LÄN</t>
        </is>
      </c>
      <c r="G204" t="inlineStr">
        <is>
          <t>SKINNSKATTEBERG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62933-2025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46271</v>
      </c>
      <c r="F205" t="inlineStr">
        <is>
          <t>VÄSTMANLANDS LÄN</t>
        </is>
      </c>
      <c r="G205" t="inlineStr">
        <is>
          <t>SKINNSKATTEBERG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45537</v>
      </c>
      <c r="E206" s="1" t="n">
        <v>46271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45177</v>
      </c>
      <c r="E207" s="1" t="n">
        <v>46271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46105</v>
      </c>
      <c r="E208" s="1" t="n">
        <v>46271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55428-2021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44475</v>
      </c>
      <c r="E209" s="1" t="n">
        <v>46271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53880-2021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44469</v>
      </c>
      <c r="E210" s="1" t="n">
        <v>46271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52600-2021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44466</v>
      </c>
      <c r="E211" s="1" t="n">
        <v>46271</v>
      </c>
      <c r="F211" t="inlineStr">
        <is>
          <t>VÄSTMANLANDS LÄN</t>
        </is>
      </c>
      <c r="G211" t="inlineStr">
        <is>
          <t>SKINNSKATTEBERG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53183-2021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44468</v>
      </c>
      <c r="E212" s="1" t="n">
        <v>46271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46107</v>
      </c>
      <c r="E213" s="1" t="n">
        <v>46271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18163-2024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45420</v>
      </c>
      <c r="E214" s="1" t="n">
        <v>46271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15955-2026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46108</v>
      </c>
      <c r="E215" s="1" t="n">
        <v>46271</v>
      </c>
      <c r="F215" t="inlineStr">
        <is>
          <t>VÄSTMANLANDS LÄN</t>
        </is>
      </c>
      <c r="G215" t="inlineStr">
        <is>
          <t>SKINNSKATTEBERG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46107</v>
      </c>
      <c r="E216" s="1" t="n">
        <v>46271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16136-2026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46108</v>
      </c>
      <c r="E217" s="1" t="n">
        <v>46271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46107</v>
      </c>
      <c r="E218" s="1" t="n">
        <v>46271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16304-2026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46271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46271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51508-2021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44462</v>
      </c>
      <c r="E221" s="1" t="n">
        <v>46271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35370-2024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46271</v>
      </c>
      <c r="F222" t="inlineStr">
        <is>
          <t>VÄSTMANLANDS LÄN</t>
        </is>
      </c>
      <c r="G222" t="inlineStr">
        <is>
          <t>SKINNSKATTEBERG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46271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53142-2021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44468</v>
      </c>
      <c r="E224" s="1" t="n">
        <v>46271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46114</v>
      </c>
      <c r="E225" s="1" t="n">
        <v>46271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17344-2026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46119</v>
      </c>
      <c r="E226" s="1" t="n">
        <v>46271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45512</v>
      </c>
      <c r="E227" s="1" t="n">
        <v>46271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46122</v>
      </c>
      <c r="E228" s="1" t="n">
        <v>46271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45604</v>
      </c>
      <c r="E229" s="1" t="n">
        <v>46271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46129</v>
      </c>
      <c r="E230" s="1" t="n">
        <v>46271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45407</v>
      </c>
      <c r="E231" s="1" t="n">
        <v>46271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49847-2021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44455</v>
      </c>
      <c r="E232" s="1" t="n">
        <v>46271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44803</v>
      </c>
      <c r="E233" s="1" t="n">
        <v>46271</v>
      </c>
      <c r="F233" t="inlineStr">
        <is>
          <t>VÄSTMANLANDS LÄN</t>
        </is>
      </c>
      <c r="G233" t="inlineStr">
        <is>
          <t>SKINNSKATTEBERG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19540-2026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46134</v>
      </c>
      <c r="E234" s="1" t="n">
        <v>46271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19541-2026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46134</v>
      </c>
      <c r="E235" s="1" t="n">
        <v>46271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19582-2026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46134</v>
      </c>
      <c r="E236" s="1" t="n">
        <v>46271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22611-2024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45447</v>
      </c>
      <c r="E237" s="1" t="n">
        <v>46271</v>
      </c>
      <c r="F237" t="inlineStr">
        <is>
          <t>VÄSTMANLANDS LÄN</t>
        </is>
      </c>
      <c r="G237" t="inlineStr">
        <is>
          <t>SKINNSKATTEBERG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45429</v>
      </c>
      <c r="E238" s="1" t="n">
        <v>46271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45054</v>
      </c>
      <c r="E239" s="1" t="n">
        <v>46271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36248-2024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45534</v>
      </c>
      <c r="E240" s="1" t="n">
        <v>46271</v>
      </c>
      <c r="F240" t="inlineStr">
        <is>
          <t>VÄSTMANLANDS LÄN</t>
        </is>
      </c>
      <c r="G240" t="inlineStr">
        <is>
          <t>SKINNSKATTEBERG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45056</v>
      </c>
      <c r="E241" s="1" t="n">
        <v>46271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45617</v>
      </c>
      <c r="E242" s="1" t="n">
        <v>46271</v>
      </c>
      <c r="F242" t="inlineStr">
        <is>
          <t>VÄSTMANLANDS LÄN</t>
        </is>
      </c>
      <c r="G242" t="inlineStr">
        <is>
          <t>SKINNSKATTEBERG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13713-2024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45390</v>
      </c>
      <c r="E243" s="1" t="n">
        <v>46271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46271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22591-2024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45447</v>
      </c>
      <c r="E245" s="1" t="n">
        <v>46271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29708-2024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45485</v>
      </c>
      <c r="E246" s="1" t="n">
        <v>46271</v>
      </c>
      <c r="F246" t="inlineStr">
        <is>
          <t>VÄSTMANLANDS LÄN</t>
        </is>
      </c>
      <c r="G246" t="inlineStr">
        <is>
          <t>SKINNSKATTEBERG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47137-2024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45586</v>
      </c>
      <c r="E247" s="1" t="n">
        <v>46271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46271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13385-2024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45387</v>
      </c>
      <c r="E249" s="1" t="n">
        <v>46271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45063</v>
      </c>
      <c r="E250" s="1" t="n">
        <v>46271</v>
      </c>
      <c r="F250" t="inlineStr">
        <is>
          <t>VÄSTMANLANDS LÄN</t>
        </is>
      </c>
      <c r="G250" t="inlineStr">
        <is>
          <t>SKINNSKATTEBERG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15540-2024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45401</v>
      </c>
      <c r="E251" s="1" t="n">
        <v>46271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20623-2026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46141</v>
      </c>
      <c r="E252" s="1" t="n">
        <v>46271</v>
      </c>
      <c r="F252" t="inlineStr">
        <is>
          <t>VÄSTMANLANDS LÄN</t>
        </is>
      </c>
      <c r="G252" t="inlineStr">
        <is>
          <t>SKINNSKATTEBERG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46271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20563-2026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46140</v>
      </c>
      <c r="E254" s="1" t="n">
        <v>46271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37432-2023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45156</v>
      </c>
      <c r="E255" s="1" t="n">
        <v>46271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46142</v>
      </c>
      <c r="E256" s="1" t="n">
        <v>46271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20840-2026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46142</v>
      </c>
      <c r="E257" s="1" t="n">
        <v>46271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20850-2026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46142</v>
      </c>
      <c r="E258" s="1" t="n">
        <v>46271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46142</v>
      </c>
      <c r="E259" s="1" t="n">
        <v>46271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46142</v>
      </c>
      <c r="E260" s="1" t="n">
        <v>46271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46142</v>
      </c>
      <c r="E261" s="1" t="n">
        <v>46271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46142</v>
      </c>
      <c r="E262" s="1" t="n">
        <v>46271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46271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40545-2023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45170</v>
      </c>
      <c r="E264" s="1" t="n">
        <v>46271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40998-2024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45558</v>
      </c>
      <c r="E265" s="1" t="n">
        <v>46271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10232-2025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45720</v>
      </c>
      <c r="E266" s="1" t="n">
        <v>46271</v>
      </c>
      <c r="F266" t="inlineStr">
        <is>
          <t>VÄSTMANLANDS LÄN</t>
        </is>
      </c>
      <c r="G266" t="inlineStr">
        <is>
          <t>SKINNSKATTEBERG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46150</v>
      </c>
      <c r="E267" s="1" t="n">
        <v>46271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21848-2026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46150</v>
      </c>
      <c r="E268" s="1" t="n">
        <v>46271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44693-2024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45574</v>
      </c>
      <c r="E269" s="1" t="n">
        <v>46271</v>
      </c>
      <c r="F269" t="inlineStr">
        <is>
          <t>VÄSTMANLANDS LÄN</t>
        </is>
      </c>
      <c r="G269" t="inlineStr">
        <is>
          <t>SKINNSKATTEBERG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44694-2024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46271</v>
      </c>
      <c r="F270" t="inlineStr">
        <is>
          <t>VÄSTMANLANDS LÄN</t>
        </is>
      </c>
      <c r="G270" t="inlineStr">
        <is>
          <t>SKINNSKATTEBERG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46154</v>
      </c>
      <c r="E271" s="1" t="n">
        <v>46271</v>
      </c>
      <c r="F271" t="inlineStr">
        <is>
          <t>VÄSTMANLANDS LÄN</t>
        </is>
      </c>
      <c r="G271" t="inlineStr">
        <is>
          <t>SKINNSKATTEBERG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22779-2026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46157</v>
      </c>
      <c r="E272" s="1" t="n">
        <v>46271</v>
      </c>
      <c r="F272" t="inlineStr">
        <is>
          <t>VÄSTMANLANDS LÄN</t>
        </is>
      </c>
      <c r="G272" t="inlineStr">
        <is>
          <t>SKINNSKATTEBERG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45082</v>
      </c>
      <c r="E273" s="1" t="n">
        <v>46271</v>
      </c>
      <c r="F273" t="inlineStr">
        <is>
          <t>VÄSTMANLANDS LÄN</t>
        </is>
      </c>
      <c r="G273" t="inlineStr">
        <is>
          <t>SKINNSKATTEBERG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61181-2021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44498</v>
      </c>
      <c r="E274" s="1" t="n">
        <v>46271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45128</v>
      </c>
      <c r="E275" s="1" t="n">
        <v>46271</v>
      </c>
      <c r="F275" t="inlineStr">
        <is>
          <t>VÄSTMANLANDS LÄN</t>
        </is>
      </c>
      <c r="G275" t="inlineStr">
        <is>
          <t>SKINNSKATTEBERG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40320-2023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46271</v>
      </c>
      <c r="F276" t="inlineStr">
        <is>
          <t>VÄSTMANLANDS LÄN</t>
        </is>
      </c>
      <c r="G276" t="inlineStr">
        <is>
          <t>SKINNSKATTEBERG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46271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23566-2026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46271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40179-2024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45554</v>
      </c>
      <c r="E279" s="1" t="n">
        <v>46271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23560-2026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46271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46271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46271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45085</v>
      </c>
      <c r="E283" s="1" t="n">
        <v>46271</v>
      </c>
      <c r="F283" t="inlineStr">
        <is>
          <t>VÄSTMANLANDS LÄN</t>
        </is>
      </c>
      <c r="G283" t="inlineStr">
        <is>
          <t>SKINNSKATTEBERG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54501-2024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45617</v>
      </c>
      <c r="E284" s="1" t="n">
        <v>46271</v>
      </c>
      <c r="F284" t="inlineStr">
        <is>
          <t>VÄSTMANLANDS LÄN</t>
        </is>
      </c>
      <c r="G284" t="inlineStr">
        <is>
          <t>SKINNSKATTEBERG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44965</v>
      </c>
      <c r="E285" s="1" t="n">
        <v>46271</v>
      </c>
      <c r="F285" t="inlineStr">
        <is>
          <t>VÄSTMANLANDS LÄN</t>
        </is>
      </c>
      <c r="G285" t="inlineStr">
        <is>
          <t>SKINNSKATTEBERG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46271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45006</v>
      </c>
      <c r="E287" s="1" t="n">
        <v>46271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Allmännings- och besparingsskogar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45385</v>
      </c>
      <c r="E288" s="1" t="n">
        <v>46271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46170</v>
      </c>
      <c r="E289" s="1" t="n">
        <v>46271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46271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24495-2026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46170</v>
      </c>
      <c r="E291" s="1" t="n">
        <v>46271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24489-2026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46170</v>
      </c>
      <c r="E292" s="1" t="n">
        <v>46271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46271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15561-2024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45401</v>
      </c>
      <c r="E294" s="1" t="n">
        <v>46271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44967</v>
      </c>
      <c r="E295" s="1" t="n">
        <v>46271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43400-2024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45568</v>
      </c>
      <c r="E296" s="1" t="n">
        <v>46271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60355-2024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45643</v>
      </c>
      <c r="E297" s="1" t="n">
        <v>46271</v>
      </c>
      <c r="F297" t="inlineStr">
        <is>
          <t>VÄSTMANLANDS LÄN</t>
        </is>
      </c>
      <c r="G297" t="inlineStr">
        <is>
          <t>SKINNSKATTEBERG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45435</v>
      </c>
      <c r="E298" s="1" t="n">
        <v>46271</v>
      </c>
      <c r="F298" t="inlineStr">
        <is>
          <t>VÄSTMANLANDS LÄN</t>
        </is>
      </c>
      <c r="G298" t="inlineStr">
        <is>
          <t>SKINNSKATTEBERG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44995</v>
      </c>
      <c r="E299" s="1" t="n">
        <v>46271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37210-2022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44806</v>
      </c>
      <c r="E300" s="1" t="n">
        <v>46271</v>
      </c>
      <c r="F300" t="inlineStr">
        <is>
          <t>VÄSTMANLANDS LÄN</t>
        </is>
      </c>
      <c r="G300" t="inlineStr">
        <is>
          <t>SKINNSKATTEBERG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54657-2022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44883</v>
      </c>
      <c r="E301" s="1" t="n">
        <v>46271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45554</v>
      </c>
      <c r="E302" s="1" t="n">
        <v>46271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66584-2021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44519</v>
      </c>
      <c r="E303" s="1" t="n">
        <v>46271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46177</v>
      </c>
      <c r="E304" s="1" t="n">
        <v>46271</v>
      </c>
      <c r="F304" t="inlineStr">
        <is>
          <t>VÄSTMANLANDS LÄN</t>
        </is>
      </c>
      <c r="G304" t="inlineStr">
        <is>
          <t>SKINNSKATTEBERG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46178</v>
      </c>
      <c r="E305" s="1" t="n">
        <v>46271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25750-2026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46178</v>
      </c>
      <c r="E306" s="1" t="n">
        <v>46271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46177</v>
      </c>
      <c r="E307" s="1" t="n">
        <v>46271</v>
      </c>
      <c r="F307" t="inlineStr">
        <is>
          <t>VÄSTMANLANDS LÄN</t>
        </is>
      </c>
      <c r="G307" t="inlineStr">
        <is>
          <t>SKINNSKATTEBERG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25748-2026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46271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26356-2026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46182</v>
      </c>
      <c r="E309" s="1" t="n">
        <v>46271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37342-2023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45156</v>
      </c>
      <c r="E310" s="1" t="n">
        <v>46271</v>
      </c>
      <c r="F310" t="inlineStr">
        <is>
          <t>VÄSTMANLANDS LÄN</t>
        </is>
      </c>
      <c r="G310" t="inlineStr">
        <is>
          <t>SKINNSKATTEBERG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58987-2023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45252</v>
      </c>
      <c r="E311" s="1" t="n">
        <v>46271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31302-2024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45504</v>
      </c>
      <c r="E312" s="1" t="n">
        <v>46271</v>
      </c>
      <c r="F312" t="inlineStr">
        <is>
          <t>VÄSTMANLANDS LÄN</t>
        </is>
      </c>
      <c r="G312" t="inlineStr">
        <is>
          <t>SKINNSKATTEBERG</t>
        </is>
      </c>
      <c r="I312" t="n">
        <v>17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26354-2026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46182</v>
      </c>
      <c r="E313" s="1" t="n">
        <v>46271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26866-2026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46185</v>
      </c>
      <c r="E314" s="1" t="n">
        <v>46271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45306</v>
      </c>
      <c r="E315" s="1" t="n">
        <v>46271</v>
      </c>
      <c r="F315" t="inlineStr">
        <is>
          <t>VÄSTMANLANDS LÄN</t>
        </is>
      </c>
      <c r="G315" t="inlineStr">
        <is>
          <t>SKINNSKATTEBERG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46271</v>
      </c>
      <c r="F316" t="inlineStr">
        <is>
          <t>VÄSTMANLANDS LÄN</t>
        </is>
      </c>
      <c r="G316" t="inlineStr">
        <is>
          <t>SKINNSKATTEBERG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46271</v>
      </c>
      <c r="F317" t="inlineStr">
        <is>
          <t>VÄSTMANLANDS LÄN</t>
        </is>
      </c>
      <c r="G317" t="inlineStr">
        <is>
          <t>SKINNSKATTEBERG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46185</v>
      </c>
      <c r="E318" s="1" t="n">
        <v>46271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26862-2026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46271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46271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27637-2026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46190</v>
      </c>
      <c r="E321" s="1" t="n">
        <v>46271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27639-2026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46190</v>
      </c>
      <c r="E322" s="1" t="n">
        <v>46271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46271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27919-2026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46191</v>
      </c>
      <c r="E324" s="1" t="n">
        <v>46271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32217-2026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46237</v>
      </c>
      <c r="E325" s="1" t="n">
        <v>46271</v>
      </c>
      <c r="F325" t="inlineStr">
        <is>
          <t>VÄSTMANLANDS LÄN</t>
        </is>
      </c>
      <c r="G325" t="inlineStr">
        <is>
          <t>SKINNSKATTEBERG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46271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15184-2025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45744</v>
      </c>
      <c r="E327" s="1" t="n">
        <v>46271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45174</v>
      </c>
      <c r="E328" s="1" t="n">
        <v>46271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46195</v>
      </c>
      <c r="E329" s="1" t="n">
        <v>46271</v>
      </c>
      <c r="F329" t="inlineStr">
        <is>
          <t>VÄSTMANLANDS LÄN</t>
        </is>
      </c>
      <c r="G329" t="inlineStr">
        <is>
          <t>SKINNSKATTEBERG</t>
        </is>
      </c>
      <c r="I329" t="n">
        <v>8.5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46271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42425-2023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45180</v>
      </c>
      <c r="E331" s="1" t="n">
        <v>46271</v>
      </c>
      <c r="F331" t="inlineStr">
        <is>
          <t>VÄSTMANLANDS LÄN</t>
        </is>
      </c>
      <c r="G331" t="inlineStr">
        <is>
          <t>SKINNSKATTEBERG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61424-2023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45264</v>
      </c>
      <c r="E332" s="1" t="n">
        <v>46271</v>
      </c>
      <c r="F332" t="inlineStr">
        <is>
          <t>VÄSTMANLANDS LÄN</t>
        </is>
      </c>
      <c r="G332" t="inlineStr">
        <is>
          <t>SKINNSKATTEBERG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46271</v>
      </c>
      <c r="F333" t="inlineStr">
        <is>
          <t>VÄSTMANLANDS LÄN</t>
        </is>
      </c>
      <c r="G333" t="inlineStr">
        <is>
          <t>SKINNSKATTEBERG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28458-2026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46197</v>
      </c>
      <c r="E334" s="1" t="n">
        <v>46271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46197</v>
      </c>
      <c r="E335" s="1" t="n">
        <v>46271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22394-2022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44713</v>
      </c>
      <c r="E336" s="1" t="n">
        <v>46271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14189-2024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45393</v>
      </c>
      <c r="E337" s="1" t="n">
        <v>46271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35831-2024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45532</v>
      </c>
      <c r="E338" s="1" t="n">
        <v>46271</v>
      </c>
      <c r="F338" t="inlineStr">
        <is>
          <t>VÄSTMANLANDS LÄN</t>
        </is>
      </c>
      <c r="G338" t="inlineStr">
        <is>
          <t>SKINNSKATTEBERG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45532</v>
      </c>
      <c r="E339" s="1" t="n">
        <v>46271</v>
      </c>
      <c r="F339" t="inlineStr">
        <is>
          <t>VÄSTMANLANDS LÄN</t>
        </is>
      </c>
      <c r="G339" t="inlineStr">
        <is>
          <t>SKINNSKATTEBERG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45686</v>
      </c>
      <c r="E340" s="1" t="n">
        <v>46271</v>
      </c>
      <c r="F340" t="inlineStr">
        <is>
          <t>VÄSTMANLANDS LÄN</t>
        </is>
      </c>
      <c r="G340" t="inlineStr">
        <is>
          <t>SKINNSKATTEBERG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40176-2024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45554</v>
      </c>
      <c r="E341" s="1" t="n">
        <v>46271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28456-2026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46197</v>
      </c>
      <c r="E342" s="1" t="n">
        <v>46271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19093-2023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45048</v>
      </c>
      <c r="E343" s="1" t="n">
        <v>46271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46244</v>
      </c>
      <c r="E344" s="1" t="n">
        <v>46271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46199</v>
      </c>
      <c r="E345" s="1" t="n">
        <v>46271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46271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46200</v>
      </c>
      <c r="E347" s="1" t="n">
        <v>46271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32867-2026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46244</v>
      </c>
      <c r="E348" s="1" t="n">
        <v>46271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32870-2026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46244</v>
      </c>
      <c r="E349" s="1" t="n">
        <v>46271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46200</v>
      </c>
      <c r="E350" s="1" t="n">
        <v>46271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46199</v>
      </c>
      <c r="E351" s="1" t="n">
        <v>46271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45532</v>
      </c>
      <c r="E352" s="1" t="n">
        <v>46271</v>
      </c>
      <c r="F352" t="inlineStr">
        <is>
          <t>VÄSTMANLANDS LÄN</t>
        </is>
      </c>
      <c r="G352" t="inlineStr">
        <is>
          <t>SKINNSKATTEBERG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29026-2026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46199</v>
      </c>
      <c r="E353" s="1" t="n">
        <v>46271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31268-2023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45114</v>
      </c>
      <c r="E354" s="1" t="n">
        <v>46271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33454-2026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46247</v>
      </c>
      <c r="E355" s="1" t="n">
        <v>46271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31617-2024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45506</v>
      </c>
      <c r="E356" s="1" t="n">
        <v>46271</v>
      </c>
      <c r="F356" t="inlineStr">
        <is>
          <t>VÄSTMANLANDS LÄN</t>
        </is>
      </c>
      <c r="G356" t="inlineStr">
        <is>
          <t>SKINNSKATTEBERG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33553-2026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46248</v>
      </c>
      <c r="E357" s="1" t="n">
        <v>46271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40546-2023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45170</v>
      </c>
      <c r="E358" s="1" t="n">
        <v>46271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58979-2023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45252</v>
      </c>
      <c r="E359" s="1" t="n">
        <v>46271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45014</v>
      </c>
      <c r="E360" s="1" t="n">
        <v>46271</v>
      </c>
      <c r="F360" t="inlineStr">
        <is>
          <t>VÄSTMANLANDS LÄN</t>
        </is>
      </c>
      <c r="G360" t="inlineStr">
        <is>
          <t>SKINNSKATTEBERG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14736-2023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45014</v>
      </c>
      <c r="E361" s="1" t="n">
        <v>46271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45762</v>
      </c>
      <c r="E362" s="1" t="n">
        <v>46271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46210</v>
      </c>
      <c r="E363" s="1" t="n">
        <v>46271</v>
      </c>
      <c r="F363" t="inlineStr">
        <is>
          <t>VÄSTMANLANDS LÄN</t>
        </is>
      </c>
      <c r="G363" t="inlineStr">
        <is>
          <t>SKINNSKATTEBERG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18109-2023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45040</v>
      </c>
      <c r="E364" s="1" t="n">
        <v>46271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48492-2024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45592</v>
      </c>
      <c r="E365" s="1" t="n">
        <v>46271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34272-2026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46271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46271</v>
      </c>
      <c r="F367" t="inlineStr">
        <is>
          <t>VÄSTMANLANDS LÄN</t>
        </is>
      </c>
      <c r="G367" t="inlineStr">
        <is>
          <t>SKINNSKATTEBERG</t>
        </is>
      </c>
      <c r="I367" t="n">
        <v>12.2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20947-2025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45777</v>
      </c>
      <c r="E368" s="1" t="n">
        <v>46271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45777</v>
      </c>
      <c r="E369" s="1" t="n">
        <v>46271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45377</v>
      </c>
      <c r="E370" s="1" t="n">
        <v>46271</v>
      </c>
      <c r="F370" t="inlineStr">
        <is>
          <t>VÄSTMANLANDS LÄN</t>
        </is>
      </c>
      <c r="G370" t="inlineStr">
        <is>
          <t>SKINNSKATTEBERG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45541</v>
      </c>
      <c r="E371" s="1" t="n">
        <v>46271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50980-2022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44867</v>
      </c>
      <c r="E372" s="1" t="n">
        <v>46271</v>
      </c>
      <c r="F372" t="inlineStr">
        <is>
          <t>VÄSTMANLANDS LÄN</t>
        </is>
      </c>
      <c r="G372" t="inlineStr">
        <is>
          <t>SKINNSKATTEBERG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38783-2024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45547</v>
      </c>
      <c r="E373" s="1" t="n">
        <v>46271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28941-2024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45480</v>
      </c>
      <c r="E374" s="1" t="n">
        <v>46271</v>
      </c>
      <c r="F374" t="inlineStr">
        <is>
          <t>VÄSTMANLANDS LÄN</t>
        </is>
      </c>
      <c r="G374" t="inlineStr">
        <is>
          <t>SKINNSKATTEBERG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46260</v>
      </c>
      <c r="E375" s="1" t="n">
        <v>46271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22285-2025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45786</v>
      </c>
      <c r="E376" s="1" t="n">
        <v>46271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35168-2026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46260</v>
      </c>
      <c r="E377" s="1" t="n">
        <v>46271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46262</v>
      </c>
      <c r="E378" s="1" t="n">
        <v>46271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35582-2026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46262</v>
      </c>
      <c r="E379" s="1" t="n">
        <v>46271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22079-2024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45443</v>
      </c>
      <c r="E380" s="1" t="n">
        <v>46271</v>
      </c>
      <c r="F380" t="inlineStr">
        <is>
          <t>VÄSTMANLANDS LÄN</t>
        </is>
      </c>
      <c r="G380" t="inlineStr">
        <is>
          <t>SKINNSKATTEBERG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35051-2024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45527</v>
      </c>
      <c r="E381" s="1" t="n">
        <v>46271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46262</v>
      </c>
      <c r="E382" s="1" t="n">
        <v>46271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46262</v>
      </c>
      <c r="E383" s="1" t="n">
        <v>46271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16394-2024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45407</v>
      </c>
      <c r="E384" s="1" t="n">
        <v>46271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35746-2026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46265</v>
      </c>
      <c r="E385" s="1" t="n">
        <v>46271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46262</v>
      </c>
      <c r="E386" s="1" t="n">
        <v>46271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36262-2026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46268</v>
      </c>
      <c r="E387" s="1" t="n">
        <v>46271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1765-2024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45435</v>
      </c>
      <c r="E388" s="1" t="n">
        <v>46271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1462-2025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45786</v>
      </c>
      <c r="E389" s="1" t="n">
        <v>46271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1931-2025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45827</v>
      </c>
      <c r="E390" s="1" t="n">
        <v>46271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2177-2025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45853</v>
      </c>
      <c r="E391" s="1" t="n">
        <v>46271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2422-2025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46271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2421-2025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46271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2420-2025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45897</v>
      </c>
      <c r="E394" s="1" t="n">
        <v>46271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2456-2025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45901</v>
      </c>
      <c r="E395" s="1" t="n">
        <v>46271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2578-2025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45915</v>
      </c>
      <c r="E396" s="1" t="n">
        <v>46271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46271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1678-2026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46182</v>
      </c>
      <c r="E398" s="1" t="n">
        <v>46271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1868-2026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46199</v>
      </c>
      <c r="E399" s="1" t="n">
        <v>46271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2239-2026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46260</v>
      </c>
      <c r="E400" s="1" t="n">
        <v>46271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>
      <c r="A401" t="inlineStr">
        <is>
          <t>S 2266-2026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46262</v>
      </c>
      <c r="E401" s="1" t="n">
        <v>46271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2026-09-06T02:06:57Z</dcterms:created>
  <dcterms:modified xmlns:dcterms="http://purl.org/dc/terms/" xmlns:xsi="http://www.w3.org/2001/XMLSchema-instance" xsi:type="dcterms:W3CDTF">2026-09-06T02:06:57Z</dcterms:modified>
</cp:coreProperties>
</file>