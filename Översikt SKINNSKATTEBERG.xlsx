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45850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45850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45850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45850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45850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45850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45850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45850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45850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45850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45850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45850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45850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45850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45850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45850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45850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45850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45850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45850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45850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45850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45850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45850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45850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45850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45850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45850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45850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45850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45850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45850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45850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45850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45850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45850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45850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45850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45850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45850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45850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45850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45850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45850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45850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45850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45850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45850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45850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45850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45850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30986-2025</t>
        </is>
      </c>
      <c r="B53" s="1" t="n">
        <v>45832</v>
      </c>
      <c r="C53" s="1" t="n">
        <v>45850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Toppvaxing</t>
        </is>
      </c>
      <c r="S53">
        <f>HYPERLINK("https://klasma.github.io/Logging_191904/artfynd/A 30986-2025 artfynd.xlsx", "A 30986-2025")</f>
        <v/>
      </c>
      <c r="T53">
        <f>HYPERLINK("https://klasma.github.io/Logging_191904/kartor/A 30986-2025 karta.png", "A 30986-2025")</f>
        <v/>
      </c>
      <c r="V53">
        <f>HYPERLINK("https://klasma.github.io/Logging_191904/klagomål/A 30986-2025 FSC-klagomål.docx", "A 30986-2025")</f>
        <v/>
      </c>
      <c r="W53">
        <f>HYPERLINK("https://klasma.github.io/Logging_191904/klagomålsmail/A 30986-2025 FSC-klagomål mail.docx", "A 30986-2025")</f>
        <v/>
      </c>
      <c r="X53">
        <f>HYPERLINK("https://klasma.github.io/Logging_191904/tillsyn/A 30986-2025 tillsynsbegäran.docx", "A 30986-2025")</f>
        <v/>
      </c>
      <c r="Y53">
        <f>HYPERLINK("https://klasma.github.io/Logging_191904/tillsynsmail/A 30986-2025 tillsynsbegäran mail.docx", "A 30986-2025")</f>
        <v/>
      </c>
    </row>
    <row r="54" ht="15" customHeight="1">
      <c r="A54" t="inlineStr">
        <is>
          <t>A 31006-2025</t>
        </is>
      </c>
      <c r="B54" s="1" t="n">
        <v>45832</v>
      </c>
      <c r="C54" s="1" t="n">
        <v>45850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HYPERLINK("https://klasma.github.io/Logging_191904/artfynd/A 31006-2025 artfynd.xlsx", "A 31006-2025")</f>
        <v/>
      </c>
      <c r="T54">
        <f>HYPERLINK("https://klasma.github.io/Logging_191904/kartor/A 31006-2025 karta.png", "A 31006-2025")</f>
        <v/>
      </c>
      <c r="V54">
        <f>HYPERLINK("https://klasma.github.io/Logging_191904/klagomål/A 31006-2025 FSC-klagomål.docx", "A 31006-2025")</f>
        <v/>
      </c>
      <c r="W54">
        <f>HYPERLINK("https://klasma.github.io/Logging_191904/klagomålsmail/A 31006-2025 FSC-klagomål mail.docx", "A 31006-2025")</f>
        <v/>
      </c>
      <c r="X54">
        <f>HYPERLINK("https://klasma.github.io/Logging_191904/tillsyn/A 31006-2025 tillsynsbegäran.docx", "A 31006-2025")</f>
        <v/>
      </c>
      <c r="Y54">
        <f>HYPERLINK("https://klasma.github.io/Logging_191904/tillsynsmail/A 31006-2025 tillsynsbegäran mail.docx", "A 31006-2025")</f>
        <v/>
      </c>
      <c r="Z54">
        <f>HYPERLINK("https://klasma.github.io/Logging_191904/fåglar/A 31006-2025 prioriterade fågelarter.docx", "A 31006-2025")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45850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45850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45850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45850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45850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45850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45850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45850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45850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45850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45850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45850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45850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45850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45850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45850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45850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45850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45850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45850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45850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45850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45850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45850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45850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45850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45850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45850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45850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45850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45850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45850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45850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45850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45850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45850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45850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45850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45850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45850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45850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45850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45850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45850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45850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45850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45850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45850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45850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45850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45850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45850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45850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45850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45850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45850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45850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45850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45850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45850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45850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45850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45850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45850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45850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45850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45850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45850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45850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45850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45850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45850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45850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45850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45850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45850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45850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45850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45850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45850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45850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45850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45850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45850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45850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45850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45850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45850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45850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45850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45850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45850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45850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45850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45850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45850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45850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45850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45850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45850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45850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45850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45850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45850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45850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45850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45850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45850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45850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45850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45850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45850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45850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45850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45850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45850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45850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45850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45850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45850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45850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45850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45850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45850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45850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45850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45850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45850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45850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45850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45850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45850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45850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45850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45850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45850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45850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45850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45850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45850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45850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45850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45850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45850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45850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45850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45850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45850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45850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45850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45850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45850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45850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45850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45850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45850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45850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45850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45850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45850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45850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45850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45850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45850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45850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45850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45850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45850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45850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45850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45850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45850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45850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45850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45850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45850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45850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45850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45850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45850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45850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45850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45850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45850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45850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45850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45850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45850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45850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45850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45850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45850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45850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45850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45850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45850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45850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45850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45850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45850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45850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45850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45850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45850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45850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45850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45850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45850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45850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45850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45850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45850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45850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45850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45850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45850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45850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45850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45850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45850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45850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45850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45850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45850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45850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45850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45850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45850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45850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45850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45850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45850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45850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45850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45850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45850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45850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45850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45850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45850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45850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45850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45850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45850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45850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45850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45850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45850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45850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45850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45850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45850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45850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45850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45850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45850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45850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45850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45850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45850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45850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45850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45850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45850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45850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45850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45850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45850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45850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45850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45850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45850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45850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45850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45850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45850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45850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45850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45850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45850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45850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45850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45850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45850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45850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45850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45850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45850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45850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45850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45850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45850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45850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45850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45850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45850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45850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45850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45850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45850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45850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45850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45850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45850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45850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45850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45850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45850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45850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45850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45850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45850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45850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45850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45850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45850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45850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45850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45850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45850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45850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45850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45850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45850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45850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45850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45850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45850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45850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45850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45850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45850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45850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45850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45850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45850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45850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45850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45850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45850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45850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45850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45850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45850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45850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45850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45850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45850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45850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45850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45850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45850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45850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45850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45850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45850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45850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45850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45850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45850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45850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45850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45850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45850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45850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45850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45850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45850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45850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45850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45850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45850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45850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45850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45850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45850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45850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45850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45850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45850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45850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45850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45850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45850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45850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45850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45850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45850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45850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45850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45850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45850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45850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45850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45850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45850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45850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45850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45850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45850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45850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45850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45850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45850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45850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45850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45850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45850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45850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45850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45850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45850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45850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45850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45850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45850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45850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45850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45850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45850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45850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45850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45850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45850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45850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45850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45850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45850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45850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45850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45850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45850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45850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45850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45850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45850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45850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45850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45850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45850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45850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45850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45850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45850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45850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45850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45850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45850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45850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45850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45850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45850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45850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45850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45850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45850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45850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45850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45850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45850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45850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45850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45850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45850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45850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45850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45850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45850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45850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45850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45850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45850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45850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45850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45850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45850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45850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45850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45850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45850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45850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45850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45850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45850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45850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45850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45850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45850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45850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45850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45850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45850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45850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45850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45850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45850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45850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45850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45850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45850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45850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45850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45850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45850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45850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45850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45850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45850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45850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45850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45850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45850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45850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45850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45850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45850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45850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45850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45850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45850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45850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45850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45850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45850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45850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45850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45850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45850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45850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45850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45850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45850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45850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45850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45850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45850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45850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45850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45850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45850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45850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45850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45850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45850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45850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45850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45850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45850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45850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45850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45850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45850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45850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45850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45850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45850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45850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45850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45850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45850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45850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45850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45850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45850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45850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45850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45850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45850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45850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45850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45850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45850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45850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45850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45850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45850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45850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45850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45850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45850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45850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45850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45850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45850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45850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45850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45850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45850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45850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45850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45850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45850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45850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45850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45850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45850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45850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45850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45850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45850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45850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45850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45850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45850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45850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45850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45850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45850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45850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45850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45850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45850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45850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45850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45850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45850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45850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45850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45850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45850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45850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45850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45850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45850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45850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45850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45850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45850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45850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45850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45850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45850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45850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45850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45850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45850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45850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45850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45850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45850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45850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45850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45850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45850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45850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45850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45850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45850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45850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45850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45850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45850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45850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45850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45850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45850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45850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45850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45850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45850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45850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45850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45850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45850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45850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45850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45850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45850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45850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45850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45850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45850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45850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45850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45850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45850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45850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45850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45850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45850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45850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45850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45850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45850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45850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45850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45850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45850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45850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45850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45850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45850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45850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45850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45850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45850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45850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45850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45850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45850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45850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45850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45850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45850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45850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45850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45850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45850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45850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45850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45850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45850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45850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45850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45850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45850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45850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45850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45850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45850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45850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45850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45850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45850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45850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45850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45850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45850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45850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45850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45850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45850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45850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45850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45850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45850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45850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45850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45850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45850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45850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45850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45850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45850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45850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45850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45850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45850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45850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45850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45850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45850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45850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45850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45850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45850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45850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45850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45850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45850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45850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45850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45850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45850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45850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45850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45850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45850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45850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45850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45850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45850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45850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45850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45850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45850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45850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45850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45850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45850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45850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45850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45850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45850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45850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45850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45850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45850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45850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45850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45850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45850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45850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45850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45850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45850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45850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45850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45850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45850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45850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45850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45850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45850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45850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45850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45850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45850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45850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45850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45850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45850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45850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45850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45850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45850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45850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45850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45850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45850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45850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45850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45850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45850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45850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45850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29808-2025</t>
        </is>
      </c>
      <c r="B881" s="1" t="n">
        <v>45825</v>
      </c>
      <c r="C881" s="1" t="n">
        <v>45850</v>
      </c>
      <c r="D881" t="inlineStr">
        <is>
          <t>VÄSTMANLANDS LÄN</t>
        </is>
      </c>
      <c r="E881" t="inlineStr">
        <is>
          <t>SKINNSKATTEBERG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29810-2025</t>
        </is>
      </c>
      <c r="B882" s="1" t="n">
        <v>45825</v>
      </c>
      <c r="C882" s="1" t="n">
        <v>45850</v>
      </c>
      <c r="D882" t="inlineStr">
        <is>
          <t>VÄSTMANLANDS LÄN</t>
        </is>
      </c>
      <c r="E882" t="inlineStr">
        <is>
          <t>SKINNSKATTEBERG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45850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45850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45850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45850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45850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45850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45850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30885-2025</t>
        </is>
      </c>
      <c r="B890" s="1" t="n">
        <v>45832</v>
      </c>
      <c r="C890" s="1" t="n">
        <v>45850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30873-2025</t>
        </is>
      </c>
      <c r="B891" s="1" t="n">
        <v>45832</v>
      </c>
      <c r="C891" s="1" t="n">
        <v>45850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31011-2025</t>
        </is>
      </c>
      <c r="B892" s="1" t="n">
        <v>45832</v>
      </c>
      <c r="C892" s="1" t="n">
        <v>45850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34720-2025</t>
        </is>
      </c>
      <c r="B893" s="1" t="n">
        <v>45848</v>
      </c>
      <c r="C893" s="1" t="n">
        <v>45850</v>
      </c>
      <c r="D893" t="inlineStr">
        <is>
          <t>VÄSTMANLANDS LÄN</t>
        </is>
      </c>
      <c r="E893" t="inlineStr">
        <is>
          <t>SKINNSKATTEBERG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2025-07-12T19:19:17Z</dcterms:created>
  <dcterms:modified xmlns:dcterms="http://purl.org/dc/terms/" xmlns:xsi="http://www.w3.org/2001/XMLSchema-instance" xsi:type="dcterms:W3CDTF">2025-07-12T19:19:18Z</dcterms:modified>
</cp:coreProperties>
</file>