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45838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45838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45838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45838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45838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45838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45838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45838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45838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45838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45838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45838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45838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59346-2019</t>
        </is>
      </c>
      <c r="B22" s="1" t="n">
        <v>43775</v>
      </c>
      <c r="C22" s="1" t="n">
        <v>45838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HYPERLINK("https://klasma.github.io/Logging_1904/artfynd/A 59346-2019 artfynd.xlsx", "A 59346-2019")</f>
        <v/>
      </c>
      <c r="T22">
        <f>HYPERLINK("https://klasma.github.io/Logging_1904/kartor/A 59346-2019 karta.png", "A 59346-2019")</f>
        <v/>
      </c>
      <c r="V22">
        <f>HYPERLINK("https://klasma.github.io/Logging_1904/klagomål/A 59346-2019 FSC-klagomål.docx", "A 59346-2019")</f>
        <v/>
      </c>
      <c r="W22">
        <f>HYPERLINK("https://klasma.github.io/Logging_1904/klagomålsmail/A 59346-2019 FSC-klagomål mail.docx", "A 59346-2019")</f>
        <v/>
      </c>
      <c r="X22">
        <f>HYPERLINK("https://klasma.github.io/Logging_1904/tillsyn/A 59346-2019 tillsynsbegäran.docx", "A 59346-2019")</f>
        <v/>
      </c>
      <c r="Y22">
        <f>HYPERLINK("https://klasma.github.io/Logging_1904/tillsynsmail/A 59346-2019 tillsynsbegäran mail.docx", "A 59346-2019")</f>
        <v/>
      </c>
    </row>
    <row r="23" ht="15" customHeight="1">
      <c r="A23" t="inlineStr">
        <is>
          <t>A 12592-2020</t>
        </is>
      </c>
      <c r="B23" s="1" t="n">
        <v>43899</v>
      </c>
      <c r="C23" s="1" t="n">
        <v>45838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12592-2020 artfynd.xlsx", "A 12592-2020")</f>
        <v/>
      </c>
      <c r="T23">
        <f>HYPERLINK("https://klasma.github.io/Logging_1904/kartor/A 12592-2020 karta.png", "A 12592-2020")</f>
        <v/>
      </c>
      <c r="V23">
        <f>HYPERLINK("https://klasma.github.io/Logging_1904/klagomål/A 12592-2020 FSC-klagomål.docx", "A 12592-2020")</f>
        <v/>
      </c>
      <c r="W23">
        <f>HYPERLINK("https://klasma.github.io/Logging_1904/klagomålsmail/A 12592-2020 FSC-klagomål mail.docx", "A 12592-2020")</f>
        <v/>
      </c>
      <c r="X23">
        <f>HYPERLINK("https://klasma.github.io/Logging_1904/tillsyn/A 12592-2020 tillsynsbegäran.docx", "A 12592-2020")</f>
        <v/>
      </c>
      <c r="Y23">
        <f>HYPERLINK("https://klasma.github.io/Logging_1904/tillsynsmail/A 12592-2020 tillsynsbegäran mail.docx", "A 12592-2020")</f>
        <v/>
      </c>
    </row>
    <row r="24" ht="15" customHeight="1">
      <c r="A24" t="inlineStr">
        <is>
          <t>A 33393-2020</t>
        </is>
      </c>
      <c r="B24" s="1" t="n">
        <v>44022</v>
      </c>
      <c r="C24" s="1" t="n">
        <v>45838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HYPERLINK("https://klasma.github.io/Logging_1904/artfynd/A 33393-2020 artfynd.xlsx", "A 33393-2020")</f>
        <v/>
      </c>
      <c r="T24">
        <f>HYPERLINK("https://klasma.github.io/Logging_1904/kartor/A 33393-2020 karta.png", "A 33393-2020")</f>
        <v/>
      </c>
      <c r="V24">
        <f>HYPERLINK("https://klasma.github.io/Logging_1904/klagomål/A 33393-2020 FSC-klagomål.docx", "A 33393-2020")</f>
        <v/>
      </c>
      <c r="W24">
        <f>HYPERLINK("https://klasma.github.io/Logging_1904/klagomålsmail/A 33393-2020 FSC-klagomål mail.docx", "A 33393-2020")</f>
        <v/>
      </c>
      <c r="X24">
        <f>HYPERLINK("https://klasma.github.io/Logging_1904/tillsyn/A 33393-2020 tillsynsbegäran.docx", "A 33393-2020")</f>
        <v/>
      </c>
      <c r="Y24">
        <f>HYPERLINK("https://klasma.github.io/Logging_1904/tillsynsmail/A 33393-2020 tillsynsbegäran mail.docx", "A 33393-2020")</f>
        <v/>
      </c>
    </row>
    <row r="25" ht="15" customHeight="1">
      <c r="A25" t="inlineStr">
        <is>
          <t>A 38226-2020</t>
        </is>
      </c>
      <c r="B25" s="1" t="n">
        <v>44060</v>
      </c>
      <c r="C25" s="1" t="n">
        <v>45838</v>
      </c>
      <c r="D25" t="inlineStr">
        <is>
          <t>VÄSTMANLANDS LÄN</t>
        </is>
      </c>
      <c r="E25" t="inlineStr">
        <is>
          <t>SKINNSKATTEBERG</t>
        </is>
      </c>
      <c r="G25" t="n">
        <v>3.4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HYPERLINK("https://klasma.github.io/Logging_1904/artfynd/A 38226-2020 artfynd.xlsx", "A 38226-2020")</f>
        <v/>
      </c>
      <c r="T25">
        <f>HYPERLINK("https://klasma.github.io/Logging_1904/kartor/A 38226-2020 karta.png", "A 38226-2020")</f>
        <v/>
      </c>
      <c r="V25">
        <f>HYPERLINK("https://klasma.github.io/Logging_1904/klagomål/A 38226-2020 FSC-klagomål.docx", "A 38226-2020")</f>
        <v/>
      </c>
      <c r="W25">
        <f>HYPERLINK("https://klasma.github.io/Logging_1904/klagomålsmail/A 38226-2020 FSC-klagomål mail.docx", "A 38226-2020")</f>
        <v/>
      </c>
      <c r="X25">
        <f>HYPERLINK("https://klasma.github.io/Logging_1904/tillsyn/A 38226-2020 tillsynsbegäran.docx", "A 38226-2020")</f>
        <v/>
      </c>
      <c r="Y25">
        <f>HYPERLINK("https://klasma.github.io/Logging_1904/tillsynsmail/A 38226-2020 tillsynsbegäran mail.docx", "A 38226-2020")</f>
        <v/>
      </c>
    </row>
    <row r="26" ht="15" customHeight="1">
      <c r="A26" t="inlineStr">
        <is>
          <t>A 22099-2021</t>
        </is>
      </c>
      <c r="B26" s="1" t="n">
        <v>44323</v>
      </c>
      <c r="C26" s="1" t="n">
        <v>45838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22099-2021 artfynd.xlsx", "A 22099-2021")</f>
        <v/>
      </c>
      <c r="T26">
        <f>HYPERLINK("https://klasma.github.io/Logging_1904/kartor/A 22099-2021 karta.png", "A 22099-2021")</f>
        <v/>
      </c>
      <c r="V26">
        <f>HYPERLINK("https://klasma.github.io/Logging_1904/klagomål/A 22099-2021 FSC-klagomål.docx", "A 22099-2021")</f>
        <v/>
      </c>
      <c r="W26">
        <f>HYPERLINK("https://klasma.github.io/Logging_1904/klagomålsmail/A 22099-2021 FSC-klagomål mail.docx", "A 22099-2021")</f>
        <v/>
      </c>
      <c r="X26">
        <f>HYPERLINK("https://klasma.github.io/Logging_1904/tillsyn/A 22099-2021 tillsynsbegäran.docx", "A 22099-2021")</f>
        <v/>
      </c>
      <c r="Y26">
        <f>HYPERLINK("https://klasma.github.io/Logging_1904/tillsynsmail/A 22099-2021 tillsynsbegäran mail.docx", "A 22099-2021")</f>
        <v/>
      </c>
    </row>
    <row r="27" ht="15" customHeight="1">
      <c r="A27" t="inlineStr">
        <is>
          <t>A 42073-2021</t>
        </is>
      </c>
      <c r="B27" s="1" t="n">
        <v>44426</v>
      </c>
      <c r="C27" s="1" t="n">
        <v>45838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42073-2021 artfynd.xlsx", "A 42073-2021")</f>
        <v/>
      </c>
      <c r="T27">
        <f>HYPERLINK("https://klasma.github.io/Logging_1904/kartor/A 42073-2021 karta.png", "A 42073-2021")</f>
        <v/>
      </c>
      <c r="V27">
        <f>HYPERLINK("https://klasma.github.io/Logging_1904/klagomål/A 42073-2021 FSC-klagomål.docx", "A 42073-2021")</f>
        <v/>
      </c>
      <c r="W27">
        <f>HYPERLINK("https://klasma.github.io/Logging_1904/klagomålsmail/A 42073-2021 FSC-klagomål mail.docx", "A 42073-2021")</f>
        <v/>
      </c>
      <c r="X27">
        <f>HYPERLINK("https://klasma.github.io/Logging_1904/tillsyn/A 42073-2021 tillsynsbegäran.docx", "A 42073-2021")</f>
        <v/>
      </c>
      <c r="Y27">
        <f>HYPERLINK("https://klasma.github.io/Logging_1904/tillsynsmail/A 42073-2021 tillsynsbegäran mail.docx", "A 42073-2021")</f>
        <v/>
      </c>
    </row>
    <row r="28" ht="15" customHeight="1">
      <c r="A28" t="inlineStr">
        <is>
          <t>A 60242-2021</t>
        </is>
      </c>
      <c r="B28" s="1" t="n">
        <v>44495</v>
      </c>
      <c r="C28" s="1" t="n">
        <v>45838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60242-2021 artfynd.xlsx", "A 60242-2021")</f>
        <v/>
      </c>
      <c r="T28">
        <f>HYPERLINK("https://klasma.github.io/Logging_1904/kartor/A 60242-2021 karta.png", "A 60242-2021")</f>
        <v/>
      </c>
      <c r="V28">
        <f>HYPERLINK("https://klasma.github.io/Logging_1904/klagomål/A 60242-2021 FSC-klagomål.docx", "A 60242-2021")</f>
        <v/>
      </c>
      <c r="W28">
        <f>HYPERLINK("https://klasma.github.io/Logging_1904/klagomålsmail/A 60242-2021 FSC-klagomål mail.docx", "A 60242-2021")</f>
        <v/>
      </c>
      <c r="X28">
        <f>HYPERLINK("https://klasma.github.io/Logging_1904/tillsyn/A 60242-2021 tillsynsbegäran.docx", "A 60242-2021")</f>
        <v/>
      </c>
      <c r="Y28">
        <f>HYPERLINK("https://klasma.github.io/Logging_1904/tillsynsmail/A 60242-2021 tillsynsbegäran mail.docx", "A 60242-2021")</f>
        <v/>
      </c>
    </row>
    <row r="29" ht="15" customHeight="1">
      <c r="A29" t="inlineStr">
        <is>
          <t>A 56915-2022</t>
        </is>
      </c>
      <c r="B29" s="1" t="n">
        <v>44894</v>
      </c>
      <c r="C29" s="1" t="n">
        <v>45838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HYPERLINK("https://klasma.github.io/Logging_1904/artfynd/A 56915-2022 artfynd.xlsx", "A 56915-2022")</f>
        <v/>
      </c>
      <c r="T29">
        <f>HYPERLINK("https://klasma.github.io/Logging_1904/kartor/A 56915-2022 karta.png", "A 56915-2022")</f>
        <v/>
      </c>
      <c r="V29">
        <f>HYPERLINK("https://klasma.github.io/Logging_1904/klagomål/A 56915-2022 FSC-klagomål.docx", "A 56915-2022")</f>
        <v/>
      </c>
      <c r="W29">
        <f>HYPERLINK("https://klasma.github.io/Logging_1904/klagomålsmail/A 56915-2022 FSC-klagomål mail.docx", "A 56915-2022")</f>
        <v/>
      </c>
      <c r="X29">
        <f>HYPERLINK("https://klasma.github.io/Logging_1904/tillsyn/A 56915-2022 tillsynsbegäran.docx", "A 56915-2022")</f>
        <v/>
      </c>
      <c r="Y29">
        <f>HYPERLINK("https://klasma.github.io/Logging_1904/tillsynsmail/A 56915-2022 tillsynsbegäran mail.docx", "A 56915-2022")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45838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6182-2023</t>
        </is>
      </c>
      <c r="B31" s="1" t="n">
        <v>44964</v>
      </c>
      <c r="C31" s="1" t="n">
        <v>45838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6182-2023 artfynd.xlsx", "A 6182-2023")</f>
        <v/>
      </c>
      <c r="T31">
        <f>HYPERLINK("https://klasma.github.io/Logging_1904/kartor/A 6182-2023 karta.png", "A 6182-2023")</f>
        <v/>
      </c>
      <c r="V31">
        <f>HYPERLINK("https://klasma.github.io/Logging_1904/klagomål/A 6182-2023 FSC-klagomål.docx", "A 6182-2023")</f>
        <v/>
      </c>
      <c r="W31">
        <f>HYPERLINK("https://klasma.github.io/Logging_1904/klagomålsmail/A 6182-2023 FSC-klagomål mail.docx", "A 6182-2023")</f>
        <v/>
      </c>
      <c r="X31">
        <f>HYPERLINK("https://klasma.github.io/Logging_1904/tillsyn/A 6182-2023 tillsynsbegäran.docx", "A 6182-2023")</f>
        <v/>
      </c>
      <c r="Y31">
        <f>HYPERLINK("https://klasma.github.io/Logging_1904/tillsynsmail/A 6182-2023 tillsynsbegäran mail.docx", "A 6182-2023")</f>
        <v/>
      </c>
    </row>
    <row r="32" ht="15" customHeight="1">
      <c r="A32" t="inlineStr">
        <is>
          <t>A 14171-2023</t>
        </is>
      </c>
      <c r="B32" s="1" t="n">
        <v>45009</v>
      </c>
      <c r="C32" s="1" t="n">
        <v>45838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HYPERLINK("https://klasma.github.io/Logging_1904/artfynd/A 14171-2023 artfynd.xlsx", "A 14171-2023")</f>
        <v/>
      </c>
      <c r="T32">
        <f>HYPERLINK("https://klasma.github.io/Logging_1904/kartor/A 14171-2023 karta.png", "A 14171-2023")</f>
        <v/>
      </c>
      <c r="V32">
        <f>HYPERLINK("https://klasma.github.io/Logging_1904/klagomål/A 14171-2023 FSC-klagomål.docx", "A 14171-2023")</f>
        <v/>
      </c>
      <c r="W32">
        <f>HYPERLINK("https://klasma.github.io/Logging_1904/klagomålsmail/A 14171-2023 FSC-klagomål mail.docx", "A 14171-2023")</f>
        <v/>
      </c>
      <c r="X32">
        <f>HYPERLINK("https://klasma.github.io/Logging_1904/tillsyn/A 14171-2023 tillsynsbegäran.docx", "A 14171-2023")</f>
        <v/>
      </c>
      <c r="Y32">
        <f>HYPERLINK("https://klasma.github.io/Logging_1904/tillsynsmail/A 14171-2023 tillsynsbegäran mail.docx", "A 14171-2023")</f>
        <v/>
      </c>
    </row>
    <row r="33" ht="15" customHeight="1">
      <c r="A33" t="inlineStr">
        <is>
          <t>A 18648-2023</t>
        </is>
      </c>
      <c r="B33" s="1" t="n">
        <v>45043</v>
      </c>
      <c r="C33" s="1" t="n">
        <v>45838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18648-2023 artfynd.xlsx", "A 18648-2023")</f>
        <v/>
      </c>
      <c r="T33">
        <f>HYPERLINK("https://klasma.github.io/Logging_1904/kartor/A 18648-2023 karta.png", "A 18648-2023")</f>
        <v/>
      </c>
      <c r="V33">
        <f>HYPERLINK("https://klasma.github.io/Logging_1904/klagomål/A 18648-2023 FSC-klagomål.docx", "A 18648-2023")</f>
        <v/>
      </c>
      <c r="W33">
        <f>HYPERLINK("https://klasma.github.io/Logging_1904/klagomålsmail/A 18648-2023 FSC-klagomål mail.docx", "A 18648-2023")</f>
        <v/>
      </c>
      <c r="X33">
        <f>HYPERLINK("https://klasma.github.io/Logging_1904/tillsyn/A 18648-2023 tillsynsbegäran.docx", "A 18648-2023")</f>
        <v/>
      </c>
      <c r="Y33">
        <f>HYPERLINK("https://klasma.github.io/Logging_1904/tillsynsmail/A 18648-2023 tillsynsbegäran mail.docx", "A 18648-2023")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45838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38712-2023</t>
        </is>
      </c>
      <c r="B35" s="1" t="n">
        <v>45163</v>
      </c>
      <c r="C35" s="1" t="n">
        <v>45838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HYPERLINK("https://klasma.github.io/Logging_1904/artfynd/A 38712-2023 artfynd.xlsx", "A 38712-2023")</f>
        <v/>
      </c>
      <c r="T35">
        <f>HYPERLINK("https://klasma.github.io/Logging_1904/kartor/A 38712-2023 karta.png", "A 38712-2023")</f>
        <v/>
      </c>
      <c r="V35">
        <f>HYPERLINK("https://klasma.github.io/Logging_1904/klagomål/A 38712-2023 FSC-klagomål.docx", "A 38712-2023")</f>
        <v/>
      </c>
      <c r="W35">
        <f>HYPERLINK("https://klasma.github.io/Logging_1904/klagomålsmail/A 38712-2023 FSC-klagomål mail.docx", "A 38712-2023")</f>
        <v/>
      </c>
      <c r="X35">
        <f>HYPERLINK("https://klasma.github.io/Logging_1904/tillsyn/A 38712-2023 tillsynsbegäran.docx", "A 38712-2023")</f>
        <v/>
      </c>
      <c r="Y35">
        <f>HYPERLINK("https://klasma.github.io/Logging_1904/tillsynsmail/A 38712-2023 tillsynsbegäran mail.docx", "A 38712-2023")</f>
        <v/>
      </c>
    </row>
    <row r="36" ht="15" customHeight="1">
      <c r="A36" t="inlineStr">
        <is>
          <t>A 45374-2023</t>
        </is>
      </c>
      <c r="B36" s="1" t="n">
        <v>45193</v>
      </c>
      <c r="C36" s="1" t="n">
        <v>45838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Purpurmylia</t>
        </is>
      </c>
      <c r="S36">
        <f>HYPERLINK("https://klasma.github.io/Logging_1904/artfynd/A 45374-2023 artfynd.xlsx", "A 45374-2023")</f>
        <v/>
      </c>
      <c r="T36">
        <f>HYPERLINK("https://klasma.github.io/Logging_1904/kartor/A 45374-2023 karta.png", "A 45374-2023")</f>
        <v/>
      </c>
      <c r="V36">
        <f>HYPERLINK("https://klasma.github.io/Logging_1904/klagomål/A 45374-2023 FSC-klagomål.docx", "A 45374-2023")</f>
        <v/>
      </c>
      <c r="W36">
        <f>HYPERLINK("https://klasma.github.io/Logging_1904/klagomålsmail/A 45374-2023 FSC-klagomål mail.docx", "A 45374-2023")</f>
        <v/>
      </c>
      <c r="X36">
        <f>HYPERLINK("https://klasma.github.io/Logging_1904/tillsyn/A 45374-2023 tillsynsbegäran.docx", "A 45374-2023")</f>
        <v/>
      </c>
      <c r="Y36">
        <f>HYPERLINK("https://klasma.github.io/Logging_1904/tillsynsmail/A 45374-2023 tillsynsbegäran mail.docx", "A 45374-2023")</f>
        <v/>
      </c>
    </row>
    <row r="37" ht="15" customHeight="1">
      <c r="A37" t="inlineStr">
        <is>
          <t>A 12887-2024</t>
        </is>
      </c>
      <c r="B37" s="1" t="n">
        <v>45385</v>
      </c>
      <c r="C37" s="1" t="n">
        <v>45838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HYPERLINK("https://klasma.github.io/Logging_1904/artfynd/A 12887-2024 artfynd.xlsx", "A 12887-2024")</f>
        <v/>
      </c>
      <c r="T37">
        <f>HYPERLINK("https://klasma.github.io/Logging_1904/kartor/A 12887-2024 karta.png", "A 12887-2024")</f>
        <v/>
      </c>
      <c r="V37">
        <f>HYPERLINK("https://klasma.github.io/Logging_1904/klagomål/A 12887-2024 FSC-klagomål.docx", "A 12887-2024")</f>
        <v/>
      </c>
      <c r="W37">
        <f>HYPERLINK("https://klasma.github.io/Logging_1904/klagomålsmail/A 12887-2024 FSC-klagomål mail.docx", "A 12887-2024")</f>
        <v/>
      </c>
      <c r="X37">
        <f>HYPERLINK("https://klasma.github.io/Logging_1904/tillsyn/A 12887-2024 tillsynsbegäran.docx", "A 12887-2024")</f>
        <v/>
      </c>
      <c r="Y37">
        <f>HYPERLINK("https://klasma.github.io/Logging_1904/tillsynsmail/A 12887-2024 tillsynsbegäran mail.docx", "A 12887-2024")</f>
        <v/>
      </c>
      <c r="Z37">
        <f>HYPERLINK("https://klasma.github.io/Logging_1904/fåglar/A 12887-2024 prioriterade fågelarter.docx", "A 12887-2024")</f>
        <v/>
      </c>
    </row>
    <row r="38" ht="15" customHeight="1">
      <c r="A38" t="inlineStr">
        <is>
          <t>A 16524-2024</t>
        </is>
      </c>
      <c r="B38" s="1" t="n">
        <v>45408</v>
      </c>
      <c r="C38" s="1" t="n">
        <v>45838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HYPERLINK("https://klasma.github.io/Logging_1904/artfynd/A 16524-2024 artfynd.xlsx", "A 16524-2024")</f>
        <v/>
      </c>
      <c r="T38">
        <f>HYPERLINK("https://klasma.github.io/Logging_1904/kartor/A 16524-2024 karta.png", "A 16524-2024")</f>
        <v/>
      </c>
      <c r="V38">
        <f>HYPERLINK("https://klasma.github.io/Logging_1904/klagomål/A 16524-2024 FSC-klagomål.docx", "A 16524-2024")</f>
        <v/>
      </c>
      <c r="W38">
        <f>HYPERLINK("https://klasma.github.io/Logging_1904/klagomålsmail/A 16524-2024 FSC-klagomål mail.docx", "A 16524-2024")</f>
        <v/>
      </c>
      <c r="X38">
        <f>HYPERLINK("https://klasma.github.io/Logging_1904/tillsyn/A 16524-2024 tillsynsbegäran.docx", "A 16524-2024")</f>
        <v/>
      </c>
      <c r="Y38">
        <f>HYPERLINK("https://klasma.github.io/Logging_1904/tillsynsmail/A 16524-2024 tillsynsbegäran mail.docx", "A 16524-2024")</f>
        <v/>
      </c>
    </row>
    <row r="39" ht="15" customHeight="1">
      <c r="A39" t="inlineStr">
        <is>
          <t>A 17381-2024</t>
        </is>
      </c>
      <c r="B39" s="1" t="n">
        <v>45414</v>
      </c>
      <c r="C39" s="1" t="n">
        <v>45838</v>
      </c>
      <c r="D39" t="inlineStr">
        <is>
          <t>VÄSTMANLANDS LÄN</t>
        </is>
      </c>
      <c r="E39" t="inlineStr">
        <is>
          <t>SKINNSKATTEBERG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HYPERLINK("https://klasma.github.io/Logging_1904/artfynd/A 17381-2024 artfynd.xlsx", "A 17381-2024")</f>
        <v/>
      </c>
      <c r="T39">
        <f>HYPERLINK("https://klasma.github.io/Logging_1904/kartor/A 17381-2024 karta.png", "A 17381-2024")</f>
        <v/>
      </c>
      <c r="V39">
        <f>HYPERLINK("https://klasma.github.io/Logging_1904/klagomål/A 17381-2024 FSC-klagomål.docx", "A 17381-2024")</f>
        <v/>
      </c>
      <c r="W39">
        <f>HYPERLINK("https://klasma.github.io/Logging_1904/klagomålsmail/A 17381-2024 FSC-klagomål mail.docx", "A 17381-2024")</f>
        <v/>
      </c>
      <c r="X39">
        <f>HYPERLINK("https://klasma.github.io/Logging_1904/tillsyn/A 17381-2024 tillsynsbegäran.docx", "A 17381-2024")</f>
        <v/>
      </c>
      <c r="Y39">
        <f>HYPERLINK("https://klasma.github.io/Logging_1904/tillsynsmail/A 17381-2024 tillsynsbegäran mail.docx", "A 17381-2024")</f>
        <v/>
      </c>
    </row>
    <row r="40" ht="15" customHeight="1">
      <c r="A40" t="inlineStr">
        <is>
          <t>A 19201-2024</t>
        </is>
      </c>
      <c r="B40" s="1" t="n">
        <v>45428</v>
      </c>
      <c r="C40" s="1" t="n">
        <v>45838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HYPERLINK("https://klasma.github.io/Logging_1904/artfynd/A 19201-2024 artfynd.xlsx", "A 19201-2024")</f>
        <v/>
      </c>
      <c r="T40">
        <f>HYPERLINK("https://klasma.github.io/Logging_1904/kartor/A 19201-2024 karta.png", "A 19201-2024")</f>
        <v/>
      </c>
      <c r="V40">
        <f>HYPERLINK("https://klasma.github.io/Logging_1904/klagomål/A 19201-2024 FSC-klagomål.docx", "A 19201-2024")</f>
        <v/>
      </c>
      <c r="W40">
        <f>HYPERLINK("https://klasma.github.io/Logging_1904/klagomålsmail/A 19201-2024 FSC-klagomål mail.docx", "A 19201-2024")</f>
        <v/>
      </c>
      <c r="X40">
        <f>HYPERLINK("https://klasma.github.io/Logging_1904/tillsyn/A 19201-2024 tillsynsbegäran.docx", "A 19201-2024")</f>
        <v/>
      </c>
      <c r="Y40">
        <f>HYPERLINK("https://klasma.github.io/Logging_1904/tillsynsmail/A 19201-2024 tillsynsbegäran mail.docx", "A 19201-2024")</f>
        <v/>
      </c>
      <c r="Z40">
        <f>HYPERLINK("https://klasma.github.io/Logging_1904/fåglar/A 19201-2024 prioriterade fågelarter.docx", "A 19201-2024")</f>
        <v/>
      </c>
    </row>
    <row r="41" ht="15" customHeight="1">
      <c r="A41" t="inlineStr">
        <is>
          <t>A 21574-2024</t>
        </is>
      </c>
      <c r="B41" s="1" t="n">
        <v>45441</v>
      </c>
      <c r="C41" s="1" t="n">
        <v>45838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HYPERLINK("https://klasma.github.io/Logging_1904/artfynd/A 21574-2024 artfynd.xlsx", "A 21574-2024")</f>
        <v/>
      </c>
      <c r="T41">
        <f>HYPERLINK("https://klasma.github.io/Logging_1904/kartor/A 21574-2024 karta.png", "A 21574-2024")</f>
        <v/>
      </c>
      <c r="V41">
        <f>HYPERLINK("https://klasma.github.io/Logging_1904/klagomål/A 21574-2024 FSC-klagomål.docx", "A 21574-2024")</f>
        <v/>
      </c>
      <c r="W41">
        <f>HYPERLINK("https://klasma.github.io/Logging_1904/klagomålsmail/A 21574-2024 FSC-klagomål mail.docx", "A 21574-2024")</f>
        <v/>
      </c>
      <c r="X41">
        <f>HYPERLINK("https://klasma.github.io/Logging_1904/tillsyn/A 21574-2024 tillsynsbegäran.docx", "A 21574-2024")</f>
        <v/>
      </c>
      <c r="Y41">
        <f>HYPERLINK("https://klasma.github.io/Logging_1904/tillsynsmail/A 21574-2024 tillsynsbegäran mail.docx", "A 21574-2024")</f>
        <v/>
      </c>
    </row>
    <row r="42" ht="15" customHeight="1">
      <c r="A42" t="inlineStr">
        <is>
          <t>A 24133-2024</t>
        </is>
      </c>
      <c r="B42" s="1" t="n">
        <v>45456</v>
      </c>
      <c r="C42" s="1" t="n">
        <v>45838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HYPERLINK("https://klasma.github.io/Logging_1904/artfynd/A 24133-2024 artfynd.xlsx", "A 24133-2024")</f>
        <v/>
      </c>
      <c r="T42">
        <f>HYPERLINK("https://klasma.github.io/Logging_1904/kartor/A 24133-2024 karta.png", "A 24133-2024")</f>
        <v/>
      </c>
      <c r="V42">
        <f>HYPERLINK("https://klasma.github.io/Logging_1904/klagomål/A 24133-2024 FSC-klagomål.docx", "A 24133-2024")</f>
        <v/>
      </c>
      <c r="W42">
        <f>HYPERLINK("https://klasma.github.io/Logging_1904/klagomålsmail/A 24133-2024 FSC-klagomål mail.docx", "A 24133-2024")</f>
        <v/>
      </c>
      <c r="X42">
        <f>HYPERLINK("https://klasma.github.io/Logging_1904/tillsyn/A 24133-2024 tillsynsbegäran.docx", "A 24133-2024")</f>
        <v/>
      </c>
      <c r="Y42">
        <f>HYPERLINK("https://klasma.github.io/Logging_1904/tillsynsmail/A 24133-2024 tillsynsbegäran mail.docx", "A 24133-2024")</f>
        <v/>
      </c>
      <c r="Z42">
        <f>HYPERLINK("https://klasma.github.io/Logging_1904/fåglar/A 24133-2024 prioriterade fågelarter.docx", "A 24133-2024")</f>
        <v/>
      </c>
    </row>
    <row r="43" ht="15" customHeight="1">
      <c r="A43" t="inlineStr">
        <is>
          <t>A 36596-2024</t>
        </is>
      </c>
      <c r="B43" s="1" t="n">
        <v>45537</v>
      </c>
      <c r="C43" s="1" t="n">
        <v>45838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Lakritsmusseron</t>
        </is>
      </c>
      <c r="S43">
        <f>HYPERLINK("https://klasma.github.io/Logging_1904/artfynd/A 36596-2024 artfynd.xlsx", "A 36596-2024")</f>
        <v/>
      </c>
      <c r="T43">
        <f>HYPERLINK("https://klasma.github.io/Logging_1904/kartor/A 36596-2024 karta.png", "A 36596-2024")</f>
        <v/>
      </c>
      <c r="V43">
        <f>HYPERLINK("https://klasma.github.io/Logging_1904/klagomål/A 36596-2024 FSC-klagomål.docx", "A 36596-2024")</f>
        <v/>
      </c>
      <c r="W43">
        <f>HYPERLINK("https://klasma.github.io/Logging_1904/klagomålsmail/A 36596-2024 FSC-klagomål mail.docx", "A 36596-2024")</f>
        <v/>
      </c>
      <c r="X43">
        <f>HYPERLINK("https://klasma.github.io/Logging_1904/tillsyn/A 36596-2024 tillsynsbegäran.docx", "A 36596-2024")</f>
        <v/>
      </c>
      <c r="Y43">
        <f>HYPERLINK("https://klasma.github.io/Logging_1904/tillsynsmail/A 36596-2024 tillsynsbegäran mail.docx", "A 36596-2024")</f>
        <v/>
      </c>
    </row>
    <row r="44" ht="15" customHeight="1">
      <c r="A44" t="inlineStr">
        <is>
          <t>A 36595-2024</t>
        </is>
      </c>
      <c r="B44" s="1" t="n">
        <v>45537</v>
      </c>
      <c r="C44" s="1" t="n">
        <v>45838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Lammticka</t>
        </is>
      </c>
      <c r="S44">
        <f>HYPERLINK("https://klasma.github.io/Logging_1904/artfynd/A 36595-2024 artfynd.xlsx", "A 36595-2024")</f>
        <v/>
      </c>
      <c r="T44">
        <f>HYPERLINK("https://klasma.github.io/Logging_1904/kartor/A 36595-2024 karta.png", "A 36595-2024")</f>
        <v/>
      </c>
      <c r="U44">
        <f>HYPERLINK("https://klasma.github.io/Logging_1904/knärot/A 36595-2024 karta knärot.png", "A 36595-2024")</f>
        <v/>
      </c>
      <c r="V44">
        <f>HYPERLINK("https://klasma.github.io/Logging_1904/klagomål/A 36595-2024 FSC-klagomål.docx", "A 36595-2024")</f>
        <v/>
      </c>
      <c r="W44">
        <f>HYPERLINK("https://klasma.github.io/Logging_1904/klagomålsmail/A 36595-2024 FSC-klagomål mail.docx", "A 36595-2024")</f>
        <v/>
      </c>
      <c r="X44">
        <f>HYPERLINK("https://klasma.github.io/Logging_1904/tillsyn/A 36595-2024 tillsynsbegäran.docx", "A 36595-2024")</f>
        <v/>
      </c>
      <c r="Y44">
        <f>HYPERLINK("https://klasma.github.io/Logging_1904/tillsynsmail/A 36595-2024 tillsynsbegäran mail.docx", "A 36595-2024")</f>
        <v/>
      </c>
    </row>
    <row r="45" ht="15" customHeight="1">
      <c r="A45" t="inlineStr">
        <is>
          <t>A 43413-2024</t>
        </is>
      </c>
      <c r="B45" s="1" t="n">
        <v>45568</v>
      </c>
      <c r="C45" s="1" t="n">
        <v>45838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HYPERLINK("https://klasma.github.io/Logging_1904/artfynd/A 43413-2024 artfynd.xlsx", "A 43413-2024")</f>
        <v/>
      </c>
      <c r="T45">
        <f>HYPERLINK("https://klasma.github.io/Logging_1904/kartor/A 43413-2024 karta.png", "A 43413-2024")</f>
        <v/>
      </c>
      <c r="V45">
        <f>HYPERLINK("https://klasma.github.io/Logging_1904/klagomål/A 43413-2024 FSC-klagomål.docx", "A 43413-2024")</f>
        <v/>
      </c>
      <c r="W45">
        <f>HYPERLINK("https://klasma.github.io/Logging_1904/klagomålsmail/A 43413-2024 FSC-klagomål mail.docx", "A 43413-2024")</f>
        <v/>
      </c>
      <c r="X45">
        <f>HYPERLINK("https://klasma.github.io/Logging_1904/tillsyn/A 43413-2024 tillsynsbegäran.docx", "A 43413-2024")</f>
        <v/>
      </c>
      <c r="Y45">
        <f>HYPERLINK("https://klasma.github.io/Logging_1904/tillsynsmail/A 43413-2024 tillsynsbegäran mail.docx", "A 43413-2024")</f>
        <v/>
      </c>
    </row>
    <row r="46" ht="15" customHeight="1">
      <c r="A46" t="inlineStr">
        <is>
          <t>A 49630-2024</t>
        </is>
      </c>
      <c r="B46" s="1" t="n">
        <v>45596</v>
      </c>
      <c r="C46" s="1" t="n">
        <v>45838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HYPERLINK("https://klasma.github.io/Logging_1904/artfynd/A 49630-2024 artfynd.xlsx", "A 49630-2024")</f>
        <v/>
      </c>
      <c r="T46">
        <f>HYPERLINK("https://klasma.github.io/Logging_1904/kartor/A 49630-2024 karta.png", "A 49630-2024")</f>
        <v/>
      </c>
      <c r="V46">
        <f>HYPERLINK("https://klasma.github.io/Logging_1904/klagomål/A 49630-2024 FSC-klagomål.docx", "A 49630-2024")</f>
        <v/>
      </c>
      <c r="W46">
        <f>HYPERLINK("https://klasma.github.io/Logging_1904/klagomålsmail/A 49630-2024 FSC-klagomål mail.docx", "A 49630-2024")</f>
        <v/>
      </c>
      <c r="X46">
        <f>HYPERLINK("https://klasma.github.io/Logging_1904/tillsyn/A 49630-2024 tillsynsbegäran.docx", "A 49630-2024")</f>
        <v/>
      </c>
      <c r="Y46">
        <f>HYPERLINK("https://klasma.github.io/Logging_1904/tillsynsmail/A 49630-2024 tillsynsbegäran mail.docx", "A 49630-2024")</f>
        <v/>
      </c>
    </row>
    <row r="47" ht="15" customHeight="1">
      <c r="A47" t="inlineStr">
        <is>
          <t>A 62156-2024</t>
        </is>
      </c>
      <c r="B47" s="1" t="n">
        <v>45656</v>
      </c>
      <c r="C47" s="1" t="n">
        <v>45838</v>
      </c>
      <c r="D47" t="inlineStr">
        <is>
          <t>VÄSTMANLANDS LÄN</t>
        </is>
      </c>
      <c r="E47" t="inlineStr">
        <is>
          <t>SKINNSKATTEBERG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HYPERLINK("https://klasma.github.io/Logging_1904/artfynd/A 62156-2024 artfynd.xlsx", "A 62156-2024")</f>
        <v/>
      </c>
      <c r="T47">
        <f>HYPERLINK("https://klasma.github.io/Logging_1904/kartor/A 62156-2024 karta.png", "A 62156-2024")</f>
        <v/>
      </c>
      <c r="V47">
        <f>HYPERLINK("https://klasma.github.io/Logging_1904/klagomål/A 62156-2024 FSC-klagomål.docx", "A 62156-2024")</f>
        <v/>
      </c>
      <c r="W47">
        <f>HYPERLINK("https://klasma.github.io/Logging_1904/klagomålsmail/A 62156-2024 FSC-klagomål mail.docx", "A 62156-2024")</f>
        <v/>
      </c>
      <c r="X47">
        <f>HYPERLINK("https://klasma.github.io/Logging_1904/tillsyn/A 62156-2024 tillsynsbegäran.docx", "A 62156-2024")</f>
        <v/>
      </c>
      <c r="Y47">
        <f>HYPERLINK("https://klasma.github.io/Logging_1904/tillsynsmail/A 62156-2024 tillsynsbegäran mail.docx", "A 62156-2024")</f>
        <v/>
      </c>
    </row>
    <row r="48" ht="15" customHeight="1">
      <c r="A48" t="inlineStr">
        <is>
          <t>A 17298-2025</t>
        </is>
      </c>
      <c r="B48" s="1" t="n">
        <v>45756</v>
      </c>
      <c r="C48" s="1" t="n">
        <v>45838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Toppvaxing</t>
        </is>
      </c>
      <c r="S48">
        <f>HYPERLINK("https://klasma.github.io/Logging_191904/artfynd/A 17298-2025 artfynd.xlsx", "A 17298-2025")</f>
        <v/>
      </c>
      <c r="T48">
        <f>HYPERLINK("https://klasma.github.io/Logging_191904/kartor/A 17298-2025 karta.png", "A 17298-2025")</f>
        <v/>
      </c>
      <c r="V48">
        <f>HYPERLINK("https://klasma.github.io/Logging_191904/klagomål/A 17298-2025 FSC-klagomål.docx", "A 17298-2025")</f>
        <v/>
      </c>
      <c r="W48">
        <f>HYPERLINK("https://klasma.github.io/Logging_191904/klagomålsmail/A 17298-2025 FSC-klagomål mail.docx", "A 17298-2025")</f>
        <v/>
      </c>
      <c r="X48">
        <f>HYPERLINK("https://klasma.github.io/Logging_191904/tillsyn/A 17298-2025 tillsynsbegäran.docx", "A 17298-2025")</f>
        <v/>
      </c>
      <c r="Y48">
        <f>HYPERLINK("https://klasma.github.io/Logging_191904/tillsynsmail/A 17298-2025 tillsynsbegäran mail.docx", "A 17298-2025")</f>
        <v/>
      </c>
    </row>
    <row r="49" ht="15" customHeight="1">
      <c r="A49" t="inlineStr">
        <is>
          <t>A 20953-2025</t>
        </is>
      </c>
      <c r="B49" s="1" t="n">
        <v>45777</v>
      </c>
      <c r="C49" s="1" t="n">
        <v>45838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20953-2025 artfynd.xlsx", "A 20953-2025")</f>
        <v/>
      </c>
      <c r="T49">
        <f>HYPERLINK("https://klasma.github.io/Logging_191904/kartor/A 20953-2025 karta.png", "A 20953-2025")</f>
        <v/>
      </c>
      <c r="V49">
        <f>HYPERLINK("https://klasma.github.io/Logging_191904/klagomål/A 20953-2025 FSC-klagomål.docx", "A 20953-2025")</f>
        <v/>
      </c>
      <c r="W49">
        <f>HYPERLINK("https://klasma.github.io/Logging_191904/klagomålsmail/A 20953-2025 FSC-klagomål mail.docx", "A 20953-2025")</f>
        <v/>
      </c>
      <c r="X49">
        <f>HYPERLINK("https://klasma.github.io/Logging_191904/tillsyn/A 20953-2025 tillsynsbegäran.docx", "A 20953-2025")</f>
        <v/>
      </c>
      <c r="Y49">
        <f>HYPERLINK("https://klasma.github.io/Logging_191904/tillsynsmail/A 20953-2025 tillsynsbegäran mail.docx", "A 20953-2025")</f>
        <v/>
      </c>
    </row>
    <row r="50" ht="15" customHeight="1">
      <c r="A50" t="inlineStr">
        <is>
          <t>A 23574-2025</t>
        </is>
      </c>
      <c r="B50" s="1" t="n">
        <v>45792</v>
      </c>
      <c r="C50" s="1" t="n">
        <v>45838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23574-2025 artfynd.xlsx", "A 23574-2025")</f>
        <v/>
      </c>
      <c r="T50">
        <f>HYPERLINK("https://klasma.github.io/Logging_191904/kartor/A 23574-2025 karta.png", "A 23574-2025")</f>
        <v/>
      </c>
      <c r="V50">
        <f>HYPERLINK("https://klasma.github.io/Logging_191904/klagomål/A 23574-2025 FSC-klagomål.docx", "A 23574-2025")</f>
        <v/>
      </c>
      <c r="W50">
        <f>HYPERLINK("https://klasma.github.io/Logging_191904/klagomålsmail/A 23574-2025 FSC-klagomål mail.docx", "A 23574-2025")</f>
        <v/>
      </c>
      <c r="X50">
        <f>HYPERLINK("https://klasma.github.io/Logging_191904/tillsyn/A 23574-2025 tillsynsbegäran.docx", "A 23574-2025")</f>
        <v/>
      </c>
      <c r="Y50">
        <f>HYPERLINK("https://klasma.github.io/Logging_191904/tillsynsmail/A 23574-2025 tillsynsbegäran mail.docx", "A 23574-2025")</f>
        <v/>
      </c>
    </row>
    <row r="51" ht="15" customHeight="1">
      <c r="A51" t="inlineStr">
        <is>
          <t>A 30159-2025</t>
        </is>
      </c>
      <c r="B51" s="1" t="n">
        <v>45827</v>
      </c>
      <c r="C51" s="1" t="n">
        <v>45838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HYPERLINK("https://klasma.github.io/Logging_191904/artfynd/A 30159-2025 artfynd.xlsx", "A 30159-2025")</f>
        <v/>
      </c>
      <c r="T51">
        <f>HYPERLINK("https://klasma.github.io/Logging_191904/kartor/A 30159-2025 karta.png", "A 30159-2025")</f>
        <v/>
      </c>
      <c r="V51">
        <f>HYPERLINK("https://klasma.github.io/Logging_191904/klagomål/A 30159-2025 FSC-klagomål.docx", "A 30159-2025")</f>
        <v/>
      </c>
      <c r="W51">
        <f>HYPERLINK("https://klasma.github.io/Logging_191904/klagomålsmail/A 30159-2025 FSC-klagomål mail.docx", "A 30159-2025")</f>
        <v/>
      </c>
      <c r="X51">
        <f>HYPERLINK("https://klasma.github.io/Logging_191904/tillsyn/A 30159-2025 tillsynsbegäran.docx", "A 30159-2025")</f>
        <v/>
      </c>
      <c r="Y51">
        <f>HYPERLINK("https://klasma.github.io/Logging_191904/tillsynsmail/A 30159-2025 tillsynsbegäran mail.docx", "A 30159-2025")</f>
        <v/>
      </c>
    </row>
    <row r="52" ht="15" customHeight="1">
      <c r="A52" t="inlineStr">
        <is>
          <t>A 30986-2025</t>
        </is>
      </c>
      <c r="B52" s="1" t="n">
        <v>45832</v>
      </c>
      <c r="C52" s="1" t="n">
        <v>45838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Toppvaxing</t>
        </is>
      </c>
      <c r="S52">
        <f>HYPERLINK("https://klasma.github.io/Logging_191904/artfynd/A 30986-2025 artfynd.xlsx", "A 30986-2025")</f>
        <v/>
      </c>
      <c r="T52">
        <f>HYPERLINK("https://klasma.github.io/Logging_191904/kartor/A 30986-2025 karta.png", "A 30986-2025")</f>
        <v/>
      </c>
      <c r="V52">
        <f>HYPERLINK("https://klasma.github.io/Logging_191904/klagomål/A 30986-2025 FSC-klagomål.docx", "A 30986-2025")</f>
        <v/>
      </c>
      <c r="W52">
        <f>HYPERLINK("https://klasma.github.io/Logging_191904/klagomålsmail/A 30986-2025 FSC-klagomål mail.docx", "A 30986-2025")</f>
        <v/>
      </c>
      <c r="X52">
        <f>HYPERLINK("https://klasma.github.io/Logging_191904/tillsyn/A 30986-2025 tillsynsbegäran.docx", "A 30986-2025")</f>
        <v/>
      </c>
      <c r="Y52">
        <f>HYPERLINK("https://klasma.github.io/Logging_191904/tillsynsmail/A 30986-2025 tillsynsbegäran mail.docx", "A 30986-2025")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45838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20254-2019</t>
        </is>
      </c>
      <c r="B54" s="1" t="n">
        <v>43571</v>
      </c>
      <c r="C54" s="1" t="n">
        <v>45838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21997-2019</t>
        </is>
      </c>
      <c r="B55" s="1" t="n">
        <v>43584</v>
      </c>
      <c r="C55" s="1" t="n">
        <v>45838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23090-2019</t>
        </is>
      </c>
      <c r="B56" s="1" t="n">
        <v>43592</v>
      </c>
      <c r="C56" s="1" t="n">
        <v>45838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23433-2019</t>
        </is>
      </c>
      <c r="B57" s="1" t="n">
        <v>43593</v>
      </c>
      <c r="C57" s="1" t="n">
        <v>45838</v>
      </c>
      <c r="D57" t="inlineStr">
        <is>
          <t>VÄSTMANLANDS LÄN</t>
        </is>
      </c>
      <c r="E57" t="inlineStr">
        <is>
          <t>SKINNSKATTEBERG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24383-2019</t>
        </is>
      </c>
      <c r="B58" s="1" t="n">
        <v>43599</v>
      </c>
      <c r="C58" s="1" t="n">
        <v>45838</v>
      </c>
      <c r="D58" t="inlineStr">
        <is>
          <t>VÄSTMANLANDS LÄN</t>
        </is>
      </c>
      <c r="E58" t="inlineStr">
        <is>
          <t>SKINNSKATTEBERG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24539-2019</t>
        </is>
      </c>
      <c r="B59" s="1" t="n">
        <v>43600</v>
      </c>
      <c r="C59" s="1" t="n">
        <v>45838</v>
      </c>
      <c r="D59" t="inlineStr">
        <is>
          <t>VÄSTMANLANDS LÄN</t>
        </is>
      </c>
      <c r="E59" t="inlineStr">
        <is>
          <t>SKINNSKATTEBERG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24985-2019</t>
        </is>
      </c>
      <c r="B60" s="1" t="n">
        <v>43602</v>
      </c>
      <c r="C60" s="1" t="n">
        <v>45838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24978-2019</t>
        </is>
      </c>
      <c r="B61" s="1" t="n">
        <v>43602</v>
      </c>
      <c r="C61" s="1" t="n">
        <v>45838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24882-2019</t>
        </is>
      </c>
      <c r="B62" s="1" t="n">
        <v>43602</v>
      </c>
      <c r="C62" s="1" t="n">
        <v>45838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24892-2019</t>
        </is>
      </c>
      <c r="B63" s="1" t="n">
        <v>43602</v>
      </c>
      <c r="C63" s="1" t="n">
        <v>45838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25324-2019</t>
        </is>
      </c>
      <c r="B64" s="1" t="n">
        <v>43606</v>
      </c>
      <c r="C64" s="1" t="n">
        <v>45838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25743-2019</t>
        </is>
      </c>
      <c r="B65" s="1" t="n">
        <v>43608</v>
      </c>
      <c r="C65" s="1" t="n">
        <v>45838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26467-2019</t>
        </is>
      </c>
      <c r="B66" s="1" t="n">
        <v>43612</v>
      </c>
      <c r="C66" s="1" t="n">
        <v>45838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26472-2019</t>
        </is>
      </c>
      <c r="B67" s="1" t="n">
        <v>43612</v>
      </c>
      <c r="C67" s="1" t="n">
        <v>45838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27093-2019</t>
        </is>
      </c>
      <c r="B68" s="1" t="n">
        <v>43614</v>
      </c>
      <c r="C68" s="1" t="n">
        <v>45838</v>
      </c>
      <c r="D68" t="inlineStr">
        <is>
          <t>VÄSTMANLANDS LÄN</t>
        </is>
      </c>
      <c r="E68" t="inlineStr">
        <is>
          <t>SKINNSKATTEBERG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27472-2019</t>
        </is>
      </c>
      <c r="B69" s="1" t="n">
        <v>43619</v>
      </c>
      <c r="C69" s="1" t="n">
        <v>45838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27832-2019</t>
        </is>
      </c>
      <c r="B70" s="1" t="n">
        <v>43620</v>
      </c>
      <c r="C70" s="1" t="n">
        <v>45838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29418-2019</t>
        </is>
      </c>
      <c r="B71" s="1" t="n">
        <v>43629</v>
      </c>
      <c r="C71" s="1" t="n">
        <v>45838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30161-2019</t>
        </is>
      </c>
      <c r="B72" s="1" t="n">
        <v>43634</v>
      </c>
      <c r="C72" s="1" t="n">
        <v>45838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31725-2019</t>
        </is>
      </c>
      <c r="B73" s="1" t="n">
        <v>43642</v>
      </c>
      <c r="C73" s="1" t="n">
        <v>45838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31721-2019</t>
        </is>
      </c>
      <c r="B74" s="1" t="n">
        <v>43642</v>
      </c>
      <c r="C74" s="1" t="n">
        <v>45838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31643-2019</t>
        </is>
      </c>
      <c r="B75" s="1" t="n">
        <v>43642</v>
      </c>
      <c r="C75" s="1" t="n">
        <v>45838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32430-2019</t>
        </is>
      </c>
      <c r="B76" s="1" t="n">
        <v>43644</v>
      </c>
      <c r="C76" s="1" t="n">
        <v>45838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34565-2019</t>
        </is>
      </c>
      <c r="B77" s="1" t="n">
        <v>43647</v>
      </c>
      <c r="C77" s="1" t="n">
        <v>45838</v>
      </c>
      <c r="D77" t="inlineStr">
        <is>
          <t>VÄSTMANLANDS LÄN</t>
        </is>
      </c>
      <c r="E77" t="inlineStr">
        <is>
          <t>SKINNSKATTEBERG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32850-2019</t>
        </is>
      </c>
      <c r="B78" s="1" t="n">
        <v>43648</v>
      </c>
      <c r="C78" s="1" t="n">
        <v>45838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32856-2019</t>
        </is>
      </c>
      <c r="B79" s="1" t="n">
        <v>43648</v>
      </c>
      <c r="C79" s="1" t="n">
        <v>45838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33647-2019</t>
        </is>
      </c>
      <c r="B80" s="1" t="n">
        <v>43651</v>
      </c>
      <c r="C80" s="1" t="n">
        <v>45838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33581-2019</t>
        </is>
      </c>
      <c r="B81" s="1" t="n">
        <v>43651</v>
      </c>
      <c r="C81" s="1" t="n">
        <v>45838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38158-2019</t>
        </is>
      </c>
      <c r="B82" s="1" t="n">
        <v>43683</v>
      </c>
      <c r="C82" s="1" t="n">
        <v>45838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38087-2019</t>
        </is>
      </c>
      <c r="B83" s="1" t="n">
        <v>43683</v>
      </c>
      <c r="C83" s="1" t="n">
        <v>45838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40439-2019</t>
        </is>
      </c>
      <c r="B84" s="1" t="n">
        <v>43696</v>
      </c>
      <c r="C84" s="1" t="n">
        <v>45838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40598-2019</t>
        </is>
      </c>
      <c r="B85" s="1" t="n">
        <v>43696</v>
      </c>
      <c r="C85" s="1" t="n">
        <v>45838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41300-2019</t>
        </is>
      </c>
      <c r="B86" s="1" t="n">
        <v>43698</v>
      </c>
      <c r="C86" s="1" t="n">
        <v>45838</v>
      </c>
      <c r="D86" t="inlineStr">
        <is>
          <t>VÄSTMANLANDS LÄN</t>
        </is>
      </c>
      <c r="E86" t="inlineStr">
        <is>
          <t>SKINNSKATTEBERG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41630-2019</t>
        </is>
      </c>
      <c r="B87" s="1" t="n">
        <v>43699</v>
      </c>
      <c r="C87" s="1" t="n">
        <v>45838</v>
      </c>
      <c r="D87" t="inlineStr">
        <is>
          <t>VÄSTMANLANDS LÄN</t>
        </is>
      </c>
      <c r="E87" t="inlineStr">
        <is>
          <t>SKINNSKATTEBERG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43866-2019</t>
        </is>
      </c>
      <c r="B88" s="1" t="n">
        <v>43707</v>
      </c>
      <c r="C88" s="1" t="n">
        <v>45838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43865-2019</t>
        </is>
      </c>
      <c r="B89" s="1" t="n">
        <v>43707</v>
      </c>
      <c r="C89" s="1" t="n">
        <v>45838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46523-2019</t>
        </is>
      </c>
      <c r="B90" s="1" t="n">
        <v>43719</v>
      </c>
      <c r="C90" s="1" t="n">
        <v>45838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46586-2019</t>
        </is>
      </c>
      <c r="B91" s="1" t="n">
        <v>43719</v>
      </c>
      <c r="C91" s="1" t="n">
        <v>45838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46588-2019</t>
        </is>
      </c>
      <c r="B92" s="1" t="n">
        <v>43719</v>
      </c>
      <c r="C92" s="1" t="n">
        <v>45838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46591-2019</t>
        </is>
      </c>
      <c r="B93" s="1" t="n">
        <v>43719</v>
      </c>
      <c r="C93" s="1" t="n">
        <v>45838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47351-2019</t>
        </is>
      </c>
      <c r="B94" s="1" t="n">
        <v>43721</v>
      </c>
      <c r="C94" s="1" t="n">
        <v>45838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47354-2019</t>
        </is>
      </c>
      <c r="B95" s="1" t="n">
        <v>43721</v>
      </c>
      <c r="C95" s="1" t="n">
        <v>45838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47465-2019</t>
        </is>
      </c>
      <c r="B96" s="1" t="n">
        <v>43724</v>
      </c>
      <c r="C96" s="1" t="n">
        <v>45838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47500-2019</t>
        </is>
      </c>
      <c r="B97" s="1" t="n">
        <v>43724</v>
      </c>
      <c r="C97" s="1" t="n">
        <v>45838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48451-2019</t>
        </is>
      </c>
      <c r="B98" s="1" t="n">
        <v>43727</v>
      </c>
      <c r="C98" s="1" t="n">
        <v>45838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49138-2019</t>
        </is>
      </c>
      <c r="B99" s="1" t="n">
        <v>43731</v>
      </c>
      <c r="C99" s="1" t="n">
        <v>45838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49409-2019</t>
        </is>
      </c>
      <c r="B100" s="1" t="n">
        <v>43732</v>
      </c>
      <c r="C100" s="1" t="n">
        <v>45838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50839-2019</t>
        </is>
      </c>
      <c r="B101" s="1" t="n">
        <v>43738</v>
      </c>
      <c r="C101" s="1" t="n">
        <v>45838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50877-2019</t>
        </is>
      </c>
      <c r="B102" s="1" t="n">
        <v>43738</v>
      </c>
      <c r="C102" s="1" t="n">
        <v>45838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51129-2019</t>
        </is>
      </c>
      <c r="B103" s="1" t="n">
        <v>43739</v>
      </c>
      <c r="C103" s="1" t="n">
        <v>45838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51224-2019</t>
        </is>
      </c>
      <c r="B104" s="1" t="n">
        <v>43739</v>
      </c>
      <c r="C104" s="1" t="n">
        <v>45838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52765-2019</t>
        </is>
      </c>
      <c r="B105" s="1" t="n">
        <v>43739</v>
      </c>
      <c r="C105" s="1" t="n">
        <v>45838</v>
      </c>
      <c r="D105" t="inlineStr">
        <is>
          <t>VÄSTMANLANDS LÄN</t>
        </is>
      </c>
      <c r="E105" t="inlineStr">
        <is>
          <t>SKINNSKATTEBERG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51345-2019</t>
        </is>
      </c>
      <c r="B106" s="1" t="n">
        <v>43740</v>
      </c>
      <c r="C106" s="1" t="n">
        <v>45838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52669-2019</t>
        </is>
      </c>
      <c r="B107" s="1" t="n">
        <v>43746</v>
      </c>
      <c r="C107" s="1" t="n">
        <v>45838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53640-2019</t>
        </is>
      </c>
      <c r="B108" s="1" t="n">
        <v>43749</v>
      </c>
      <c r="C108" s="1" t="n">
        <v>45838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53641-2019</t>
        </is>
      </c>
      <c r="B109" s="1" t="n">
        <v>43749</v>
      </c>
      <c r="C109" s="1" t="n">
        <v>45838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53637-2019</t>
        </is>
      </c>
      <c r="B110" s="1" t="n">
        <v>43749</v>
      </c>
      <c r="C110" s="1" t="n">
        <v>45838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54076-2019</t>
        </is>
      </c>
      <c r="B111" s="1" t="n">
        <v>43752</v>
      </c>
      <c r="C111" s="1" t="n">
        <v>45838</v>
      </c>
      <c r="D111" t="inlineStr">
        <is>
          <t>VÄSTMANLANDS LÄN</t>
        </is>
      </c>
      <c r="E111" t="inlineStr">
        <is>
          <t>SKINNSKATTEBERG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55253-2019</t>
        </is>
      </c>
      <c r="B112" s="1" t="n">
        <v>43756</v>
      </c>
      <c r="C112" s="1" t="n">
        <v>45838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45838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45838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45838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45838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45838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45838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45838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45838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45838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45838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45838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45838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45838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45838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45838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45838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45838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45838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45838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45838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45838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45838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45838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45838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45838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45838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45838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45838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45838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45838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45838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45838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45838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45838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45838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45838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45838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45838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45838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45838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45838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45838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45838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45838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45838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45838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45838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45838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45838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45838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45838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45838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45838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45838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45838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45838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45838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45838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45838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45838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45838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45838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45838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45838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45838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45838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45838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45838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45838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45838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45838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45838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45838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45838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45838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45838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45838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45838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45838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45838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45838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45838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45838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45838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45838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45838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45838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45838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45838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45838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45838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45838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45838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45838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45838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45838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45838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45838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45838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45838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45838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45838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45838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45838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45838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45838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45838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45838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45838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45838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45838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45838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45838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45838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45838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45838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45838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45838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45838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45838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45838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45838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45838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45838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45838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45838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45838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45838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45838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45838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45838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45838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45838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45838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45838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45838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45838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45838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45838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45838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45838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45838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45838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45838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45838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45838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45838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45838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45838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45838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45838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45838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45838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45838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45838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45838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45838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45838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45838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45838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45838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45838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45838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45838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45838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45838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45838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45838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45838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45838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45838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45838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45838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45838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45838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45838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45838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45838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45838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45838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45838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45838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45838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45838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45838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45838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45838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45838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45838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45838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45838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45838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45838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45838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45838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45838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45838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45838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45838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45838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45838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45838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45838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45838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45838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45838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45838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45838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45838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45838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45838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45838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45838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45838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45838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45838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45838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45838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45838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45838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45838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45838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45838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45838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45838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45838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45838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45838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45838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45838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45838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45838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45838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45838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45838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45838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45838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45838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45838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45838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45838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45838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45838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45838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45838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45838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45838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45838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45838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45838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45838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45838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45838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45838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45838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45838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45838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45838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45838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45838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45838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45838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45838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45838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45838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45838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45838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45838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45838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45838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45838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45838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45838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45838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45838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45838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45838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45838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45838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45838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45838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45838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45838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45838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45838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45838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45838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45838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45838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45838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45838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45838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45838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45838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45838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45838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45838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45838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45838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45838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45838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45838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45838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45838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45838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45838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45838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45838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45838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45838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45838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45838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45838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45838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45838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45838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45838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45838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45838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45838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45838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45838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45838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45838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45838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45838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45838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45838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45838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45838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45838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45838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45838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45838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45838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45838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45838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45838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45838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45838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45838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45838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45838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45838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45838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45838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45838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45838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45838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45838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45838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45838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45838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45838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45838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45838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45838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45838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45838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45838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45838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45838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45838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45838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45838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45838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45838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45838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45838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45838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45838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45838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45838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45838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45838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45838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45838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45838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45838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45838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45838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45838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45838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45838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45838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45838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45838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45838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45838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45838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45838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45838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45838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45838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45838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45838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45838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45838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45838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45838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45838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45838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45838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45838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45838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45838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45838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45838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45838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45838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45838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45838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45838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45838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45838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45838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45838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45838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45838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45838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45838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45838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45838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45838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45838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45838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45838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45838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45838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45838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45838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45838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45838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45838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45838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45838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45838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45838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45838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45838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45838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45838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45838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45838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45838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45838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45838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45838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45838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45838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45838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45838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45838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45838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45838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45838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45838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45838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45838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45838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45838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45838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45838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45838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45838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45838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45838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45838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45838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45838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45838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45838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45838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45838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45838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45838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45838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45838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45838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45838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45838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45838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45838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45838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45838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45838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45838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45838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45838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45838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45838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45838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45838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45838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45838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45838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45838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45838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45838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45838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45838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45838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45838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45838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45838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45838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45838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45838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45838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45838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45838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45838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45838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45838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45838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45838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45838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45838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45838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45838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45838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45838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45838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45838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45838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45838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45838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45838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45838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45838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45838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45838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45838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45838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45838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45838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45838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45838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45838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45838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45838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45838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45838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45838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45838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45838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45838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45838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45838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45838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45838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45838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45838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45838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45838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45838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45838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45838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45838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45838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45838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45838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45838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45838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45838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45838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45838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45838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45838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45838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45838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45838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45838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45838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45838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45838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45838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45838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45838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45838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45838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45838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45838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45838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45838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45838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45838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45838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45838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45838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45838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45838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45838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45838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45838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45838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45838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45838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45838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45838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45838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45838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45838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45838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45838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45838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45838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45838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45838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45838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45838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45838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45838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45838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45838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45838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45838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45838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45838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45838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45838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45838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45838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45838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45838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45838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45838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45838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45838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45838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45838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45838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45838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45838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45838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45838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45838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45838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45838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45838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45838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45838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45838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45838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45838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45838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45838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45838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45838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45838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45838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45838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45838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45838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45838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45838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45838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45838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45838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45838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45838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45838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45838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45838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45838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45838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45838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45838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45838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45838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45838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45838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45838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45838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45838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45838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45838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45838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45838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45838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45838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45838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45838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45838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45838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45838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45838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45838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45838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45838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45838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45838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45838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45838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45838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45838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45838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45838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45838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45838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45838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45838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45838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45838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45838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45838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45838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45838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45838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45838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45838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45838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45838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45838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45838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45838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45838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45838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45838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45838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45838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45838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45838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45838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45838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45838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45838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45838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45838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45838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45838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45838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45838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45838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45838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45838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45838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45838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45838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45838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45838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45838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45838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45838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45838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45838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45838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45838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45838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45838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45838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45838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45838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45838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45838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45838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45838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28610-2025</t>
        </is>
      </c>
      <c r="B870" s="1" t="n">
        <v>45819</v>
      </c>
      <c r="C870" s="1" t="n">
        <v>45838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28613-2025</t>
        </is>
      </c>
      <c r="B871" s="1" t="n">
        <v>45819</v>
      </c>
      <c r="C871" s="1" t="n">
        <v>45838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28614-2025</t>
        </is>
      </c>
      <c r="B872" s="1" t="n">
        <v>45819</v>
      </c>
      <c r="C872" s="1" t="n">
        <v>45838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28608-2025</t>
        </is>
      </c>
      <c r="B873" s="1" t="n">
        <v>45819</v>
      </c>
      <c r="C873" s="1" t="n">
        <v>45838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28603-2025</t>
        </is>
      </c>
      <c r="B874" s="1" t="n">
        <v>45819</v>
      </c>
      <c r="C874" s="1" t="n">
        <v>45838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28605-2025</t>
        </is>
      </c>
      <c r="B875" s="1" t="n">
        <v>45819</v>
      </c>
      <c r="C875" s="1" t="n">
        <v>45838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28606-2025</t>
        </is>
      </c>
      <c r="B876" s="1" t="n">
        <v>45819</v>
      </c>
      <c r="C876" s="1" t="n">
        <v>45838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45838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45838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45838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45838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45838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45838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45838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45838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45838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45838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45838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45838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45838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45838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45838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30885-2025</t>
        </is>
      </c>
      <c r="B892" s="1" t="n">
        <v>45832</v>
      </c>
      <c r="C892" s="1" t="n">
        <v>45838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2025-06-30T19:33:38Z</dcterms:created>
  <dcterms:modified xmlns:dcterms="http://purl.org/dc/terms/" xmlns:xsi="http://www.w3.org/2001/XMLSchema-instance" xsi:type="dcterms:W3CDTF">2025-06-30T19:33:39Z</dcterms:modified>
</cp:coreProperties>
</file>