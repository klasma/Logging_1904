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46110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46110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46110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46110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46110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46110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46110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46110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46110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46110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46110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46110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46110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46110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46110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46110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15734-2026</t>
        </is>
      </c>
      <c r="B26" s="1" t="n">
        <v>46107.40643518518</v>
      </c>
      <c r="C26" s="1" t="n">
        <v>46110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Koppartaggsvamp</t>
        </is>
      </c>
      <c r="S26">
        <f>HYPERLINK("https://klasma.github.io/Logging_1904/artfynd/A 15734-2026 artfynd.xlsx", "A 15734-2026")</f>
        <v/>
      </c>
      <c r="T26">
        <f>HYPERLINK("https://klasma.github.io/Logging_1904/kartor/A 15734-2026 karta.png", "A 15734-2026")</f>
        <v/>
      </c>
      <c r="V26">
        <f>HYPERLINK("https://klasma.github.io/Logging_1904/klagomål/A 15734-2026 FSC-klagomål.docx", "A 15734-2026")</f>
        <v/>
      </c>
      <c r="W26">
        <f>HYPERLINK("https://klasma.github.io/Logging_1904/klagomålsmail/A 15734-2026 FSC-klagomål mail.docx", "A 15734-2026")</f>
        <v/>
      </c>
      <c r="X26">
        <f>HYPERLINK("https://klasma.github.io/Logging_1904/tillsyn/A 15734-2026 tillsynsbegäran.docx", "A 15734-2026")</f>
        <v/>
      </c>
      <c r="Y26">
        <f>HYPERLINK("https://klasma.github.io/Logging_1904/tillsynsmail/A 15734-2026 tillsynsbegäran mail.docx", "A 15734-2026")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46110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46110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46110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19205-2024</t>
        </is>
      </c>
      <c r="B30" s="1" t="n">
        <v>45428.53730324074</v>
      </c>
      <c r="C30" s="1" t="n">
        <v>46110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HYPERLINK("https://klasma.github.io/Logging_1904/artfynd/A 19205-2024 artfynd.xlsx", "A 19205-2024")</f>
        <v/>
      </c>
      <c r="T30">
        <f>HYPERLINK("https://klasma.github.io/Logging_1904/kartor/A 19205-2024 karta.png", "A 19205-2024")</f>
        <v/>
      </c>
      <c r="V30">
        <f>HYPERLINK("https://klasma.github.io/Logging_1904/klagomål/A 19205-2024 FSC-klagomål.docx", "A 19205-2024")</f>
        <v/>
      </c>
      <c r="W30">
        <f>HYPERLINK("https://klasma.github.io/Logging_1904/klagomålsmail/A 19205-2024 FSC-klagomål mail.docx", "A 19205-2024")</f>
        <v/>
      </c>
      <c r="X30">
        <f>HYPERLINK("https://klasma.github.io/Logging_1904/tillsyn/A 19205-2024 tillsynsbegäran.docx", "A 19205-2024")</f>
        <v/>
      </c>
      <c r="Y30">
        <f>HYPERLINK("https://klasma.github.io/Logging_1904/tillsynsmail/A 19205-2024 tillsynsbegäran mail.docx", "A 19205-2024")</f>
        <v/>
      </c>
      <c r="Z30">
        <f>HYPERLINK("https://klasma.github.io/Logging_1904/fåglar/A 19205-2024 prioriterade fågelarter.docx", "A 19205-2024")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46110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46110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46110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46110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46110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46110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46110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46110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46110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46110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46110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46110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46110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46110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46110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46110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46110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46110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46110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46110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46110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46110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46110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46110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46110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46110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46110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46110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46110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46110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46110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19016-2021</t>
        </is>
      </c>
      <c r="B63" s="1" t="n">
        <v>44308</v>
      </c>
      <c r="C63" s="1" t="n">
        <v>46110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46110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46110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46110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14204-2022</t>
        </is>
      </c>
      <c r="B67" s="1" t="n">
        <v>44651.60453703703</v>
      </c>
      <c r="C67" s="1" t="n">
        <v>46110</v>
      </c>
      <c r="D67" t="inlineStr">
        <is>
          <t>VÄSTMANLANDS LÄN</t>
        </is>
      </c>
      <c r="E67" t="inlineStr">
        <is>
          <t>SKINNSKATTEBERG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59417-2021</t>
        </is>
      </c>
      <c r="B68" s="1" t="n">
        <v>44491</v>
      </c>
      <c r="C68" s="1" t="n">
        <v>46110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41868-2022</t>
        </is>
      </c>
      <c r="B69" s="1" t="n">
        <v>44829.80922453704</v>
      </c>
      <c r="C69" s="1" t="n">
        <v>46110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54510-2024</t>
        </is>
      </c>
      <c r="B70" s="1" t="n">
        <v>45617</v>
      </c>
      <c r="C70" s="1" t="n">
        <v>46110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5001-2024</t>
        </is>
      </c>
      <c r="B71" s="1" t="n">
        <v>45329</v>
      </c>
      <c r="C71" s="1" t="n">
        <v>46110</v>
      </c>
      <c r="D71" t="inlineStr">
        <is>
          <t>VÄSTMANLANDS LÄN</t>
        </is>
      </c>
      <c r="E71" t="inlineStr">
        <is>
          <t>SKINNSKATTEBERG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12094-2024</t>
        </is>
      </c>
      <c r="B72" s="1" t="n">
        <v>45377.57371527778</v>
      </c>
      <c r="C72" s="1" t="n">
        <v>46110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12095-2024</t>
        </is>
      </c>
      <c r="B73" s="1" t="n">
        <v>45377.5744212963</v>
      </c>
      <c r="C73" s="1" t="n">
        <v>46110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46110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47693-2023</t>
        </is>
      </c>
      <c r="B75" s="1" t="n">
        <v>45198</v>
      </c>
      <c r="C75" s="1" t="n">
        <v>46110</v>
      </c>
      <c r="D75" t="inlineStr">
        <is>
          <t>VÄSTMANLANDS LÄN</t>
        </is>
      </c>
      <c r="E75" t="inlineStr">
        <is>
          <t>SKINNSKATTEBERG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4000-2024</t>
        </is>
      </c>
      <c r="B76" s="1" t="n">
        <v>45322</v>
      </c>
      <c r="C76" s="1" t="n">
        <v>46110</v>
      </c>
      <c r="D76" t="inlineStr">
        <is>
          <t>VÄSTMANLANDS LÄN</t>
        </is>
      </c>
      <c r="E76" t="inlineStr">
        <is>
          <t>SKINNSKATTEBERG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32316-2024</t>
        </is>
      </c>
      <c r="B77" s="1" t="n">
        <v>45512.46059027778</v>
      </c>
      <c r="C77" s="1" t="n">
        <v>46110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49847-2021</t>
        </is>
      </c>
      <c r="B78" s="1" t="n">
        <v>44455.64971064815</v>
      </c>
      <c r="C78" s="1" t="n">
        <v>46110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24427-2023</t>
        </is>
      </c>
      <c r="B79" s="1" t="n">
        <v>45082.48634259259</v>
      </c>
      <c r="C79" s="1" t="n">
        <v>46110</v>
      </c>
      <c r="D79" t="inlineStr">
        <is>
          <t>VÄSTMANLANDS LÄN</t>
        </is>
      </c>
      <c r="E79" t="inlineStr">
        <is>
          <t>SKINNSKATTEBERG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20248-2024</t>
        </is>
      </c>
      <c r="B80" s="1" t="n">
        <v>45434</v>
      </c>
      <c r="C80" s="1" t="n">
        <v>46110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18518-2024</t>
        </is>
      </c>
      <c r="B81" s="1" t="n">
        <v>45425.60681712963</v>
      </c>
      <c r="C81" s="1" t="n">
        <v>46110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46110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16393-2024</t>
        </is>
      </c>
      <c r="B83" s="1" t="n">
        <v>45407.62472222222</v>
      </c>
      <c r="C83" s="1" t="n">
        <v>46110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16394-2024</t>
        </is>
      </c>
      <c r="B84" s="1" t="n">
        <v>45407.62637731482</v>
      </c>
      <c r="C84" s="1" t="n">
        <v>46110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46110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46110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16729-2024</t>
        </is>
      </c>
      <c r="B87" s="1" t="n">
        <v>45410.6364699074</v>
      </c>
      <c r="C87" s="1" t="n">
        <v>46110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46110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57282-2025</t>
        </is>
      </c>
      <c r="B89" s="1" t="n">
        <v>45979.71456018519</v>
      </c>
      <c r="C89" s="1" t="n">
        <v>46110</v>
      </c>
      <c r="D89" t="inlineStr">
        <is>
          <t>VÄSTMANLANDS LÄN</t>
        </is>
      </c>
      <c r="E89" t="inlineStr">
        <is>
          <t>SKINNSKATTEBERG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46110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57395-2025</t>
        </is>
      </c>
      <c r="B91" s="1" t="n">
        <v>45980.42792824074</v>
      </c>
      <c r="C91" s="1" t="n">
        <v>46110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57398-2025</t>
        </is>
      </c>
      <c r="B92" s="1" t="n">
        <v>45980.43162037037</v>
      </c>
      <c r="C92" s="1" t="n">
        <v>46110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57399-2025</t>
        </is>
      </c>
      <c r="B93" s="1" t="n">
        <v>45980.43300925926</v>
      </c>
      <c r="C93" s="1" t="n">
        <v>46110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22301-2025</t>
        </is>
      </c>
      <c r="B94" s="1" t="n">
        <v>45786.3565162037</v>
      </c>
      <c r="C94" s="1" t="n">
        <v>46110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57652-2025</t>
        </is>
      </c>
      <c r="B95" s="1" t="n">
        <v>45981.39396990741</v>
      </c>
      <c r="C95" s="1" t="n">
        <v>46110</v>
      </c>
      <c r="D95" t="inlineStr">
        <is>
          <t>VÄSTMANLANDS LÄN</t>
        </is>
      </c>
      <c r="E95" t="inlineStr">
        <is>
          <t>SKINNSKATTEBERG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9491-2024</t>
        </is>
      </c>
      <c r="B96" s="1" t="n">
        <v>45359</v>
      </c>
      <c r="C96" s="1" t="n">
        <v>46110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46110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46110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46110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46110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46110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46110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27565-2024</t>
        </is>
      </c>
      <c r="B103" s="1" t="n">
        <v>45474</v>
      </c>
      <c r="C103" s="1" t="n">
        <v>46110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53243-2021</t>
        </is>
      </c>
      <c r="B104" s="1" t="n">
        <v>44468.45143518518</v>
      </c>
      <c r="C104" s="1" t="n">
        <v>46110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57984-2023</t>
        </is>
      </c>
      <c r="B105" s="1" t="n">
        <v>45247</v>
      </c>
      <c r="C105" s="1" t="n">
        <v>46110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58882-2025</t>
        </is>
      </c>
      <c r="B106" s="1" t="n">
        <v>45987.47481481481</v>
      </c>
      <c r="C106" s="1" t="n">
        <v>46110</v>
      </c>
      <c r="D106" t="inlineStr">
        <is>
          <t>VÄSTMANLANDS LÄN</t>
        </is>
      </c>
      <c r="E106" t="inlineStr">
        <is>
          <t>SKINNSKATTEBERG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56929-2022</t>
        </is>
      </c>
      <c r="B107" s="1" t="n">
        <v>44894.62520833333</v>
      </c>
      <c r="C107" s="1" t="n">
        <v>46110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19919-2025</t>
        </is>
      </c>
      <c r="B108" s="1" t="n">
        <v>45771</v>
      </c>
      <c r="C108" s="1" t="n">
        <v>46110</v>
      </c>
      <c r="D108" t="inlineStr">
        <is>
          <t>VÄSTMANLANDS LÄN</t>
        </is>
      </c>
      <c r="E108" t="inlineStr">
        <is>
          <t>SKINNSKATTEBERG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46110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23131-2025</t>
        </is>
      </c>
      <c r="B110" s="1" t="n">
        <v>45791.38737268518</v>
      </c>
      <c r="C110" s="1" t="n">
        <v>46110</v>
      </c>
      <c r="D110" t="inlineStr">
        <is>
          <t>VÄSTMANLANDS LÄN</t>
        </is>
      </c>
      <c r="E110" t="inlineStr">
        <is>
          <t>SKINNSKATTEBERG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46110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59711-2025</t>
        </is>
      </c>
      <c r="B112" s="1" t="n">
        <v>45992.5246412037</v>
      </c>
      <c r="C112" s="1" t="n">
        <v>46110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39691-2025</t>
        </is>
      </c>
      <c r="B113" s="1" t="n">
        <v>45890.67935185185</v>
      </c>
      <c r="C113" s="1" t="n">
        <v>46110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59710-2025</t>
        </is>
      </c>
      <c r="B114" s="1" t="n">
        <v>45992.52398148148</v>
      </c>
      <c r="C114" s="1" t="n">
        <v>46110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29830-2024</t>
        </is>
      </c>
      <c r="B115" s="1" t="n">
        <v>45485.57519675926</v>
      </c>
      <c r="C115" s="1" t="n">
        <v>46110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40901-2021</t>
        </is>
      </c>
      <c r="B116" s="1" t="n">
        <v>44421.48729166666</v>
      </c>
      <c r="C116" s="1" t="n">
        <v>46110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23624-2025</t>
        </is>
      </c>
      <c r="B117" s="1" t="n">
        <v>45792.6740162037</v>
      </c>
      <c r="C117" s="1" t="n">
        <v>46110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36761-2024</t>
        </is>
      </c>
      <c r="B118" s="1" t="n">
        <v>45538.36081018519</v>
      </c>
      <c r="C118" s="1" t="n">
        <v>46110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46110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44693-2024</t>
        </is>
      </c>
      <c r="B120" s="1" t="n">
        <v>45574</v>
      </c>
      <c r="C120" s="1" t="n">
        <v>46110</v>
      </c>
      <c r="D120" t="inlineStr">
        <is>
          <t>VÄSTMANLANDS LÄN</t>
        </is>
      </c>
      <c r="E120" t="inlineStr">
        <is>
          <t>SKINNSKATTEBERG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44694-2024</t>
        </is>
      </c>
      <c r="B121" s="1" t="n">
        <v>45574</v>
      </c>
      <c r="C121" s="1" t="n">
        <v>46110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44698-2024</t>
        </is>
      </c>
      <c r="B122" s="1" t="n">
        <v>45574</v>
      </c>
      <c r="C122" s="1" t="n">
        <v>46110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23611-2025</t>
        </is>
      </c>
      <c r="B123" s="1" t="n">
        <v>45792.66241898148</v>
      </c>
      <c r="C123" s="1" t="n">
        <v>46110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23621-2025</t>
        </is>
      </c>
      <c r="B124" s="1" t="n">
        <v>45792.67262731482</v>
      </c>
      <c r="C124" s="1" t="n">
        <v>46110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23625-2025</t>
        </is>
      </c>
      <c r="B125" s="1" t="n">
        <v>45792.67484953703</v>
      </c>
      <c r="C125" s="1" t="n">
        <v>46110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39868-2024</t>
        </is>
      </c>
      <c r="B126" s="1" t="n">
        <v>45553</v>
      </c>
      <c r="C126" s="1" t="n">
        <v>46110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28941-2024</t>
        </is>
      </c>
      <c r="B127" s="1" t="n">
        <v>45480</v>
      </c>
      <c r="C127" s="1" t="n">
        <v>46110</v>
      </c>
      <c r="D127" t="inlineStr">
        <is>
          <t>VÄSTMANLANDS LÄN</t>
        </is>
      </c>
      <c r="E127" t="inlineStr">
        <is>
          <t>SKINNSKATTEBERG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22285-2025</t>
        </is>
      </c>
      <c r="B128" s="1" t="n">
        <v>45786</v>
      </c>
      <c r="C128" s="1" t="n">
        <v>46110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22079-2024</t>
        </is>
      </c>
      <c r="B129" s="1" t="n">
        <v>45443</v>
      </c>
      <c r="C129" s="1" t="n">
        <v>46110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28058-2024</t>
        </is>
      </c>
      <c r="B130" s="1" t="n">
        <v>45476.56349537037</v>
      </c>
      <c r="C130" s="1" t="n">
        <v>46110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35051-2024</t>
        </is>
      </c>
      <c r="B131" s="1" t="n">
        <v>45527</v>
      </c>
      <c r="C131" s="1" t="n">
        <v>46110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46110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55428-2021</t>
        </is>
      </c>
      <c r="B133" s="1" t="n">
        <v>44475</v>
      </c>
      <c r="C133" s="1" t="n">
        <v>46110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46110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46110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40788-2025</t>
        </is>
      </c>
      <c r="B136" s="1" t="n">
        <v>45897.44625</v>
      </c>
      <c r="C136" s="1" t="n">
        <v>46110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40778-2025</t>
        </is>
      </c>
      <c r="B137" s="1" t="n">
        <v>45897.43260416666</v>
      </c>
      <c r="C137" s="1" t="n">
        <v>46110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40784-2025</t>
        </is>
      </c>
      <c r="B138" s="1" t="n">
        <v>45897.44212962963</v>
      </c>
      <c r="C138" s="1" t="n">
        <v>46110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40776-2025</t>
        </is>
      </c>
      <c r="B139" s="1" t="n">
        <v>45897.42736111111</v>
      </c>
      <c r="C139" s="1" t="n">
        <v>46110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40795-2025</t>
        </is>
      </c>
      <c r="B140" s="1" t="n">
        <v>45897.44892361111</v>
      </c>
      <c r="C140" s="1" t="n">
        <v>46110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25846-2025</t>
        </is>
      </c>
      <c r="B141" s="1" t="n">
        <v>45804.46195601852</v>
      </c>
      <c r="C141" s="1" t="n">
        <v>46110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46110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46110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19203-2024</t>
        </is>
      </c>
      <c r="B144" s="1" t="n">
        <v>45428.53678240741</v>
      </c>
      <c r="C144" s="1" t="n">
        <v>46110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14034-2025</t>
        </is>
      </c>
      <c r="B145" s="1" t="n">
        <v>45740.3633449074</v>
      </c>
      <c r="C145" s="1" t="n">
        <v>46110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46110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25845-2025</t>
        </is>
      </c>
      <c r="B147" s="1" t="n">
        <v>45804</v>
      </c>
      <c r="C147" s="1" t="n">
        <v>46110</v>
      </c>
      <c r="D147" t="inlineStr">
        <is>
          <t>VÄSTMANLANDS LÄN</t>
        </is>
      </c>
      <c r="E147" t="inlineStr">
        <is>
          <t>SKINNSKATTEBERG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14189-2024</t>
        </is>
      </c>
      <c r="B148" s="1" t="n">
        <v>45393</v>
      </c>
      <c r="C148" s="1" t="n">
        <v>46110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61895-2025</t>
        </is>
      </c>
      <c r="B149" s="1" t="n">
        <v>46003.45998842592</v>
      </c>
      <c r="C149" s="1" t="n">
        <v>46110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46110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42309-2025</t>
        </is>
      </c>
      <c r="B151" s="1" t="n">
        <v>45904.65384259259</v>
      </c>
      <c r="C151" s="1" t="n">
        <v>46110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46110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46110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40179-2024</t>
        </is>
      </c>
      <c r="B154" s="1" t="n">
        <v>45554.55842592593</v>
      </c>
      <c r="C154" s="1" t="n">
        <v>46110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41594-2025</t>
        </is>
      </c>
      <c r="B155" s="1" t="n">
        <v>45901.64753472222</v>
      </c>
      <c r="C155" s="1" t="n">
        <v>46110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46110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46110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46110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46110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46110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46110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46110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31302-2024</t>
        </is>
      </c>
      <c r="B163" s="1" t="n">
        <v>45504</v>
      </c>
      <c r="C163" s="1" t="n">
        <v>46110</v>
      </c>
      <c r="D163" t="inlineStr">
        <is>
          <t>VÄSTMANLANDS LÄN</t>
        </is>
      </c>
      <c r="E163" t="inlineStr">
        <is>
          <t>SKINNSKATTEBERG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62934-2025</t>
        </is>
      </c>
      <c r="B164" s="1" t="n">
        <v>46009.40707175926</v>
      </c>
      <c r="C164" s="1" t="n">
        <v>46110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40549-2024</t>
        </is>
      </c>
      <c r="B165" s="1" t="n">
        <v>45555</v>
      </c>
      <c r="C165" s="1" t="n">
        <v>46110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62933-2025</t>
        </is>
      </c>
      <c r="B166" s="1" t="n">
        <v>46009.40394675926</v>
      </c>
      <c r="C166" s="1" t="n">
        <v>46110</v>
      </c>
      <c r="D166" t="inlineStr">
        <is>
          <t>VÄSTMANLANDS LÄN</t>
        </is>
      </c>
      <c r="E166" t="inlineStr">
        <is>
          <t>SKINNSKATTEBERG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44179-2025</t>
        </is>
      </c>
      <c r="B167" s="1" t="n">
        <v>45915.60770833334</v>
      </c>
      <c r="C167" s="1" t="n">
        <v>46110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44184-2025</t>
        </is>
      </c>
      <c r="B168" s="1" t="n">
        <v>45915.61032407408</v>
      </c>
      <c r="C168" s="1" t="n">
        <v>46110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44185-2025</t>
        </is>
      </c>
      <c r="B169" s="1" t="n">
        <v>45915.61162037037</v>
      </c>
      <c r="C169" s="1" t="n">
        <v>46110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46110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44175-2025</t>
        </is>
      </c>
      <c r="B171" s="1" t="n">
        <v>45915.60597222222</v>
      </c>
      <c r="C171" s="1" t="n">
        <v>46110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41581-2025</t>
        </is>
      </c>
      <c r="B172" s="1" t="n">
        <v>45901.62226851852</v>
      </c>
      <c r="C172" s="1" t="n">
        <v>46110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46110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45015-2025</t>
        </is>
      </c>
      <c r="B174" s="1" t="n">
        <v>45918.67474537037</v>
      </c>
      <c r="C174" s="1" t="n">
        <v>46110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6943-2023</t>
        </is>
      </c>
      <c r="B175" s="1" t="n">
        <v>44967</v>
      </c>
      <c r="C175" s="1" t="n">
        <v>46110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45119-2025</t>
        </is>
      </c>
      <c r="B176" s="1" t="n">
        <v>45919.4278125</v>
      </c>
      <c r="C176" s="1" t="n">
        <v>46110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45126-2025</t>
        </is>
      </c>
      <c r="B177" s="1" t="n">
        <v>45919.43328703703</v>
      </c>
      <c r="C177" s="1" t="n">
        <v>46110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62679-2025</t>
        </is>
      </c>
      <c r="B178" s="1" t="n">
        <v>46008.45440972222</v>
      </c>
      <c r="C178" s="1" t="n">
        <v>46110</v>
      </c>
      <c r="D178" t="inlineStr">
        <is>
          <t>VÄSTMANLANDS LÄN</t>
        </is>
      </c>
      <c r="E178" t="inlineStr">
        <is>
          <t>SKINNSKATTEBERG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45115-2025</t>
        </is>
      </c>
      <c r="B179" s="1" t="n">
        <v>45919.42439814815</v>
      </c>
      <c r="C179" s="1" t="n">
        <v>46110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45117-2025</t>
        </is>
      </c>
      <c r="B181" s="1" t="n">
        <v>45919.42525462963</v>
      </c>
      <c r="C181" s="1" t="n">
        <v>46110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58987-2023</t>
        </is>
      </c>
      <c r="B182" s="1" t="n">
        <v>45252.6237962963</v>
      </c>
      <c r="C182" s="1" t="n">
        <v>46110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47141-2024</t>
        </is>
      </c>
      <c r="B183" s="1" t="n">
        <v>45586.58811342593</v>
      </c>
      <c r="C183" s="1" t="n">
        <v>46110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45428-2025</t>
        </is>
      </c>
      <c r="B184" s="1" t="n">
        <v>45922.45440972222</v>
      </c>
      <c r="C184" s="1" t="n">
        <v>46110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46870-2024</t>
        </is>
      </c>
      <c r="B185" s="1" t="n">
        <v>45583.63666666667</v>
      </c>
      <c r="C185" s="1" t="n">
        <v>46110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8218-2023</t>
        </is>
      </c>
      <c r="B186" s="1" t="n">
        <v>44974.56199074074</v>
      </c>
      <c r="C186" s="1" t="n">
        <v>46110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46110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46110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54296-2023</t>
        </is>
      </c>
      <c r="B189" s="1" t="n">
        <v>45232</v>
      </c>
      <c r="C189" s="1" t="n">
        <v>46110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37342-2023</t>
        </is>
      </c>
      <c r="B190" s="1" t="n">
        <v>45156.45701388889</v>
      </c>
      <c r="C190" s="1" t="n">
        <v>46110</v>
      </c>
      <c r="D190" t="inlineStr">
        <is>
          <t>VÄSTMANLANDS LÄN</t>
        </is>
      </c>
      <c r="E190" t="inlineStr">
        <is>
          <t>SKINNSKATTEBERG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52570-2024</t>
        </is>
      </c>
      <c r="B191" s="1" t="n">
        <v>45609</v>
      </c>
      <c r="C191" s="1" t="n">
        <v>46110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46110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46110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46110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46110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46110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40998-2024</t>
        </is>
      </c>
      <c r="B197" s="1" t="n">
        <v>45558</v>
      </c>
      <c r="C197" s="1" t="n">
        <v>46110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49022-2025</t>
        </is>
      </c>
      <c r="B198" s="1" t="n">
        <v>45937.61589120371</v>
      </c>
      <c r="C198" s="1" t="n">
        <v>46110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28940-2024</t>
        </is>
      </c>
      <c r="B199" s="1" t="n">
        <v>45480</v>
      </c>
      <c r="C199" s="1" t="n">
        <v>46110</v>
      </c>
      <c r="D199" t="inlineStr">
        <is>
          <t>VÄSTMANLANDS LÄN</t>
        </is>
      </c>
      <c r="E199" t="inlineStr">
        <is>
          <t>SKINNSKATTEBERG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25284-2024</t>
        </is>
      </c>
      <c r="B200" s="1" t="n">
        <v>45462</v>
      </c>
      <c r="C200" s="1" t="n">
        <v>46110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46110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46110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49013-2025</t>
        </is>
      </c>
      <c r="B203" s="1" t="n">
        <v>45937.61035879629</v>
      </c>
      <c r="C203" s="1" t="n">
        <v>46110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28614-2025</t>
        </is>
      </c>
      <c r="B204" s="1" t="n">
        <v>45819.60548611111</v>
      </c>
      <c r="C204" s="1" t="n">
        <v>46110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28605-2025</t>
        </is>
      </c>
      <c r="B205" s="1" t="n">
        <v>45819.60143518518</v>
      </c>
      <c r="C205" s="1" t="n">
        <v>46110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28873-2025</t>
        </is>
      </c>
      <c r="B206" s="1" t="n">
        <v>45820.61237268519</v>
      </c>
      <c r="C206" s="1" t="n">
        <v>46110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28608-2025</t>
        </is>
      </c>
      <c r="B207" s="1" t="n">
        <v>45819.60267361111</v>
      </c>
      <c r="C207" s="1" t="n">
        <v>46110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28613-2025</t>
        </is>
      </c>
      <c r="B208" s="1" t="n">
        <v>45819.60489583333</v>
      </c>
      <c r="C208" s="1" t="n">
        <v>46110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46110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28603-2025</t>
        </is>
      </c>
      <c r="B210" s="1" t="n">
        <v>45819.59966435185</v>
      </c>
      <c r="C210" s="1" t="n">
        <v>46110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28606-2025</t>
        </is>
      </c>
      <c r="B211" s="1" t="n">
        <v>45819.60196759259</v>
      </c>
      <c r="C211" s="1" t="n">
        <v>46110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28610-2025</t>
        </is>
      </c>
      <c r="B212" s="1" t="n">
        <v>45819.6034375</v>
      </c>
      <c r="C212" s="1" t="n">
        <v>46110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59717-2023</t>
        </is>
      </c>
      <c r="B213" s="1" t="n">
        <v>45257.33018518519</v>
      </c>
      <c r="C213" s="1" t="n">
        <v>46110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29070-2025</t>
        </is>
      </c>
      <c r="B214" s="1" t="n">
        <v>45821.51143518519</v>
      </c>
      <c r="C214" s="1" t="n">
        <v>46110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54439-2024</t>
        </is>
      </c>
      <c r="B215" s="1" t="n">
        <v>45617.50194444445</v>
      </c>
      <c r="C215" s="1" t="n">
        <v>46110</v>
      </c>
      <c r="D215" t="inlineStr">
        <is>
          <t>VÄSTMANLANDS LÄN</t>
        </is>
      </c>
      <c r="E215" t="inlineStr">
        <is>
          <t>SKINNSKATTEBERG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29069-2025</t>
        </is>
      </c>
      <c r="B216" s="1" t="n">
        <v>45821.50982638889</v>
      </c>
      <c r="C216" s="1" t="n">
        <v>46110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29876-2025</t>
        </is>
      </c>
      <c r="B217" s="1" t="n">
        <v>45826.36166666666</v>
      </c>
      <c r="C217" s="1" t="n">
        <v>46110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29808-2025</t>
        </is>
      </c>
      <c r="B218" s="1" t="n">
        <v>45825.74498842593</v>
      </c>
      <c r="C218" s="1" t="n">
        <v>46110</v>
      </c>
      <c r="D218" t="inlineStr">
        <is>
          <t>VÄSTMANLANDS LÄN</t>
        </is>
      </c>
      <c r="E218" t="inlineStr">
        <is>
          <t>SKINNSKATTEBERG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29810-2025</t>
        </is>
      </c>
      <c r="B219" s="1" t="n">
        <v>45825.76006944444</v>
      </c>
      <c r="C219" s="1" t="n">
        <v>46110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15184-2025</t>
        </is>
      </c>
      <c r="B220" s="1" t="n">
        <v>45744.54480324074</v>
      </c>
      <c r="C220" s="1" t="n">
        <v>46110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2606-2026</t>
        </is>
      </c>
      <c r="B221" s="1" t="n">
        <v>46037.57989583333</v>
      </c>
      <c r="C221" s="1" t="n">
        <v>46110</v>
      </c>
      <c r="D221" t="inlineStr">
        <is>
          <t>VÄSTMANLANDS LÄN</t>
        </is>
      </c>
      <c r="E221" t="inlineStr">
        <is>
          <t>SKINNSKATTEBERG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29871-2025</t>
        </is>
      </c>
      <c r="B222" s="1" t="n">
        <v>45826.35914351852</v>
      </c>
      <c r="C222" s="1" t="n">
        <v>46110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52532-2024</t>
        </is>
      </c>
      <c r="B223" s="1" t="n">
        <v>45609.61686342592</v>
      </c>
      <c r="C223" s="1" t="n">
        <v>46110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30436-2025</t>
        </is>
      </c>
      <c r="B224" s="1" t="n">
        <v>45827.639375</v>
      </c>
      <c r="C224" s="1" t="n">
        <v>46110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30439-2025</t>
        </is>
      </c>
      <c r="B225" s="1" t="n">
        <v>45827</v>
      </c>
      <c r="C225" s="1" t="n">
        <v>46110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46110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2609-2026</t>
        </is>
      </c>
      <c r="B227" s="1" t="n">
        <v>46037.58167824074</v>
      </c>
      <c r="C227" s="1" t="n">
        <v>46110</v>
      </c>
      <c r="D227" t="inlineStr">
        <is>
          <t>VÄSTMANLANDS LÄN</t>
        </is>
      </c>
      <c r="E227" t="inlineStr">
        <is>
          <t>SKINNSKATTEBERG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51475-2024</t>
        </is>
      </c>
      <c r="B228" s="1" t="n">
        <v>45604</v>
      </c>
      <c r="C228" s="1" t="n">
        <v>46110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51028-2025</t>
        </is>
      </c>
      <c r="B229" s="1" t="n">
        <v>45947</v>
      </c>
      <c r="C229" s="1" t="n">
        <v>46110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51023-2025</t>
        </is>
      </c>
      <c r="B230" s="1" t="n">
        <v>45947.39391203703</v>
      </c>
      <c r="C230" s="1" t="n">
        <v>46110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51025-2025</t>
        </is>
      </c>
      <c r="B231" s="1" t="n">
        <v>45947.39518518518</v>
      </c>
      <c r="C231" s="1" t="n">
        <v>46110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30379-2025</t>
        </is>
      </c>
      <c r="B232" s="1" t="n">
        <v>45827.56777777777</v>
      </c>
      <c r="C232" s="1" t="n">
        <v>46110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30161-2025</t>
        </is>
      </c>
      <c r="B233" s="1" t="n">
        <v>45827.32541666667</v>
      </c>
      <c r="C233" s="1" t="n">
        <v>46110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51026-2025</t>
        </is>
      </c>
      <c r="B234" s="1" t="n">
        <v>45947</v>
      </c>
      <c r="C234" s="1" t="n">
        <v>46110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30885-2025</t>
        </is>
      </c>
      <c r="B235" s="1" t="n">
        <v>45832.34569444445</v>
      </c>
      <c r="C235" s="1" t="n">
        <v>46110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30873-2025</t>
        </is>
      </c>
      <c r="B236" s="1" t="n">
        <v>45832.34391203704</v>
      </c>
      <c r="C236" s="1" t="n">
        <v>46110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31011-2025</t>
        </is>
      </c>
      <c r="B237" s="1" t="n">
        <v>45832.50582175926</v>
      </c>
      <c r="C237" s="1" t="n">
        <v>46110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46110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46110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46110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46110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31234-2025</t>
        </is>
      </c>
      <c r="B242" s="1" t="n">
        <v>45832.83354166667</v>
      </c>
      <c r="C242" s="1" t="n">
        <v>46110</v>
      </c>
      <c r="D242" t="inlineStr">
        <is>
          <t>VÄSTMANLANDS LÄN</t>
        </is>
      </c>
      <c r="E242" t="inlineStr">
        <is>
          <t>SKINNSKATTEBERG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54441-2024</t>
        </is>
      </c>
      <c r="B243" s="1" t="n">
        <v>45617.50403935185</v>
      </c>
      <c r="C243" s="1" t="n">
        <v>46110</v>
      </c>
      <c r="D243" t="inlineStr">
        <is>
          <t>VÄSTMANLANDS LÄN</t>
        </is>
      </c>
      <c r="E243" t="inlineStr">
        <is>
          <t>SKINNSKATTEBERG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46110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52728-2025</t>
        </is>
      </c>
      <c r="B245" s="1" t="n">
        <v>45957.35716435185</v>
      </c>
      <c r="C245" s="1" t="n">
        <v>46110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53132-2025</t>
        </is>
      </c>
      <c r="B246" s="1" t="n">
        <v>45958.46645833334</v>
      </c>
      <c r="C246" s="1" t="n">
        <v>46110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13733-2025</t>
        </is>
      </c>
      <c r="B247" s="1" t="n">
        <v>45737.39099537037</v>
      </c>
      <c r="C247" s="1" t="n">
        <v>46110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46110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42093-2023</t>
        </is>
      </c>
      <c r="B249" s="1" t="n">
        <v>45177</v>
      </c>
      <c r="C249" s="1" t="n">
        <v>46110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53761-2025</t>
        </is>
      </c>
      <c r="B250" s="1" t="n">
        <v>45960.67104166667</v>
      </c>
      <c r="C250" s="1" t="n">
        <v>46110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53539-2025</t>
        </is>
      </c>
      <c r="B251" s="1" t="n">
        <v>45960.37422453704</v>
      </c>
      <c r="C251" s="1" t="n">
        <v>46110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24777-2022</t>
        </is>
      </c>
      <c r="B252" s="1" t="n">
        <v>44728.36739583333</v>
      </c>
      <c r="C252" s="1" t="n">
        <v>46110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30988-2022</t>
        </is>
      </c>
      <c r="B253" s="1" t="n">
        <v>44768</v>
      </c>
      <c r="C253" s="1" t="n">
        <v>46110</v>
      </c>
      <c r="D253" t="inlineStr">
        <is>
          <t>VÄSTMANLANDS LÄN</t>
        </is>
      </c>
      <c r="E253" t="inlineStr">
        <is>
          <t>SKINNSKATTEBERG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53471-2025</t>
        </is>
      </c>
      <c r="B254" s="1" t="n">
        <v>45959.71185185185</v>
      </c>
      <c r="C254" s="1" t="n">
        <v>46110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54499-2025</t>
        </is>
      </c>
      <c r="B255" s="1" t="n">
        <v>45965.6058912037</v>
      </c>
      <c r="C255" s="1" t="n">
        <v>46110</v>
      </c>
      <c r="D255" t="inlineStr">
        <is>
          <t>VÄSTMANLANDS LÄN</t>
        </is>
      </c>
      <c r="E255" t="inlineStr">
        <is>
          <t>SKINNSKATTEBERG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35370-2024</t>
        </is>
      </c>
      <c r="B256" s="1" t="n">
        <v>45531.35479166666</v>
      </c>
      <c r="C256" s="1" t="n">
        <v>46110</v>
      </c>
      <c r="D256" t="inlineStr">
        <is>
          <t>VÄSTMANLANDS LÄN</t>
        </is>
      </c>
      <c r="E256" t="inlineStr">
        <is>
          <t>SKINNSKATTEBERG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5505-2025</t>
        </is>
      </c>
      <c r="B257" s="1" t="n">
        <v>45693.38986111111</v>
      </c>
      <c r="C257" s="1" t="n">
        <v>46110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46110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46110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46110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46110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13350-2026</t>
        </is>
      </c>
      <c r="B262" s="1" t="n">
        <v>46094.38527777778</v>
      </c>
      <c r="C262" s="1" t="n">
        <v>46110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13353-2026</t>
        </is>
      </c>
      <c r="B263" s="1" t="n">
        <v>46094.38707175926</v>
      </c>
      <c r="C263" s="1" t="n">
        <v>46110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5704-2026</t>
        </is>
      </c>
      <c r="B264" s="1" t="n">
        <v>46051</v>
      </c>
      <c r="C264" s="1" t="n">
        <v>46110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55002-2025</t>
        </is>
      </c>
      <c r="B265" s="1" t="n">
        <v>45967.60951388889</v>
      </c>
      <c r="C265" s="1" t="n">
        <v>46110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28278-2024</t>
        </is>
      </c>
      <c r="B266" s="1" t="n">
        <v>45477</v>
      </c>
      <c r="C266" s="1" t="n">
        <v>46110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56227-2025</t>
        </is>
      </c>
      <c r="B267" s="1" t="n">
        <v>45974.51658564815</v>
      </c>
      <c r="C267" s="1" t="n">
        <v>46110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55952-2025</t>
        </is>
      </c>
      <c r="B268" s="1" t="n">
        <v>45973.4725462963</v>
      </c>
      <c r="C268" s="1" t="n">
        <v>46110</v>
      </c>
      <c r="D268" t="inlineStr">
        <is>
          <t>VÄSTMANLANDS LÄN</t>
        </is>
      </c>
      <c r="E268" t="inlineStr">
        <is>
          <t>SKINNSKATTEBERG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16647-2025</t>
        </is>
      </c>
      <c r="B269" s="1" t="n">
        <v>45754.38666666667</v>
      </c>
      <c r="C269" s="1" t="n">
        <v>46110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5693-2026</t>
        </is>
      </c>
      <c r="B270" s="1" t="n">
        <v>46051</v>
      </c>
      <c r="C270" s="1" t="n">
        <v>46110</v>
      </c>
      <c r="D270" t="inlineStr">
        <is>
          <t>VÄSTMANLANDS LÄN</t>
        </is>
      </c>
      <c r="E270" t="inlineStr">
        <is>
          <t>SKINNSKATTEBERG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5675-2026</t>
        </is>
      </c>
      <c r="B271" s="1" t="n">
        <v>46051</v>
      </c>
      <c r="C271" s="1" t="n">
        <v>46110</v>
      </c>
      <c r="D271" t="inlineStr">
        <is>
          <t>VÄSTMANLANDS LÄN</t>
        </is>
      </c>
      <c r="E271" t="inlineStr">
        <is>
          <t>SKINNSKATTEBERG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55885-2025</t>
        </is>
      </c>
      <c r="B272" s="1" t="n">
        <v>45973.36837962963</v>
      </c>
      <c r="C272" s="1" t="n">
        <v>46110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55889-2025</t>
        </is>
      </c>
      <c r="B273" s="1" t="n">
        <v>45973.37315972222</v>
      </c>
      <c r="C273" s="1" t="n">
        <v>46110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13355-2026</t>
        </is>
      </c>
      <c r="B274" s="1" t="n">
        <v>46094.3887962963</v>
      </c>
      <c r="C274" s="1" t="n">
        <v>46110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55887-2025</t>
        </is>
      </c>
      <c r="B275" s="1" t="n">
        <v>45973.37097222222</v>
      </c>
      <c r="C275" s="1" t="n">
        <v>46110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46110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56465-2025</t>
        </is>
      </c>
      <c r="B277" s="1" t="n">
        <v>45975</v>
      </c>
      <c r="C277" s="1" t="n">
        <v>46110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44410.59598379629</v>
      </c>
      <c r="C278" s="1" t="n">
        <v>46110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46110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6601-2026</t>
        </is>
      </c>
      <c r="B280" s="1" t="n">
        <v>46056.46806712963</v>
      </c>
      <c r="C280" s="1" t="n">
        <v>46110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34720-2025</t>
        </is>
      </c>
      <c r="B281" s="1" t="n">
        <v>45848.53237268519</v>
      </c>
      <c r="C281" s="1" t="n">
        <v>46110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40174-2024</t>
        </is>
      </c>
      <c r="B282" s="1" t="n">
        <v>45554.55488425926</v>
      </c>
      <c r="C282" s="1" t="n">
        <v>46110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46110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35204-2025</t>
        </is>
      </c>
      <c r="B284" s="1" t="n">
        <v>45853.41648148148</v>
      </c>
      <c r="C284" s="1" t="n">
        <v>46110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35205-2025</t>
        </is>
      </c>
      <c r="B285" s="1" t="n">
        <v>45853</v>
      </c>
      <c r="C285" s="1" t="n">
        <v>46110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4385-2025</t>
        </is>
      </c>
      <c r="B286" s="1" t="n">
        <v>45686</v>
      </c>
      <c r="C286" s="1" t="n">
        <v>46110</v>
      </c>
      <c r="D286" t="inlineStr">
        <is>
          <t>VÄSTMANLANDS LÄN</t>
        </is>
      </c>
      <c r="E286" t="inlineStr">
        <is>
          <t>SKINNSKATTEBERG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46110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43804-2024</t>
        </is>
      </c>
      <c r="B288" s="1" t="n">
        <v>45571.72634259259</v>
      </c>
      <c r="C288" s="1" t="n">
        <v>46110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58246-2023</t>
        </is>
      </c>
      <c r="B289" s="1" t="n">
        <v>45250.47649305555</v>
      </c>
      <c r="C289" s="1" t="n">
        <v>46110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36731-2025</t>
        </is>
      </c>
      <c r="B290" s="1" t="n">
        <v>45873.50177083333</v>
      </c>
      <c r="C290" s="1" t="n">
        <v>46110</v>
      </c>
      <c r="D290" t="inlineStr">
        <is>
          <t>VÄSTMANLANDS LÄN</t>
        </is>
      </c>
      <c r="E290" t="inlineStr">
        <is>
          <t>SKINNSKATTEBERG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46110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16653-2025</t>
        </is>
      </c>
      <c r="B292" s="1" t="n">
        <v>45754.3925</v>
      </c>
      <c r="C292" s="1" t="n">
        <v>46110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46110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15094-2026</t>
        </is>
      </c>
      <c r="B294" s="1" t="n">
        <v>46105.34099537037</v>
      </c>
      <c r="C294" s="1" t="n">
        <v>46110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36786-2025</t>
        </is>
      </c>
      <c r="B295" s="1" t="n">
        <v>45873.63013888889</v>
      </c>
      <c r="C295" s="1" t="n">
        <v>46110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15955-2026</t>
        </is>
      </c>
      <c r="B296" s="1" t="n">
        <v>46108.28761574074</v>
      </c>
      <c r="C296" s="1" t="n">
        <v>46110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46110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16089-2024</t>
        </is>
      </c>
      <c r="B298" s="1" t="n">
        <v>45406.39024305555</v>
      </c>
      <c r="C298" s="1" t="n">
        <v>46110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16136-2026</t>
        </is>
      </c>
      <c r="B299" s="1" t="n">
        <v>46108.65162037037</v>
      </c>
      <c r="C299" s="1" t="n">
        <v>46110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61424-2023</t>
        </is>
      </c>
      <c r="B300" s="1" t="n">
        <v>45264.6962037037</v>
      </c>
      <c r="C300" s="1" t="n">
        <v>46110</v>
      </c>
      <c r="D300" t="inlineStr">
        <is>
          <t>VÄSTMANLANDS LÄN</t>
        </is>
      </c>
      <c r="E300" t="inlineStr">
        <is>
          <t>SKINNSKATTEBERG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15732-2026</t>
        </is>
      </c>
      <c r="B301" s="1" t="n">
        <v>46107.4019675926</v>
      </c>
      <c r="C301" s="1" t="n">
        <v>46110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21576-2023</t>
        </is>
      </c>
      <c r="B302" s="1" t="n">
        <v>45063.59221064814</v>
      </c>
      <c r="C302" s="1" t="n">
        <v>46110</v>
      </c>
      <c r="D302" t="inlineStr">
        <is>
          <t>VÄSTMANLANDS LÄN</t>
        </is>
      </c>
      <c r="E302" t="inlineStr">
        <is>
          <t>SKINNSKATTEBERG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15731-2026</t>
        </is>
      </c>
      <c r="B303" s="1" t="n">
        <v>46107.39982638889</v>
      </c>
      <c r="C303" s="1" t="n">
        <v>46110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15730-2026</t>
        </is>
      </c>
      <c r="B304" s="1" t="n">
        <v>46107.39805555555</v>
      </c>
      <c r="C304" s="1" t="n">
        <v>46110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58834-2022</t>
        </is>
      </c>
      <c r="B305" s="1" t="n">
        <v>44903.48206018518</v>
      </c>
      <c r="C305" s="1" t="n">
        <v>46110</v>
      </c>
      <c r="D305" t="inlineStr">
        <is>
          <t>VÄSTMANLANDS LÄN</t>
        </is>
      </c>
      <c r="E305" t="inlineStr">
        <is>
          <t>SKINNSKATTEBERG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37763-2025</t>
        </is>
      </c>
      <c r="B306" s="1" t="n">
        <v>45880.70201388889</v>
      </c>
      <c r="C306" s="1" t="n">
        <v>46110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40551-2024</t>
        </is>
      </c>
      <c r="B307" s="1" t="n">
        <v>45555</v>
      </c>
      <c r="C307" s="1" t="n">
        <v>46110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40554-2024</t>
        </is>
      </c>
      <c r="B308" s="1" t="n">
        <v>45555</v>
      </c>
      <c r="C308" s="1" t="n">
        <v>46110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33396-2023</t>
        </is>
      </c>
      <c r="B309" s="1" t="n">
        <v>45128</v>
      </c>
      <c r="C309" s="1" t="n">
        <v>46110</v>
      </c>
      <c r="D309" t="inlineStr">
        <is>
          <t>VÄSTMANLANDS LÄN</t>
        </is>
      </c>
      <c r="E309" t="inlineStr">
        <is>
          <t>SKINNSKATTEBERG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49884-2024</t>
        </is>
      </c>
      <c r="B310" s="1" t="n">
        <v>45597</v>
      </c>
      <c r="C310" s="1" t="n">
        <v>46110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11800-2024</t>
        </is>
      </c>
      <c r="B311" s="1" t="n">
        <v>45375.47375</v>
      </c>
      <c r="C311" s="1" t="n">
        <v>46110</v>
      </c>
      <c r="D311" t="inlineStr">
        <is>
          <t>VÄSTMANLANDS LÄN</t>
        </is>
      </c>
      <c r="E311" t="inlineStr">
        <is>
          <t>SKINNSKATTEBERG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6298-2023</t>
        </is>
      </c>
      <c r="B312" s="1" t="n">
        <v>44965</v>
      </c>
      <c r="C312" s="1" t="n">
        <v>46110</v>
      </c>
      <c r="D312" t="inlineStr">
        <is>
          <t>VÄSTMANLANDS LÄN</t>
        </is>
      </c>
      <c r="E312" t="inlineStr">
        <is>
          <t>SKINNSKATTEBERG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43400-2024</t>
        </is>
      </c>
      <c r="B313" s="1" t="n">
        <v>45568</v>
      </c>
      <c r="C313" s="1" t="n">
        <v>46110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1282-2023</t>
        </is>
      </c>
      <c r="B314" s="1" t="n">
        <v>44936.45689814815</v>
      </c>
      <c r="C314" s="1" t="n">
        <v>46110</v>
      </c>
      <c r="D314" t="inlineStr">
        <is>
          <t>VÄSTMANLANDS LÄN</t>
        </is>
      </c>
      <c r="E314" t="inlineStr">
        <is>
          <t>SKINNSKATTEBERG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33435-2024</t>
        </is>
      </c>
      <c r="B315" s="1" t="n">
        <v>45519.53638888889</v>
      </c>
      <c r="C315" s="1" t="n">
        <v>46110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15737-2024</t>
        </is>
      </c>
      <c r="B316" s="1" t="n">
        <v>45404.54581018518</v>
      </c>
      <c r="C316" s="1" t="n">
        <v>46110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35059-2024</t>
        </is>
      </c>
      <c r="B317" s="1" t="n">
        <v>45527.65517361111</v>
      </c>
      <c r="C317" s="1" t="n">
        <v>46110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20243-2024</t>
        </is>
      </c>
      <c r="B318" s="1" t="n">
        <v>45434</v>
      </c>
      <c r="C318" s="1" t="n">
        <v>46110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20247-2024</t>
        </is>
      </c>
      <c r="B319" s="1" t="n">
        <v>45434.84836805556</v>
      </c>
      <c r="C319" s="1" t="n">
        <v>46110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52556-2024</t>
        </is>
      </c>
      <c r="B320" s="1" t="n">
        <v>45609</v>
      </c>
      <c r="C320" s="1" t="n">
        <v>46110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22605-2024</t>
        </is>
      </c>
      <c r="B321" s="1" t="n">
        <v>45447.63224537037</v>
      </c>
      <c r="C321" s="1" t="n">
        <v>46110</v>
      </c>
      <c r="D321" t="inlineStr">
        <is>
          <t>VÄSTMANLANDS LÄN</t>
        </is>
      </c>
      <c r="E321" t="inlineStr">
        <is>
          <t>SKINNSKATTEBERG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12024-2023</t>
        </is>
      </c>
      <c r="B322" s="1" t="n">
        <v>44995</v>
      </c>
      <c r="C322" s="1" t="n">
        <v>46110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19398-2024</t>
        </is>
      </c>
      <c r="B323" s="1" t="n">
        <v>45429</v>
      </c>
      <c r="C323" s="1" t="n">
        <v>46110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66584-2021</t>
        </is>
      </c>
      <c r="B324" s="1" t="n">
        <v>44519.46189814815</v>
      </c>
      <c r="C324" s="1" t="n">
        <v>46110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11992-2023</t>
        </is>
      </c>
      <c r="B325" s="1" t="n">
        <v>44995</v>
      </c>
      <c r="C325" s="1" t="n">
        <v>46110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46110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15540-2024</t>
        </is>
      </c>
      <c r="B327" s="1" t="n">
        <v>45401</v>
      </c>
      <c r="C327" s="1" t="n">
        <v>46110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18161-2024</t>
        </is>
      </c>
      <c r="B328" s="1" t="n">
        <v>45420</v>
      </c>
      <c r="C328" s="1" t="n">
        <v>46110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14719-2023</t>
        </is>
      </c>
      <c r="B329" s="1" t="n">
        <v>45014</v>
      </c>
      <c r="C329" s="1" t="n">
        <v>46110</v>
      </c>
      <c r="D329" t="inlineStr">
        <is>
          <t>VÄSTMANLANDS LÄN</t>
        </is>
      </c>
      <c r="E329" t="inlineStr">
        <is>
          <t>SKINNSKATTEBERG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14736-2023</t>
        </is>
      </c>
      <c r="B330" s="1" t="n">
        <v>45014</v>
      </c>
      <c r="C330" s="1" t="n">
        <v>46110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17374-2024</t>
        </is>
      </c>
      <c r="B331" s="1" t="n">
        <v>45414</v>
      </c>
      <c r="C331" s="1" t="n">
        <v>46110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60355-2024</t>
        </is>
      </c>
      <c r="B332" s="1" t="n">
        <v>45643</v>
      </c>
      <c r="C332" s="1" t="n">
        <v>46110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47689-2023</t>
        </is>
      </c>
      <c r="B333" s="1" t="n">
        <v>45198</v>
      </c>
      <c r="C333" s="1" t="n">
        <v>46110</v>
      </c>
      <c r="D333" t="inlineStr">
        <is>
          <t>VÄSTMANLANDS LÄN</t>
        </is>
      </c>
      <c r="E333" t="inlineStr">
        <is>
          <t>SKINNSKATTEBERG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15562-2025</t>
        </is>
      </c>
      <c r="B334" s="1" t="n">
        <v>45747.69229166667</v>
      </c>
      <c r="C334" s="1" t="n">
        <v>46110</v>
      </c>
      <c r="D334" t="inlineStr">
        <is>
          <t>VÄSTMANLANDS LÄN</t>
        </is>
      </c>
      <c r="E334" t="inlineStr">
        <is>
          <t>SKINNSKATTEBERG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14541-2025</t>
        </is>
      </c>
      <c r="B335" s="1" t="n">
        <v>45741</v>
      </c>
      <c r="C335" s="1" t="n">
        <v>46110</v>
      </c>
      <c r="D335" t="inlineStr">
        <is>
          <t>VÄSTMANLANDS LÄN</t>
        </is>
      </c>
      <c r="E335" t="inlineStr">
        <is>
          <t>SKINNSKATTEBERG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16400-2024</t>
        </is>
      </c>
      <c r="B336" s="1" t="n">
        <v>45407</v>
      </c>
      <c r="C336" s="1" t="n">
        <v>46110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16523-2024</t>
        </is>
      </c>
      <c r="B337" s="1" t="n">
        <v>45408.41509259259</v>
      </c>
      <c r="C337" s="1" t="n">
        <v>46110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40497-2023</t>
        </is>
      </c>
      <c r="B338" s="1" t="n">
        <v>45170.3894212963</v>
      </c>
      <c r="C338" s="1" t="n">
        <v>46110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31268-2023</t>
        </is>
      </c>
      <c r="B339" s="1" t="n">
        <v>45114</v>
      </c>
      <c r="C339" s="1" t="n">
        <v>46110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19655-2025</t>
        </is>
      </c>
      <c r="B340" s="1" t="n">
        <v>45770.67399305556</v>
      </c>
      <c r="C340" s="1" t="n">
        <v>46110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41332-2023</t>
        </is>
      </c>
      <c r="B341" s="1" t="n">
        <v>45174</v>
      </c>
      <c r="C341" s="1" t="n">
        <v>46110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24884-2023</t>
        </is>
      </c>
      <c r="B342" s="1" t="n">
        <v>45085.45267361111</v>
      </c>
      <c r="C342" s="1" t="n">
        <v>46110</v>
      </c>
      <c r="D342" t="inlineStr">
        <is>
          <t>VÄSTMANLANDS LÄN</t>
        </is>
      </c>
      <c r="E342" t="inlineStr">
        <is>
          <t>SKINNSKATTEBERG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46110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57343-2023</t>
        </is>
      </c>
      <c r="B344" s="1" t="n">
        <v>45245</v>
      </c>
      <c r="C344" s="1" t="n">
        <v>46110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24793-2022</t>
        </is>
      </c>
      <c r="B345" s="1" t="n">
        <v>44728</v>
      </c>
      <c r="C345" s="1" t="n">
        <v>46110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46110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27328-2023</t>
        </is>
      </c>
      <c r="B347" s="1" t="n">
        <v>45096.67375</v>
      </c>
      <c r="C347" s="1" t="n">
        <v>46110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41333-2023</t>
        </is>
      </c>
      <c r="B348" s="1" t="n">
        <v>45174</v>
      </c>
      <c r="C348" s="1" t="n">
        <v>46110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46110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18163-2024</t>
        </is>
      </c>
      <c r="B350" s="1" t="n">
        <v>45420</v>
      </c>
      <c r="C350" s="1" t="n">
        <v>46110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17838-2025</t>
        </is>
      </c>
      <c r="B351" s="1" t="n">
        <v>45758.58688657408</v>
      </c>
      <c r="C351" s="1" t="n">
        <v>46110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40546-2023</t>
        </is>
      </c>
      <c r="B352" s="1" t="n">
        <v>45170.44954861111</v>
      </c>
      <c r="C352" s="1" t="n">
        <v>46110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1611-2024</t>
        </is>
      </c>
      <c r="B353" s="1" t="n">
        <v>45306.62385416667</v>
      </c>
      <c r="C353" s="1" t="n">
        <v>46110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1619-2024</t>
        </is>
      </c>
      <c r="B354" s="1" t="n">
        <v>45306.63797453704</v>
      </c>
      <c r="C354" s="1" t="n">
        <v>46110</v>
      </c>
      <c r="D354" t="inlineStr">
        <is>
          <t>VÄSTMANLANDS LÄN</t>
        </is>
      </c>
      <c r="E354" t="inlineStr">
        <is>
          <t>SKINNSKATTEBERG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1620-2024</t>
        </is>
      </c>
      <c r="B355" s="1" t="n">
        <v>45306.64103009259</v>
      </c>
      <c r="C355" s="1" t="n">
        <v>46110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55210-2023</t>
        </is>
      </c>
      <c r="B356" s="1" t="n">
        <v>45237.59635416666</v>
      </c>
      <c r="C356" s="1" t="n">
        <v>46110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8199-2023</t>
        </is>
      </c>
      <c r="B357" s="1" t="n">
        <v>44974</v>
      </c>
      <c r="C357" s="1" t="n">
        <v>46110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46110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46110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46110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51508-2021</t>
        </is>
      </c>
      <c r="B361" s="1" t="n">
        <v>44462</v>
      </c>
      <c r="C361" s="1" t="n">
        <v>46110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21571-2023</t>
        </is>
      </c>
      <c r="B362" s="1" t="n">
        <v>45063.58920138889</v>
      </c>
      <c r="C362" s="1" t="n">
        <v>46110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21579-2023</t>
        </is>
      </c>
      <c r="B363" s="1" t="n">
        <v>45063.59385416667</v>
      </c>
      <c r="C363" s="1" t="n">
        <v>46110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14044-2025</t>
        </is>
      </c>
      <c r="B364" s="1" t="n">
        <v>45740.37228009259</v>
      </c>
      <c r="C364" s="1" t="n">
        <v>46110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14049-2025</t>
        </is>
      </c>
      <c r="B365" s="1" t="n">
        <v>45740.38309027778</v>
      </c>
      <c r="C365" s="1" t="n">
        <v>46110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35683-2024</t>
        </is>
      </c>
      <c r="B366" s="1" t="n">
        <v>45532.41152777777</v>
      </c>
      <c r="C366" s="1" t="n">
        <v>46110</v>
      </c>
      <c r="D366" t="inlineStr">
        <is>
          <t>VÄSTMANLANDS LÄN</t>
        </is>
      </c>
      <c r="E366" t="inlineStr">
        <is>
          <t>SKINNSKATTEBERG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48825-2022</t>
        </is>
      </c>
      <c r="B367" s="1" t="n">
        <v>44859</v>
      </c>
      <c r="C367" s="1" t="n">
        <v>46110</v>
      </c>
      <c r="D367" t="inlineStr">
        <is>
          <t>VÄSTMANLANDS LÄN</t>
        </is>
      </c>
      <c r="E367" t="inlineStr">
        <is>
          <t>SKINNSKATTEBERG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53142-2021</t>
        </is>
      </c>
      <c r="B368" s="1" t="n">
        <v>44468.32285879629</v>
      </c>
      <c r="C368" s="1" t="n">
        <v>46110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53145-2021</t>
        </is>
      </c>
      <c r="B369" s="1" t="n">
        <v>44468.32862268519</v>
      </c>
      <c r="C369" s="1" t="n">
        <v>46110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18109-2023</t>
        </is>
      </c>
      <c r="B370" s="1" t="n">
        <v>45040</v>
      </c>
      <c r="C370" s="1" t="n">
        <v>46110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46110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11826-2024</t>
        </is>
      </c>
      <c r="B372" s="1" t="n">
        <v>45376.34787037037</v>
      </c>
      <c r="C372" s="1" t="n">
        <v>46110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20816-2023</t>
        </is>
      </c>
      <c r="B373" s="1" t="n">
        <v>45058</v>
      </c>
      <c r="C373" s="1" t="n">
        <v>46110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19093-2023</t>
        </is>
      </c>
      <c r="B374" s="1" t="n">
        <v>45048.42040509259</v>
      </c>
      <c r="C374" s="1" t="n">
        <v>46110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46874-2024</t>
        </is>
      </c>
      <c r="B375" s="1" t="n">
        <v>45583.64019675926</v>
      </c>
      <c r="C375" s="1" t="n">
        <v>46110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58317-2023</t>
        </is>
      </c>
      <c r="B376" s="1" t="n">
        <v>45250.57809027778</v>
      </c>
      <c r="C376" s="1" t="n">
        <v>46110</v>
      </c>
      <c r="D376" t="inlineStr">
        <is>
          <t>VÄSTMANLANDS LÄN</t>
        </is>
      </c>
      <c r="E376" t="inlineStr">
        <is>
          <t>SKINNSKATTEBERG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57747-2023</t>
        </is>
      </c>
      <c r="B377" s="1" t="n">
        <v>45246</v>
      </c>
      <c r="C377" s="1" t="n">
        <v>46110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14626-2024</t>
        </is>
      </c>
      <c r="B378" s="1" t="n">
        <v>45397</v>
      </c>
      <c r="C378" s="1" t="n">
        <v>46110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7103-2022</t>
        </is>
      </c>
      <c r="B379" s="1" t="n">
        <v>44603</v>
      </c>
      <c r="C379" s="1" t="n">
        <v>46110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18516-2024</t>
        </is>
      </c>
      <c r="B380" s="1" t="n">
        <v>45425.6054050926</v>
      </c>
      <c r="C380" s="1" t="n">
        <v>46110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18517-2024</t>
        </is>
      </c>
      <c r="B381" s="1" t="n">
        <v>45425.60623842593</v>
      </c>
      <c r="C381" s="1" t="n">
        <v>46110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22611-2024</t>
        </is>
      </c>
      <c r="B382" s="1" t="n">
        <v>45447.64212962963</v>
      </c>
      <c r="C382" s="1" t="n">
        <v>46110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19002-2021</t>
        </is>
      </c>
      <c r="B383" s="1" t="n">
        <v>44308.49021990741</v>
      </c>
      <c r="C383" s="1" t="n">
        <v>46110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33571-2024</t>
        </is>
      </c>
      <c r="B384" s="1" t="n">
        <v>45520</v>
      </c>
      <c r="C384" s="1" t="n">
        <v>46110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30353-2023</t>
        </is>
      </c>
      <c r="B385" s="1" t="n">
        <v>45111</v>
      </c>
      <c r="C385" s="1" t="n">
        <v>46110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46110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13385-2024</t>
        </is>
      </c>
      <c r="B387" s="1" t="n">
        <v>45387.39675925926</v>
      </c>
      <c r="C387" s="1" t="n">
        <v>46110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47137-2024</t>
        </is>
      </c>
      <c r="B388" s="1" t="n">
        <v>45586</v>
      </c>
      <c r="C388" s="1" t="n">
        <v>46110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31262-2023</t>
        </is>
      </c>
      <c r="B389" s="1" t="n">
        <v>45114</v>
      </c>
      <c r="C389" s="1" t="n">
        <v>46110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6183-2023</t>
        </is>
      </c>
      <c r="B390" s="1" t="n">
        <v>44964</v>
      </c>
      <c r="C390" s="1" t="n">
        <v>46110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13713-2024</t>
        </is>
      </c>
      <c r="B391" s="1" t="n">
        <v>45390</v>
      </c>
      <c r="C391" s="1" t="n">
        <v>46110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53880-2021</t>
        </is>
      </c>
      <c r="B392" s="1" t="n">
        <v>44469.68425925926</v>
      </c>
      <c r="C392" s="1" t="n">
        <v>46110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25843-2023</t>
        </is>
      </c>
      <c r="B393" s="1" t="n">
        <v>45090</v>
      </c>
      <c r="C393" s="1" t="n">
        <v>46110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18409-2025</t>
        </is>
      </c>
      <c r="B394" s="1" t="n">
        <v>45762.61232638889</v>
      </c>
      <c r="C394" s="1" t="n">
        <v>46110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4379-2025</t>
        </is>
      </c>
      <c r="B395" s="1" t="n">
        <v>45686.39192129629</v>
      </c>
      <c r="C395" s="1" t="n">
        <v>46110</v>
      </c>
      <c r="D395" t="inlineStr">
        <is>
          <t>VÄSTMANLANDS LÄN</t>
        </is>
      </c>
      <c r="E395" t="inlineStr">
        <is>
          <t>SKINNSKATTEBERG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18417-2025</t>
        </is>
      </c>
      <c r="B396" s="1" t="n">
        <v>45762.61646990741</v>
      </c>
      <c r="C396" s="1" t="n">
        <v>46110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59578-2024</t>
        </is>
      </c>
      <c r="B397" s="1" t="n">
        <v>45637</v>
      </c>
      <c r="C397" s="1" t="n">
        <v>46110</v>
      </c>
      <c r="D397" t="inlineStr">
        <is>
          <t>VÄSTMANLANDS LÄN</t>
        </is>
      </c>
      <c r="E397" t="inlineStr">
        <is>
          <t>SKINNSKATTEBERG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14627-2024</t>
        </is>
      </c>
      <c r="B398" s="1" t="n">
        <v>45397</v>
      </c>
      <c r="C398" s="1" t="n">
        <v>46110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13553-2023</t>
        </is>
      </c>
      <c r="B399" s="1" t="n">
        <v>45006.46628472222</v>
      </c>
      <c r="C399" s="1" t="n">
        <v>46110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Allmännings- och besparingsskogar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54576-2024</t>
        </is>
      </c>
      <c r="B400" s="1" t="n">
        <v>45617.65555555555</v>
      </c>
      <c r="C400" s="1" t="n">
        <v>46110</v>
      </c>
      <c r="D400" t="inlineStr">
        <is>
          <t>VÄSTMANLANDS LÄN</t>
        </is>
      </c>
      <c r="E400" t="inlineStr">
        <is>
          <t>SKINNSKATTEBERG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45056.70799768518</v>
      </c>
      <c r="C401" s="1" t="n">
        <v>46110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31407-2024</t>
        </is>
      </c>
      <c r="B402" s="1" t="n">
        <v>45505.57873842592</v>
      </c>
      <c r="C402" s="1" t="n">
        <v>46110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46110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54657-2022</t>
        </is>
      </c>
      <c r="B404" s="1" t="n">
        <v>44883</v>
      </c>
      <c r="C404" s="1" t="n">
        <v>46110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36288-2022</t>
        </is>
      </c>
      <c r="B405" s="1" t="n">
        <v>44803</v>
      </c>
      <c r="C405" s="1" t="n">
        <v>46110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52566-2024</t>
        </is>
      </c>
      <c r="B406" s="1" t="n">
        <v>45609</v>
      </c>
      <c r="C406" s="1" t="n">
        <v>46110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60185-2022</t>
        </is>
      </c>
      <c r="B407" s="1" t="n">
        <v>44910.36125</v>
      </c>
      <c r="C407" s="1" t="n">
        <v>46110</v>
      </c>
      <c r="D407" t="inlineStr">
        <is>
          <t>VÄSTMANLANDS LÄN</t>
        </is>
      </c>
      <c r="E407" t="inlineStr">
        <is>
          <t>SKINNSKATTEBERG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33900-2023</t>
        </is>
      </c>
      <c r="B408" s="1" t="n">
        <v>45134.37332175926</v>
      </c>
      <c r="C408" s="1" t="n">
        <v>46110</v>
      </c>
      <c r="D408" t="inlineStr">
        <is>
          <t>VÄSTMANLANDS LÄN</t>
        </is>
      </c>
      <c r="E408" t="inlineStr">
        <is>
          <t>SKINNSKATTEBERG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15561-2024</t>
        </is>
      </c>
      <c r="B409" s="1" t="n">
        <v>45401.64908564815</v>
      </c>
      <c r="C409" s="1" t="n">
        <v>46110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31260-2023</t>
        </is>
      </c>
      <c r="B410" s="1" t="n">
        <v>45114</v>
      </c>
      <c r="C410" s="1" t="n">
        <v>46110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45068.53958333333</v>
      </c>
      <c r="C411" s="1" t="n">
        <v>46110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46110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46110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43805-2024</t>
        </is>
      </c>
      <c r="B414" s="1" t="n">
        <v>45571</v>
      </c>
      <c r="C414" s="1" t="n">
        <v>46110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43806-2024</t>
        </is>
      </c>
      <c r="B415" s="1" t="n">
        <v>45571</v>
      </c>
      <c r="C415" s="1" t="n">
        <v>46110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46110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46110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40545-2023</t>
        </is>
      </c>
      <c r="B418" s="1" t="n">
        <v>45170</v>
      </c>
      <c r="C418" s="1" t="n">
        <v>46110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51472-2024</t>
        </is>
      </c>
      <c r="B419" s="1" t="n">
        <v>45604</v>
      </c>
      <c r="C419" s="1" t="n">
        <v>46110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1069-2023</t>
        </is>
      </c>
      <c r="B420" s="1" t="n">
        <v>44935.52166666667</v>
      </c>
      <c r="C420" s="1" t="n">
        <v>46110</v>
      </c>
      <c r="D420" t="inlineStr">
        <is>
          <t>VÄSTMANLANDS LÄN</t>
        </is>
      </c>
      <c r="E420" t="inlineStr">
        <is>
          <t>SKINNSKATTEBERG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54483-2024</t>
        </is>
      </c>
      <c r="B421" s="1" t="n">
        <v>45617.56130787037</v>
      </c>
      <c r="C421" s="1" t="n">
        <v>46110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55229-2023</t>
        </is>
      </c>
      <c r="B422" s="1" t="n">
        <v>45237.620625</v>
      </c>
      <c r="C422" s="1" t="n">
        <v>46110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37432-2023</t>
        </is>
      </c>
      <c r="B423" s="1" t="n">
        <v>45156</v>
      </c>
      <c r="C423" s="1" t="n">
        <v>46110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43411-2024</t>
        </is>
      </c>
      <c r="B424" s="1" t="n">
        <v>45568.62128472222</v>
      </c>
      <c r="C424" s="1" t="n">
        <v>46110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12888-2024</t>
        </is>
      </c>
      <c r="B425" s="1" t="n">
        <v>45385</v>
      </c>
      <c r="C425" s="1" t="n">
        <v>46110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43807-2024</t>
        </is>
      </c>
      <c r="B426" s="1" t="n">
        <v>45571</v>
      </c>
      <c r="C426" s="1" t="n">
        <v>46110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14237-2025</t>
        </is>
      </c>
      <c r="B427" s="1" t="n">
        <v>45740.60653935185</v>
      </c>
      <c r="C427" s="1" t="n">
        <v>46110</v>
      </c>
      <c r="D427" t="inlineStr">
        <is>
          <t>VÄSTMANLANDS LÄN</t>
        </is>
      </c>
      <c r="E427" t="inlineStr">
        <is>
          <t>SKINNSKATTEBERG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45096.67586805556</v>
      </c>
      <c r="C428" s="1" t="n">
        <v>46110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18416-2025</t>
        </is>
      </c>
      <c r="B429" s="1" t="n">
        <v>45762.61513888889</v>
      </c>
      <c r="C429" s="1" t="n">
        <v>46110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40167-2024</t>
        </is>
      </c>
      <c r="B430" s="1" t="n">
        <v>45554</v>
      </c>
      <c r="C430" s="1" t="n">
        <v>46110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40169-2024</t>
        </is>
      </c>
      <c r="B431" s="1" t="n">
        <v>45554.54996527778</v>
      </c>
      <c r="C431" s="1" t="n">
        <v>46110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54589-2024</t>
        </is>
      </c>
      <c r="B432" s="1" t="n">
        <v>45617</v>
      </c>
      <c r="C432" s="1" t="n">
        <v>46110</v>
      </c>
      <c r="D432" t="inlineStr">
        <is>
          <t>VÄSTMANLANDS LÄN</t>
        </is>
      </c>
      <c r="E432" t="inlineStr">
        <is>
          <t>SKINNSKATTEBERG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36248-2024</t>
        </is>
      </c>
      <c r="B433" s="1" t="n">
        <v>45534</v>
      </c>
      <c r="C433" s="1" t="n">
        <v>46110</v>
      </c>
      <c r="D433" t="inlineStr">
        <is>
          <t>VÄSTMANLANDS LÄN</t>
        </is>
      </c>
      <c r="E433" t="inlineStr">
        <is>
          <t>SKINNSKATTEBERG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20947-2025</t>
        </is>
      </c>
      <c r="B434" s="1" t="n">
        <v>45777.43487268518</v>
      </c>
      <c r="C434" s="1" t="n">
        <v>46110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20949-2025</t>
        </is>
      </c>
      <c r="B435" s="1" t="n">
        <v>45777</v>
      </c>
      <c r="C435" s="1" t="n">
        <v>46110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50980-2022</t>
        </is>
      </c>
      <c r="B436" s="1" t="n">
        <v>44867.84059027778</v>
      </c>
      <c r="C436" s="1" t="n">
        <v>46110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12158-2024</t>
        </is>
      </c>
      <c r="B437" s="1" t="n">
        <v>45377</v>
      </c>
      <c r="C437" s="1" t="n">
        <v>46110</v>
      </c>
      <c r="D437" t="inlineStr">
        <is>
          <t>VÄSTMANLANDS LÄN</t>
        </is>
      </c>
      <c r="E437" t="inlineStr">
        <is>
          <t>SKINNSKATTEBERG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22296-2025</t>
        </is>
      </c>
      <c r="B438" s="1" t="n">
        <v>45786.35171296296</v>
      </c>
      <c r="C438" s="1" t="n">
        <v>46110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22299-2025</t>
        </is>
      </c>
      <c r="B439" s="1" t="n">
        <v>45786.35387731482</v>
      </c>
      <c r="C439" s="1" t="n">
        <v>46110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37730-2024</t>
        </is>
      </c>
      <c r="B440" s="1" t="n">
        <v>45541.66181712963</v>
      </c>
      <c r="C440" s="1" t="n">
        <v>46110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22280-2025</t>
        </is>
      </c>
      <c r="B441" s="1" t="n">
        <v>45786.33869212963</v>
      </c>
      <c r="C441" s="1" t="n">
        <v>46110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2026-03-29T11:47:18Z</dcterms:created>
  <dcterms:modified xmlns:dcterms="http://purl.org/dc/terms/" xmlns:xsi="http://www.w3.org/2001/XMLSchema-instance" xsi:type="dcterms:W3CDTF">2026-03-29T11:47:18Z</dcterms:modified>
</cp:coreProperties>
</file>