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45821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45821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45821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45821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45821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45821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45821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45821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45821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45821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45821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45821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45821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45821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58244-2023</t>
        </is>
      </c>
      <c r="B16" s="1" t="n">
        <v>45250</v>
      </c>
      <c r="C16" s="1" t="n">
        <v>45821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7.6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Pärluggla</t>
        </is>
      </c>
      <c r="S16">
        <f>HYPERLINK("https://klasma.github.io/Logging_1904/artfynd/A 58244-2023 artfynd.xlsx", "A 58244-2023")</f>
        <v/>
      </c>
      <c r="T16">
        <f>HYPERLINK("https://klasma.github.io/Logging_1904/kartor/A 58244-2023 karta.png", "A 58244-2023")</f>
        <v/>
      </c>
      <c r="V16">
        <f>HYPERLINK("https://klasma.github.io/Logging_1904/klagomål/A 58244-2023 FSC-klagomål.docx", "A 58244-2023")</f>
        <v/>
      </c>
      <c r="W16">
        <f>HYPERLINK("https://klasma.github.io/Logging_1904/klagomålsmail/A 58244-2023 FSC-klagomål mail.docx", "A 58244-2023")</f>
        <v/>
      </c>
      <c r="X16">
        <f>HYPERLINK("https://klasma.github.io/Logging_1904/tillsyn/A 58244-2023 tillsynsbegäran.docx", "A 58244-2023")</f>
        <v/>
      </c>
      <c r="Y16">
        <f>HYPERLINK("https://klasma.github.io/Logging_1904/tillsynsmail/A 58244-2023 tillsynsbegäran mail.docx", "A 58244-2023")</f>
        <v/>
      </c>
      <c r="Z16">
        <f>HYPERLINK("https://klasma.github.io/Logging_1904/fåglar/A 58244-2023 prioriterade fågelarter.docx", "A 58244-2023")</f>
        <v/>
      </c>
    </row>
    <row r="17" ht="15" customHeight="1">
      <c r="A17" t="inlineStr">
        <is>
          <t>A 41618-2024</t>
        </is>
      </c>
      <c r="B17" s="1" t="n">
        <v>45560</v>
      </c>
      <c r="C17" s="1" t="n">
        <v>45821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Dropptaggsvamp</t>
        </is>
      </c>
      <c r="S17">
        <f>HYPERLINK("https://klasma.github.io/Logging_1904/artfynd/A 41618-2024 artfynd.xlsx", "A 41618-2024")</f>
        <v/>
      </c>
      <c r="T17">
        <f>HYPERLINK("https://klasma.github.io/Logging_1904/kartor/A 41618-2024 karta.png", "A 41618-2024")</f>
        <v/>
      </c>
      <c r="V17">
        <f>HYPERLINK("https://klasma.github.io/Logging_1904/klagomål/A 41618-2024 FSC-klagomål.docx", "A 41618-2024")</f>
        <v/>
      </c>
      <c r="W17">
        <f>HYPERLINK("https://klasma.github.io/Logging_1904/klagomålsmail/A 41618-2024 FSC-klagomål mail.docx", "A 41618-2024")</f>
        <v/>
      </c>
      <c r="X17">
        <f>HYPERLINK("https://klasma.github.io/Logging_1904/tillsyn/A 41618-2024 tillsynsbegäran.docx", "A 41618-2024")</f>
        <v/>
      </c>
      <c r="Y17">
        <f>HYPERLINK("https://klasma.github.io/Logging_1904/tillsynsmail/A 41618-2024 tillsynsbegäran mail.docx", "A 41618-2024")</f>
        <v/>
      </c>
    </row>
    <row r="18" ht="15" customHeight="1">
      <c r="A18" t="inlineStr">
        <is>
          <t>A 46872-2024</t>
        </is>
      </c>
      <c r="B18" s="1" t="n">
        <v>45583</v>
      </c>
      <c r="C18" s="1" t="n">
        <v>45821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 taggsvamp
Orange taggsvamp</t>
        </is>
      </c>
      <c r="S18">
        <f>HYPERLINK("https://klasma.github.io/Logging_1904/artfynd/A 46872-2024 artfynd.xlsx", "A 46872-2024")</f>
        <v/>
      </c>
      <c r="T18">
        <f>HYPERLINK("https://klasma.github.io/Logging_1904/kartor/A 46872-2024 karta.png", "A 46872-2024")</f>
        <v/>
      </c>
      <c r="V18">
        <f>HYPERLINK("https://klasma.github.io/Logging_1904/klagomål/A 46872-2024 FSC-klagomål.docx", "A 46872-2024")</f>
        <v/>
      </c>
      <c r="W18">
        <f>HYPERLINK("https://klasma.github.io/Logging_1904/klagomålsmail/A 46872-2024 FSC-klagomål mail.docx", "A 46872-2024")</f>
        <v/>
      </c>
      <c r="X18">
        <f>HYPERLINK("https://klasma.github.io/Logging_1904/tillsyn/A 46872-2024 tillsynsbegäran.docx", "A 46872-2024")</f>
        <v/>
      </c>
      <c r="Y18">
        <f>HYPERLINK("https://klasma.github.io/Logging_1904/tillsynsmail/A 46872-2024 tillsynsbegäran mail.docx", "A 46872-2024")</f>
        <v/>
      </c>
    </row>
    <row r="19" ht="15" customHeight="1">
      <c r="A19" t="inlineStr">
        <is>
          <t>A 52131-2024</t>
        </is>
      </c>
      <c r="B19" s="1" t="n">
        <v>45608</v>
      </c>
      <c r="C19" s="1" t="n">
        <v>45821</v>
      </c>
      <c r="D19" t="inlineStr">
        <is>
          <t>VÄSTMANLANDS LÄN</t>
        </is>
      </c>
      <c r="E19" t="inlineStr">
        <is>
          <t>SKINNSKATTEBERG</t>
        </is>
      </c>
      <c r="G19" t="n">
        <v>8.699999999999999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HYPERLINK("https://klasma.github.io/Logging_1904/artfynd/A 52131-2024 artfynd.xlsx", "A 52131-2024")</f>
        <v/>
      </c>
      <c r="T19">
        <f>HYPERLINK("https://klasma.github.io/Logging_1904/kartor/A 52131-2024 karta.png", "A 52131-2024")</f>
        <v/>
      </c>
      <c r="V19">
        <f>HYPERLINK("https://klasma.github.io/Logging_1904/klagomål/A 52131-2024 FSC-klagomål.docx", "A 52131-2024")</f>
        <v/>
      </c>
      <c r="W19">
        <f>HYPERLINK("https://klasma.github.io/Logging_1904/klagomålsmail/A 52131-2024 FSC-klagomål mail.docx", "A 52131-2024")</f>
        <v/>
      </c>
      <c r="X19">
        <f>HYPERLINK("https://klasma.github.io/Logging_1904/tillsyn/A 52131-2024 tillsynsbegäran.docx", "A 52131-2024")</f>
        <v/>
      </c>
      <c r="Y19">
        <f>HYPERLINK("https://klasma.github.io/Logging_1904/tillsynsmail/A 52131-2024 tillsynsbegäran mail.docx", "A 52131-2024")</f>
        <v/>
      </c>
      <c r="Z19">
        <f>HYPERLINK("https://klasma.github.io/Logging_1904/fåglar/A 52131-2024 prioriterade fågelarter.docx", "A 52131-2024")</f>
        <v/>
      </c>
    </row>
    <row r="20" ht="15" customHeight="1">
      <c r="A20" t="inlineStr">
        <is>
          <t>A 51400-2019</t>
        </is>
      </c>
      <c r="B20" s="1" t="n">
        <v>43740</v>
      </c>
      <c r="C20" s="1" t="n">
        <v>45821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51400-2019 artfynd.xlsx", "A 51400-2019")</f>
        <v/>
      </c>
      <c r="T20">
        <f>HYPERLINK("https://klasma.github.io/Logging_1904/kartor/A 51400-2019 karta.png", "A 51400-2019")</f>
        <v/>
      </c>
      <c r="V20">
        <f>HYPERLINK("https://klasma.github.io/Logging_1904/klagomål/A 51400-2019 FSC-klagomål.docx", "A 51400-2019")</f>
        <v/>
      </c>
      <c r="W20">
        <f>HYPERLINK("https://klasma.github.io/Logging_1904/klagomålsmail/A 51400-2019 FSC-klagomål mail.docx", "A 51400-2019")</f>
        <v/>
      </c>
      <c r="X20">
        <f>HYPERLINK("https://klasma.github.io/Logging_1904/tillsyn/A 51400-2019 tillsynsbegäran.docx", "A 51400-2019")</f>
        <v/>
      </c>
      <c r="Y20">
        <f>HYPERLINK("https://klasma.github.io/Logging_1904/tillsynsmail/A 51400-2019 tillsynsbegäran mail.docx", "A 51400-2019")</f>
        <v/>
      </c>
    </row>
    <row r="21" ht="15" customHeight="1">
      <c r="A21" t="inlineStr">
        <is>
          <t>A 59346-2019</t>
        </is>
      </c>
      <c r="B21" s="1" t="n">
        <v>43775</v>
      </c>
      <c r="C21" s="1" t="n">
        <v>45821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Bandad skulderbock</t>
        </is>
      </c>
      <c r="S21">
        <f>HYPERLINK("https://klasma.github.io/Logging_1904/artfynd/A 59346-2019 artfynd.xlsx", "A 59346-2019")</f>
        <v/>
      </c>
      <c r="T21">
        <f>HYPERLINK("https://klasma.github.io/Logging_1904/kartor/A 59346-2019 karta.png", "A 59346-2019")</f>
        <v/>
      </c>
      <c r="V21">
        <f>HYPERLINK("https://klasma.github.io/Logging_1904/klagomål/A 59346-2019 FSC-klagomål.docx", "A 59346-2019")</f>
        <v/>
      </c>
      <c r="W21">
        <f>HYPERLINK("https://klasma.github.io/Logging_1904/klagomålsmail/A 59346-2019 FSC-klagomål mail.docx", "A 59346-2019")</f>
        <v/>
      </c>
      <c r="X21">
        <f>HYPERLINK("https://klasma.github.io/Logging_1904/tillsyn/A 59346-2019 tillsynsbegäran.docx", "A 59346-2019")</f>
        <v/>
      </c>
      <c r="Y21">
        <f>HYPERLINK("https://klasma.github.io/Logging_1904/tillsynsmail/A 59346-2019 tillsynsbegäran mail.docx", "A 59346-2019")</f>
        <v/>
      </c>
    </row>
    <row r="22" ht="15" customHeight="1">
      <c r="A22" t="inlineStr">
        <is>
          <t>A 12592-2020</t>
        </is>
      </c>
      <c r="B22" s="1" t="n">
        <v>43899</v>
      </c>
      <c r="C22" s="1" t="n">
        <v>45821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12592-2020 artfynd.xlsx", "A 12592-2020")</f>
        <v/>
      </c>
      <c r="T22">
        <f>HYPERLINK("https://klasma.github.io/Logging_1904/kartor/A 12592-2020 karta.png", "A 12592-2020")</f>
        <v/>
      </c>
      <c r="V22">
        <f>HYPERLINK("https://klasma.github.io/Logging_1904/klagomål/A 12592-2020 FSC-klagomål.docx", "A 12592-2020")</f>
        <v/>
      </c>
      <c r="W22">
        <f>HYPERLINK("https://klasma.github.io/Logging_1904/klagomålsmail/A 12592-2020 FSC-klagomål mail.docx", "A 12592-2020")</f>
        <v/>
      </c>
      <c r="X22">
        <f>HYPERLINK("https://klasma.github.io/Logging_1904/tillsyn/A 12592-2020 tillsynsbegäran.docx", "A 12592-2020")</f>
        <v/>
      </c>
      <c r="Y22">
        <f>HYPERLINK("https://klasma.github.io/Logging_1904/tillsynsmail/A 12592-2020 tillsynsbegäran mail.docx", "A 12592-2020")</f>
        <v/>
      </c>
    </row>
    <row r="23" ht="15" customHeight="1">
      <c r="A23" t="inlineStr">
        <is>
          <t>A 33393-2020</t>
        </is>
      </c>
      <c r="B23" s="1" t="n">
        <v>44022</v>
      </c>
      <c r="C23" s="1" t="n">
        <v>45821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HYPERLINK("https://klasma.github.io/Logging_1904/artfynd/A 33393-2020 artfynd.xlsx", "A 33393-2020")</f>
        <v/>
      </c>
      <c r="T23">
        <f>HYPERLINK("https://klasma.github.io/Logging_1904/kartor/A 33393-2020 karta.png", "A 33393-2020")</f>
        <v/>
      </c>
      <c r="V23">
        <f>HYPERLINK("https://klasma.github.io/Logging_1904/klagomål/A 33393-2020 FSC-klagomål.docx", "A 33393-2020")</f>
        <v/>
      </c>
      <c r="W23">
        <f>HYPERLINK("https://klasma.github.io/Logging_1904/klagomålsmail/A 33393-2020 FSC-klagomål mail.docx", "A 33393-2020")</f>
        <v/>
      </c>
      <c r="X23">
        <f>HYPERLINK("https://klasma.github.io/Logging_1904/tillsyn/A 33393-2020 tillsynsbegäran.docx", "A 33393-2020")</f>
        <v/>
      </c>
      <c r="Y23">
        <f>HYPERLINK("https://klasma.github.io/Logging_1904/tillsynsmail/A 33393-2020 tillsynsbegäran mail.docx", "A 33393-2020")</f>
        <v/>
      </c>
    </row>
    <row r="24" ht="15" customHeight="1">
      <c r="A24" t="inlineStr">
        <is>
          <t>A 38226-2020</t>
        </is>
      </c>
      <c r="B24" s="1" t="n">
        <v>44060</v>
      </c>
      <c r="C24" s="1" t="n">
        <v>45821</v>
      </c>
      <c r="D24" t="inlineStr">
        <is>
          <t>VÄSTMANLANDS LÄN</t>
        </is>
      </c>
      <c r="E24" t="inlineStr">
        <is>
          <t>SKINNSKATTEBERG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HYPERLINK("https://klasma.github.io/Logging_1904/artfynd/A 38226-2020 artfynd.xlsx", "A 38226-2020")</f>
        <v/>
      </c>
      <c r="T24">
        <f>HYPERLINK("https://klasma.github.io/Logging_1904/kartor/A 38226-2020 karta.png", "A 38226-2020")</f>
        <v/>
      </c>
      <c r="V24">
        <f>HYPERLINK("https://klasma.github.io/Logging_1904/klagomål/A 38226-2020 FSC-klagomål.docx", "A 38226-2020")</f>
        <v/>
      </c>
      <c r="W24">
        <f>HYPERLINK("https://klasma.github.io/Logging_1904/klagomålsmail/A 38226-2020 FSC-klagomål mail.docx", "A 38226-2020")</f>
        <v/>
      </c>
      <c r="X24">
        <f>HYPERLINK("https://klasma.github.io/Logging_1904/tillsyn/A 38226-2020 tillsynsbegäran.docx", "A 38226-2020")</f>
        <v/>
      </c>
      <c r="Y24">
        <f>HYPERLINK("https://klasma.github.io/Logging_1904/tillsynsmail/A 38226-2020 tillsynsbegäran mail.docx", "A 38226-2020")</f>
        <v/>
      </c>
    </row>
    <row r="25" ht="15" customHeight="1">
      <c r="A25" t="inlineStr">
        <is>
          <t>A 22099-2021</t>
        </is>
      </c>
      <c r="B25" s="1" t="n">
        <v>44323</v>
      </c>
      <c r="C25" s="1" t="n">
        <v>45821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HYPERLINK("https://klasma.github.io/Logging_1904/artfynd/A 22099-2021 artfynd.xlsx", "A 22099-2021")</f>
        <v/>
      </c>
      <c r="T25">
        <f>HYPERLINK("https://klasma.github.io/Logging_1904/kartor/A 22099-2021 karta.png", "A 22099-2021")</f>
        <v/>
      </c>
      <c r="V25">
        <f>HYPERLINK("https://klasma.github.io/Logging_1904/klagomål/A 22099-2021 FSC-klagomål.docx", "A 22099-2021")</f>
        <v/>
      </c>
      <c r="W25">
        <f>HYPERLINK("https://klasma.github.io/Logging_1904/klagomålsmail/A 22099-2021 FSC-klagomål mail.docx", "A 22099-2021")</f>
        <v/>
      </c>
      <c r="X25">
        <f>HYPERLINK("https://klasma.github.io/Logging_1904/tillsyn/A 22099-2021 tillsynsbegäran.docx", "A 22099-2021")</f>
        <v/>
      </c>
      <c r="Y25">
        <f>HYPERLINK("https://klasma.github.io/Logging_1904/tillsynsmail/A 22099-2021 tillsynsbegäran mail.docx", "A 22099-2021")</f>
        <v/>
      </c>
    </row>
    <row r="26" ht="15" customHeight="1">
      <c r="A26" t="inlineStr">
        <is>
          <t>A 42073-2021</t>
        </is>
      </c>
      <c r="B26" s="1" t="n">
        <v>44426</v>
      </c>
      <c r="C26" s="1" t="n">
        <v>45821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42073-2021 artfynd.xlsx", "A 42073-2021")</f>
        <v/>
      </c>
      <c r="T26">
        <f>HYPERLINK("https://klasma.github.io/Logging_1904/kartor/A 42073-2021 karta.png", "A 42073-2021")</f>
        <v/>
      </c>
      <c r="V26">
        <f>HYPERLINK("https://klasma.github.io/Logging_1904/klagomål/A 42073-2021 FSC-klagomål.docx", "A 42073-2021")</f>
        <v/>
      </c>
      <c r="W26">
        <f>HYPERLINK("https://klasma.github.io/Logging_1904/klagomålsmail/A 42073-2021 FSC-klagomål mail.docx", "A 42073-2021")</f>
        <v/>
      </c>
      <c r="X26">
        <f>HYPERLINK("https://klasma.github.io/Logging_1904/tillsyn/A 42073-2021 tillsynsbegäran.docx", "A 42073-2021")</f>
        <v/>
      </c>
      <c r="Y26">
        <f>HYPERLINK("https://klasma.github.io/Logging_1904/tillsynsmail/A 42073-2021 tillsynsbegäran mail.docx", "A 42073-2021")</f>
        <v/>
      </c>
    </row>
    <row r="27" ht="15" customHeight="1">
      <c r="A27" t="inlineStr">
        <is>
          <t>A 60242-2021</t>
        </is>
      </c>
      <c r="B27" s="1" t="n">
        <v>44495</v>
      </c>
      <c r="C27" s="1" t="n">
        <v>45821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60242-2021 artfynd.xlsx", "A 60242-2021")</f>
        <v/>
      </c>
      <c r="T27">
        <f>HYPERLINK("https://klasma.github.io/Logging_1904/kartor/A 60242-2021 karta.png", "A 60242-2021")</f>
        <v/>
      </c>
      <c r="V27">
        <f>HYPERLINK("https://klasma.github.io/Logging_1904/klagomål/A 60242-2021 FSC-klagomål.docx", "A 60242-2021")</f>
        <v/>
      </c>
      <c r="W27">
        <f>HYPERLINK("https://klasma.github.io/Logging_1904/klagomålsmail/A 60242-2021 FSC-klagomål mail.docx", "A 60242-2021")</f>
        <v/>
      </c>
      <c r="X27">
        <f>HYPERLINK("https://klasma.github.io/Logging_1904/tillsyn/A 60242-2021 tillsynsbegäran.docx", "A 60242-2021")</f>
        <v/>
      </c>
      <c r="Y27">
        <f>HYPERLINK("https://klasma.github.io/Logging_1904/tillsynsmail/A 60242-2021 tillsynsbegäran mail.docx", "A 60242-2021")</f>
        <v/>
      </c>
    </row>
    <row r="28" ht="15" customHeight="1">
      <c r="A28" t="inlineStr">
        <is>
          <t>A 56915-2022</t>
        </is>
      </c>
      <c r="B28" s="1" t="n">
        <v>44894</v>
      </c>
      <c r="C28" s="1" t="n">
        <v>45821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HYPERLINK("https://klasma.github.io/Logging_1904/artfynd/A 56915-2022 artfynd.xlsx", "A 56915-2022")</f>
        <v/>
      </c>
      <c r="T28">
        <f>HYPERLINK("https://klasma.github.io/Logging_1904/kartor/A 56915-2022 karta.png", "A 56915-2022")</f>
        <v/>
      </c>
      <c r="V28">
        <f>HYPERLINK("https://klasma.github.io/Logging_1904/klagomål/A 56915-2022 FSC-klagomål.docx", "A 56915-2022")</f>
        <v/>
      </c>
      <c r="W28">
        <f>HYPERLINK("https://klasma.github.io/Logging_1904/klagomålsmail/A 56915-2022 FSC-klagomål mail.docx", "A 56915-2022")</f>
        <v/>
      </c>
      <c r="X28">
        <f>HYPERLINK("https://klasma.github.io/Logging_1904/tillsyn/A 56915-2022 tillsynsbegäran.docx", "A 56915-2022")</f>
        <v/>
      </c>
      <c r="Y28">
        <f>HYPERLINK("https://klasma.github.io/Logging_1904/tillsynsmail/A 56915-2022 tillsynsbegäran mail.docx", "A 56915-2022")</f>
        <v/>
      </c>
    </row>
    <row r="29" ht="15" customHeight="1">
      <c r="A29" t="inlineStr">
        <is>
          <t>A 61212-2022</t>
        </is>
      </c>
      <c r="B29" s="1" t="n">
        <v>44908</v>
      </c>
      <c r="C29" s="1" t="n">
        <v>45821</v>
      </c>
      <c r="D29" t="inlineStr">
        <is>
          <t>VÄSTMANLANDS LÄN</t>
        </is>
      </c>
      <c r="E29" t="inlineStr">
        <is>
          <t>SKINNSKATTEBERG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61212-2022 artfynd.xlsx", "A 61212-2022")</f>
        <v/>
      </c>
      <c r="T29">
        <f>HYPERLINK("https://klasma.github.io/Logging_1904/kartor/A 61212-2022 karta.png", "A 61212-2022")</f>
        <v/>
      </c>
      <c r="V29">
        <f>HYPERLINK("https://klasma.github.io/Logging_1904/klagomål/A 61212-2022 FSC-klagomål.docx", "A 61212-2022")</f>
        <v/>
      </c>
      <c r="W29">
        <f>HYPERLINK("https://klasma.github.io/Logging_1904/klagomålsmail/A 61212-2022 FSC-klagomål mail.docx", "A 61212-2022")</f>
        <v/>
      </c>
      <c r="X29">
        <f>HYPERLINK("https://klasma.github.io/Logging_1904/tillsyn/A 61212-2022 tillsynsbegäran.docx", "A 61212-2022")</f>
        <v/>
      </c>
      <c r="Y29">
        <f>HYPERLINK("https://klasma.github.io/Logging_1904/tillsynsmail/A 61212-2022 tillsynsbegäran mail.docx", "A 61212-2022")</f>
        <v/>
      </c>
    </row>
    <row r="30" ht="15" customHeight="1">
      <c r="A30" t="inlineStr">
        <is>
          <t>A 6182-2023</t>
        </is>
      </c>
      <c r="B30" s="1" t="n">
        <v>44964</v>
      </c>
      <c r="C30" s="1" t="n">
        <v>45821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6.4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HYPERLINK("https://klasma.github.io/Logging_1904/artfynd/A 6182-2023 artfynd.xlsx", "A 6182-2023")</f>
        <v/>
      </c>
      <c r="T30">
        <f>HYPERLINK("https://klasma.github.io/Logging_1904/kartor/A 6182-2023 karta.png", "A 6182-2023")</f>
        <v/>
      </c>
      <c r="V30">
        <f>HYPERLINK("https://klasma.github.io/Logging_1904/klagomål/A 6182-2023 FSC-klagomål.docx", "A 6182-2023")</f>
        <v/>
      </c>
      <c r="W30">
        <f>HYPERLINK("https://klasma.github.io/Logging_1904/klagomålsmail/A 6182-2023 FSC-klagomål mail.docx", "A 6182-2023")</f>
        <v/>
      </c>
      <c r="X30">
        <f>HYPERLINK("https://klasma.github.io/Logging_1904/tillsyn/A 6182-2023 tillsynsbegäran.docx", "A 6182-2023")</f>
        <v/>
      </c>
      <c r="Y30">
        <f>HYPERLINK("https://klasma.github.io/Logging_1904/tillsynsmail/A 6182-2023 tillsynsbegäran mail.docx", "A 6182-2023")</f>
        <v/>
      </c>
    </row>
    <row r="31" ht="15" customHeight="1">
      <c r="A31" t="inlineStr">
        <is>
          <t>A 14171-2023</t>
        </is>
      </c>
      <c r="B31" s="1" t="n">
        <v>45009</v>
      </c>
      <c r="C31" s="1" t="n">
        <v>45821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HYPERLINK("https://klasma.github.io/Logging_1904/artfynd/A 14171-2023 artfynd.xlsx", "A 14171-2023")</f>
        <v/>
      </c>
      <c r="T31">
        <f>HYPERLINK("https://klasma.github.io/Logging_1904/kartor/A 14171-2023 karta.png", "A 14171-2023")</f>
        <v/>
      </c>
      <c r="V31">
        <f>HYPERLINK("https://klasma.github.io/Logging_1904/klagomål/A 14171-2023 FSC-klagomål.docx", "A 14171-2023")</f>
        <v/>
      </c>
      <c r="W31">
        <f>HYPERLINK("https://klasma.github.io/Logging_1904/klagomålsmail/A 14171-2023 FSC-klagomål mail.docx", "A 14171-2023")</f>
        <v/>
      </c>
      <c r="X31">
        <f>HYPERLINK("https://klasma.github.io/Logging_1904/tillsyn/A 14171-2023 tillsynsbegäran.docx", "A 14171-2023")</f>
        <v/>
      </c>
      <c r="Y31">
        <f>HYPERLINK("https://klasma.github.io/Logging_1904/tillsynsmail/A 14171-2023 tillsynsbegäran mail.docx", "A 14171-2023")</f>
        <v/>
      </c>
    </row>
    <row r="32" ht="15" customHeight="1">
      <c r="A32" t="inlineStr">
        <is>
          <t>A 18648-2023</t>
        </is>
      </c>
      <c r="B32" s="1" t="n">
        <v>45043</v>
      </c>
      <c r="C32" s="1" t="n">
        <v>45821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7.3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HYPERLINK("https://klasma.github.io/Logging_1904/artfynd/A 18648-2023 artfynd.xlsx", "A 18648-2023")</f>
        <v/>
      </c>
      <c r="T32">
        <f>HYPERLINK("https://klasma.github.io/Logging_1904/kartor/A 18648-2023 karta.png", "A 18648-2023")</f>
        <v/>
      </c>
      <c r="V32">
        <f>HYPERLINK("https://klasma.github.io/Logging_1904/klagomål/A 18648-2023 FSC-klagomål.docx", "A 18648-2023")</f>
        <v/>
      </c>
      <c r="W32">
        <f>HYPERLINK("https://klasma.github.io/Logging_1904/klagomålsmail/A 18648-2023 FSC-klagomål mail.docx", "A 18648-2023")</f>
        <v/>
      </c>
      <c r="X32">
        <f>HYPERLINK("https://klasma.github.io/Logging_1904/tillsyn/A 18648-2023 tillsynsbegäran.docx", "A 18648-2023")</f>
        <v/>
      </c>
      <c r="Y32">
        <f>HYPERLINK("https://klasma.github.io/Logging_1904/tillsynsmail/A 18648-2023 tillsynsbegäran mail.docx", "A 18648-2023")</f>
        <v/>
      </c>
    </row>
    <row r="33" ht="15" customHeight="1">
      <c r="A33" t="inlineStr">
        <is>
          <t>A 23893-2023</t>
        </is>
      </c>
      <c r="B33" s="1" t="n">
        <v>45078</v>
      </c>
      <c r="C33" s="1" t="n">
        <v>45821</v>
      </c>
      <c r="D33" t="inlineStr">
        <is>
          <t>VÄSTMANLANDS LÄN</t>
        </is>
      </c>
      <c r="E33" t="inlineStr">
        <is>
          <t>SKINNSKATTEBERG</t>
        </is>
      </c>
      <c r="G33" t="n">
        <v>1.6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HYPERLINK("https://klasma.github.io/Logging_1904/artfynd/A 23893-2023 artfynd.xlsx", "A 23893-2023")</f>
        <v/>
      </c>
      <c r="T33">
        <f>HYPERLINK("https://klasma.github.io/Logging_1904/kartor/A 23893-2023 karta.png", "A 23893-2023")</f>
        <v/>
      </c>
      <c r="U33">
        <f>HYPERLINK("https://klasma.github.io/Logging_1904/knärot/A 23893-2023 karta knärot.png", "A 23893-2023")</f>
        <v/>
      </c>
      <c r="V33">
        <f>HYPERLINK("https://klasma.github.io/Logging_1904/klagomål/A 23893-2023 FSC-klagomål.docx", "A 23893-2023")</f>
        <v/>
      </c>
      <c r="W33">
        <f>HYPERLINK("https://klasma.github.io/Logging_1904/klagomålsmail/A 23893-2023 FSC-klagomål mail.docx", "A 23893-2023")</f>
        <v/>
      </c>
      <c r="X33">
        <f>HYPERLINK("https://klasma.github.io/Logging_1904/tillsyn/A 23893-2023 tillsynsbegäran.docx", "A 23893-2023")</f>
        <v/>
      </c>
      <c r="Y33">
        <f>HYPERLINK("https://klasma.github.io/Logging_1904/tillsynsmail/A 23893-2023 tillsynsbegäran mail.docx", "A 23893-2023")</f>
        <v/>
      </c>
    </row>
    <row r="34" ht="15" customHeight="1">
      <c r="A34" t="inlineStr">
        <is>
          <t>A 38712-2023</t>
        </is>
      </c>
      <c r="B34" s="1" t="n">
        <v>45163</v>
      </c>
      <c r="C34" s="1" t="n">
        <v>45821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HYPERLINK("https://klasma.github.io/Logging_1904/artfynd/A 38712-2023 artfynd.xlsx", "A 38712-2023")</f>
        <v/>
      </c>
      <c r="T34">
        <f>HYPERLINK("https://klasma.github.io/Logging_1904/kartor/A 38712-2023 karta.png", "A 38712-2023")</f>
        <v/>
      </c>
      <c r="V34">
        <f>HYPERLINK("https://klasma.github.io/Logging_1904/klagomål/A 38712-2023 FSC-klagomål.docx", "A 38712-2023")</f>
        <v/>
      </c>
      <c r="W34">
        <f>HYPERLINK("https://klasma.github.io/Logging_1904/klagomålsmail/A 38712-2023 FSC-klagomål mail.docx", "A 38712-2023")</f>
        <v/>
      </c>
      <c r="X34">
        <f>HYPERLINK("https://klasma.github.io/Logging_1904/tillsyn/A 38712-2023 tillsynsbegäran.docx", "A 38712-2023")</f>
        <v/>
      </c>
      <c r="Y34">
        <f>HYPERLINK("https://klasma.github.io/Logging_1904/tillsynsmail/A 38712-2023 tillsynsbegäran mail.docx", "A 38712-2023")</f>
        <v/>
      </c>
    </row>
    <row r="35" ht="15" customHeight="1">
      <c r="A35" t="inlineStr">
        <is>
          <t>A 45374-2023</t>
        </is>
      </c>
      <c r="B35" s="1" t="n">
        <v>45193</v>
      </c>
      <c r="C35" s="1" t="n">
        <v>45821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Purpurmylia</t>
        </is>
      </c>
      <c r="S35">
        <f>HYPERLINK("https://klasma.github.io/Logging_1904/artfynd/A 45374-2023 artfynd.xlsx", "A 45374-2023")</f>
        <v/>
      </c>
      <c r="T35">
        <f>HYPERLINK("https://klasma.github.io/Logging_1904/kartor/A 45374-2023 karta.png", "A 45374-2023")</f>
        <v/>
      </c>
      <c r="V35">
        <f>HYPERLINK("https://klasma.github.io/Logging_1904/klagomål/A 45374-2023 FSC-klagomål.docx", "A 45374-2023")</f>
        <v/>
      </c>
      <c r="W35">
        <f>HYPERLINK("https://klasma.github.io/Logging_1904/klagomålsmail/A 45374-2023 FSC-klagomål mail.docx", "A 45374-2023")</f>
        <v/>
      </c>
      <c r="X35">
        <f>HYPERLINK("https://klasma.github.io/Logging_1904/tillsyn/A 45374-2023 tillsynsbegäran.docx", "A 45374-2023")</f>
        <v/>
      </c>
      <c r="Y35">
        <f>HYPERLINK("https://klasma.github.io/Logging_1904/tillsynsmail/A 45374-2023 tillsynsbegäran mail.docx", "A 45374-2023")</f>
        <v/>
      </c>
    </row>
    <row r="36" ht="15" customHeight="1">
      <c r="A36" t="inlineStr">
        <is>
          <t>A 12887-2024</t>
        </is>
      </c>
      <c r="B36" s="1" t="n">
        <v>45385</v>
      </c>
      <c r="C36" s="1" t="n">
        <v>45821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6.5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Sparvuggla</t>
        </is>
      </c>
      <c r="S36">
        <f>HYPERLINK("https://klasma.github.io/Logging_1904/artfynd/A 12887-2024 artfynd.xlsx", "A 12887-2024")</f>
        <v/>
      </c>
      <c r="T36">
        <f>HYPERLINK("https://klasma.github.io/Logging_1904/kartor/A 12887-2024 karta.png", "A 12887-2024")</f>
        <v/>
      </c>
      <c r="V36">
        <f>HYPERLINK("https://klasma.github.io/Logging_1904/klagomål/A 12887-2024 FSC-klagomål.docx", "A 12887-2024")</f>
        <v/>
      </c>
      <c r="W36">
        <f>HYPERLINK("https://klasma.github.io/Logging_1904/klagomålsmail/A 12887-2024 FSC-klagomål mail.docx", "A 12887-2024")</f>
        <v/>
      </c>
      <c r="X36">
        <f>HYPERLINK("https://klasma.github.io/Logging_1904/tillsyn/A 12887-2024 tillsynsbegäran.docx", "A 12887-2024")</f>
        <v/>
      </c>
      <c r="Y36">
        <f>HYPERLINK("https://klasma.github.io/Logging_1904/tillsynsmail/A 12887-2024 tillsynsbegäran mail.docx", "A 12887-2024")</f>
        <v/>
      </c>
      <c r="Z36">
        <f>HYPERLINK("https://klasma.github.io/Logging_1904/fåglar/A 12887-2024 prioriterade fågelarter.docx", "A 12887-2024")</f>
        <v/>
      </c>
    </row>
    <row r="37" ht="15" customHeight="1">
      <c r="A37" t="inlineStr">
        <is>
          <t>A 16524-2024</t>
        </is>
      </c>
      <c r="B37" s="1" t="n">
        <v>45408</v>
      </c>
      <c r="C37" s="1" t="n">
        <v>45821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HYPERLINK("https://klasma.github.io/Logging_1904/artfynd/A 16524-2024 artfynd.xlsx", "A 16524-2024")</f>
        <v/>
      </c>
      <c r="T37">
        <f>HYPERLINK("https://klasma.github.io/Logging_1904/kartor/A 16524-2024 karta.png", "A 16524-2024")</f>
        <v/>
      </c>
      <c r="V37">
        <f>HYPERLINK("https://klasma.github.io/Logging_1904/klagomål/A 16524-2024 FSC-klagomål.docx", "A 16524-2024")</f>
        <v/>
      </c>
      <c r="W37">
        <f>HYPERLINK("https://klasma.github.io/Logging_1904/klagomålsmail/A 16524-2024 FSC-klagomål mail.docx", "A 16524-2024")</f>
        <v/>
      </c>
      <c r="X37">
        <f>HYPERLINK("https://klasma.github.io/Logging_1904/tillsyn/A 16524-2024 tillsynsbegäran.docx", "A 16524-2024")</f>
        <v/>
      </c>
      <c r="Y37">
        <f>HYPERLINK("https://klasma.github.io/Logging_1904/tillsynsmail/A 16524-2024 tillsynsbegäran mail.docx", "A 16524-2024")</f>
        <v/>
      </c>
    </row>
    <row r="38" ht="15" customHeight="1">
      <c r="A38" t="inlineStr">
        <is>
          <t>A 17381-2024</t>
        </is>
      </c>
      <c r="B38" s="1" t="n">
        <v>45414</v>
      </c>
      <c r="C38" s="1" t="n">
        <v>45821</v>
      </c>
      <c r="D38" t="inlineStr">
        <is>
          <t>VÄSTMANLANDS LÄN</t>
        </is>
      </c>
      <c r="E38" t="inlineStr">
        <is>
          <t>SKINNSKATTEBERG</t>
        </is>
      </c>
      <c r="G38" t="n">
        <v>4.4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HYPERLINK("https://klasma.github.io/Logging_1904/artfynd/A 17381-2024 artfynd.xlsx", "A 17381-2024")</f>
        <v/>
      </c>
      <c r="T38">
        <f>HYPERLINK("https://klasma.github.io/Logging_1904/kartor/A 17381-2024 karta.png", "A 17381-2024")</f>
        <v/>
      </c>
      <c r="V38">
        <f>HYPERLINK("https://klasma.github.io/Logging_1904/klagomål/A 17381-2024 FSC-klagomål.docx", "A 17381-2024")</f>
        <v/>
      </c>
      <c r="W38">
        <f>HYPERLINK("https://klasma.github.io/Logging_1904/klagomålsmail/A 17381-2024 FSC-klagomål mail.docx", "A 17381-2024")</f>
        <v/>
      </c>
      <c r="X38">
        <f>HYPERLINK("https://klasma.github.io/Logging_1904/tillsyn/A 17381-2024 tillsynsbegäran.docx", "A 17381-2024")</f>
        <v/>
      </c>
      <c r="Y38">
        <f>HYPERLINK("https://klasma.github.io/Logging_1904/tillsynsmail/A 17381-2024 tillsynsbegäran mail.docx", "A 17381-2024")</f>
        <v/>
      </c>
    </row>
    <row r="39" ht="15" customHeight="1">
      <c r="A39" t="inlineStr">
        <is>
          <t>A 19201-2024</t>
        </is>
      </c>
      <c r="B39" s="1" t="n">
        <v>45428</v>
      </c>
      <c r="C39" s="1" t="n">
        <v>45821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2.3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HYPERLINK("https://klasma.github.io/Logging_1904/artfynd/A 19201-2024 artfynd.xlsx", "A 19201-2024")</f>
        <v/>
      </c>
      <c r="T39">
        <f>HYPERLINK("https://klasma.github.io/Logging_1904/kartor/A 19201-2024 karta.png", "A 19201-2024")</f>
        <v/>
      </c>
      <c r="V39">
        <f>HYPERLINK("https://klasma.github.io/Logging_1904/klagomål/A 19201-2024 FSC-klagomål.docx", "A 19201-2024")</f>
        <v/>
      </c>
      <c r="W39">
        <f>HYPERLINK("https://klasma.github.io/Logging_1904/klagomålsmail/A 19201-2024 FSC-klagomål mail.docx", "A 19201-2024")</f>
        <v/>
      </c>
      <c r="X39">
        <f>HYPERLINK("https://klasma.github.io/Logging_1904/tillsyn/A 19201-2024 tillsynsbegäran.docx", "A 19201-2024")</f>
        <v/>
      </c>
      <c r="Y39">
        <f>HYPERLINK("https://klasma.github.io/Logging_1904/tillsynsmail/A 19201-2024 tillsynsbegäran mail.docx", "A 19201-2024")</f>
        <v/>
      </c>
      <c r="Z39">
        <f>HYPERLINK("https://klasma.github.io/Logging_1904/fåglar/A 19201-2024 prioriterade fågelarter.docx", "A 19201-2024")</f>
        <v/>
      </c>
    </row>
    <row r="40" ht="15" customHeight="1">
      <c r="A40" t="inlineStr">
        <is>
          <t>A 21574-2024</t>
        </is>
      </c>
      <c r="B40" s="1" t="n">
        <v>45441</v>
      </c>
      <c r="C40" s="1" t="n">
        <v>45821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Vedskivlav</t>
        </is>
      </c>
      <c r="S40">
        <f>HYPERLINK("https://klasma.github.io/Logging_1904/artfynd/A 21574-2024 artfynd.xlsx", "A 21574-2024")</f>
        <v/>
      </c>
      <c r="T40">
        <f>HYPERLINK("https://klasma.github.io/Logging_1904/kartor/A 21574-2024 karta.png", "A 21574-2024")</f>
        <v/>
      </c>
      <c r="V40">
        <f>HYPERLINK("https://klasma.github.io/Logging_1904/klagomål/A 21574-2024 FSC-klagomål.docx", "A 21574-2024")</f>
        <v/>
      </c>
      <c r="W40">
        <f>HYPERLINK("https://klasma.github.io/Logging_1904/klagomålsmail/A 21574-2024 FSC-klagomål mail.docx", "A 21574-2024")</f>
        <v/>
      </c>
      <c r="X40">
        <f>HYPERLINK("https://klasma.github.io/Logging_1904/tillsyn/A 21574-2024 tillsynsbegäran.docx", "A 21574-2024")</f>
        <v/>
      </c>
      <c r="Y40">
        <f>HYPERLINK("https://klasma.github.io/Logging_1904/tillsynsmail/A 21574-2024 tillsynsbegäran mail.docx", "A 21574-2024")</f>
        <v/>
      </c>
    </row>
    <row r="41" ht="15" customHeight="1">
      <c r="A41" t="inlineStr">
        <is>
          <t>A 24133-2024</t>
        </is>
      </c>
      <c r="B41" s="1" t="n">
        <v>45456</v>
      </c>
      <c r="C41" s="1" t="n">
        <v>45821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4.2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HYPERLINK("https://klasma.github.io/Logging_1904/artfynd/A 24133-2024 artfynd.xlsx", "A 24133-2024")</f>
        <v/>
      </c>
      <c r="T41">
        <f>HYPERLINK("https://klasma.github.io/Logging_1904/kartor/A 24133-2024 karta.png", "A 24133-2024")</f>
        <v/>
      </c>
      <c r="V41">
        <f>HYPERLINK("https://klasma.github.io/Logging_1904/klagomål/A 24133-2024 FSC-klagomål.docx", "A 24133-2024")</f>
        <v/>
      </c>
      <c r="W41">
        <f>HYPERLINK("https://klasma.github.io/Logging_1904/klagomålsmail/A 24133-2024 FSC-klagomål mail.docx", "A 24133-2024")</f>
        <v/>
      </c>
      <c r="X41">
        <f>HYPERLINK("https://klasma.github.io/Logging_1904/tillsyn/A 24133-2024 tillsynsbegäran.docx", "A 24133-2024")</f>
        <v/>
      </c>
      <c r="Y41">
        <f>HYPERLINK("https://klasma.github.io/Logging_1904/tillsynsmail/A 24133-2024 tillsynsbegäran mail.docx", "A 24133-2024")</f>
        <v/>
      </c>
      <c r="Z41">
        <f>HYPERLINK("https://klasma.github.io/Logging_1904/fåglar/A 24133-2024 prioriterade fågelarter.docx", "A 24133-2024")</f>
        <v/>
      </c>
    </row>
    <row r="42" ht="15" customHeight="1">
      <c r="A42" t="inlineStr">
        <is>
          <t>A 36596-2024</t>
        </is>
      </c>
      <c r="B42" s="1" t="n">
        <v>45537</v>
      </c>
      <c r="C42" s="1" t="n">
        <v>45821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Lakritsmusseron</t>
        </is>
      </c>
      <c r="S42">
        <f>HYPERLINK("https://klasma.github.io/Logging_1904/artfynd/A 36596-2024 artfynd.xlsx", "A 36596-2024")</f>
        <v/>
      </c>
      <c r="T42">
        <f>HYPERLINK("https://klasma.github.io/Logging_1904/kartor/A 36596-2024 karta.png", "A 36596-2024")</f>
        <v/>
      </c>
      <c r="V42">
        <f>HYPERLINK("https://klasma.github.io/Logging_1904/klagomål/A 36596-2024 FSC-klagomål.docx", "A 36596-2024")</f>
        <v/>
      </c>
      <c r="W42">
        <f>HYPERLINK("https://klasma.github.io/Logging_1904/klagomålsmail/A 36596-2024 FSC-klagomål mail.docx", "A 36596-2024")</f>
        <v/>
      </c>
      <c r="X42">
        <f>HYPERLINK("https://klasma.github.io/Logging_1904/tillsyn/A 36596-2024 tillsynsbegäran.docx", "A 36596-2024")</f>
        <v/>
      </c>
      <c r="Y42">
        <f>HYPERLINK("https://klasma.github.io/Logging_1904/tillsynsmail/A 36596-2024 tillsynsbegäran mail.docx", "A 36596-2024")</f>
        <v/>
      </c>
    </row>
    <row r="43" ht="15" customHeight="1">
      <c r="A43" t="inlineStr">
        <is>
          <t>A 36595-2024</t>
        </is>
      </c>
      <c r="B43" s="1" t="n">
        <v>45537</v>
      </c>
      <c r="C43" s="1" t="n">
        <v>45821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Lammticka</t>
        </is>
      </c>
      <c r="S43">
        <f>HYPERLINK("https://klasma.github.io/Logging_1904/artfynd/A 36595-2024 artfynd.xlsx", "A 36595-2024")</f>
        <v/>
      </c>
      <c r="T43">
        <f>HYPERLINK("https://klasma.github.io/Logging_1904/kartor/A 36595-2024 karta.png", "A 36595-2024")</f>
        <v/>
      </c>
      <c r="U43">
        <f>HYPERLINK("https://klasma.github.io/Logging_1904/knärot/A 36595-2024 karta knärot.png", "A 36595-2024")</f>
        <v/>
      </c>
      <c r="V43">
        <f>HYPERLINK("https://klasma.github.io/Logging_1904/klagomål/A 36595-2024 FSC-klagomål.docx", "A 36595-2024")</f>
        <v/>
      </c>
      <c r="W43">
        <f>HYPERLINK("https://klasma.github.io/Logging_1904/klagomålsmail/A 36595-2024 FSC-klagomål mail.docx", "A 36595-2024")</f>
        <v/>
      </c>
      <c r="X43">
        <f>HYPERLINK("https://klasma.github.io/Logging_1904/tillsyn/A 36595-2024 tillsynsbegäran.docx", "A 36595-2024")</f>
        <v/>
      </c>
      <c r="Y43">
        <f>HYPERLINK("https://klasma.github.io/Logging_1904/tillsynsmail/A 36595-2024 tillsynsbegäran mail.docx", "A 36595-2024")</f>
        <v/>
      </c>
    </row>
    <row r="44" ht="15" customHeight="1">
      <c r="A44" t="inlineStr">
        <is>
          <t>A 43413-2024</t>
        </is>
      </c>
      <c r="B44" s="1" t="n">
        <v>45568</v>
      </c>
      <c r="C44" s="1" t="n">
        <v>45821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Orange taggsvamp</t>
        </is>
      </c>
      <c r="S44">
        <f>HYPERLINK("https://klasma.github.io/Logging_1904/artfynd/A 43413-2024 artfynd.xlsx", "A 43413-2024")</f>
        <v/>
      </c>
      <c r="T44">
        <f>HYPERLINK("https://klasma.github.io/Logging_1904/kartor/A 43413-2024 karta.png", "A 43413-2024")</f>
        <v/>
      </c>
      <c r="V44">
        <f>HYPERLINK("https://klasma.github.io/Logging_1904/klagomål/A 43413-2024 FSC-klagomål.docx", "A 43413-2024")</f>
        <v/>
      </c>
      <c r="W44">
        <f>HYPERLINK("https://klasma.github.io/Logging_1904/klagomålsmail/A 43413-2024 FSC-klagomål mail.docx", "A 43413-2024")</f>
        <v/>
      </c>
      <c r="X44">
        <f>HYPERLINK("https://klasma.github.io/Logging_1904/tillsyn/A 43413-2024 tillsynsbegäran.docx", "A 43413-2024")</f>
        <v/>
      </c>
      <c r="Y44">
        <f>HYPERLINK("https://klasma.github.io/Logging_1904/tillsynsmail/A 43413-2024 tillsynsbegäran mail.docx", "A 43413-2024")</f>
        <v/>
      </c>
    </row>
    <row r="45" ht="15" customHeight="1">
      <c r="A45" t="inlineStr">
        <is>
          <t>A 49630-2024</t>
        </is>
      </c>
      <c r="B45" s="1" t="n">
        <v>45596</v>
      </c>
      <c r="C45" s="1" t="n">
        <v>45821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7.3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HYPERLINK("https://klasma.github.io/Logging_1904/artfynd/A 49630-2024 artfynd.xlsx", "A 49630-2024")</f>
        <v/>
      </c>
      <c r="T45">
        <f>HYPERLINK("https://klasma.github.io/Logging_1904/kartor/A 49630-2024 karta.png", "A 49630-2024")</f>
        <v/>
      </c>
      <c r="V45">
        <f>HYPERLINK("https://klasma.github.io/Logging_1904/klagomål/A 49630-2024 FSC-klagomål.docx", "A 49630-2024")</f>
        <v/>
      </c>
      <c r="W45">
        <f>HYPERLINK("https://klasma.github.io/Logging_1904/klagomålsmail/A 49630-2024 FSC-klagomål mail.docx", "A 49630-2024")</f>
        <v/>
      </c>
      <c r="X45">
        <f>HYPERLINK("https://klasma.github.io/Logging_1904/tillsyn/A 49630-2024 tillsynsbegäran.docx", "A 49630-2024")</f>
        <v/>
      </c>
      <c r="Y45">
        <f>HYPERLINK("https://klasma.github.io/Logging_1904/tillsynsmail/A 49630-2024 tillsynsbegäran mail.docx", "A 49630-2024")</f>
        <v/>
      </c>
    </row>
    <row r="46" ht="15" customHeight="1">
      <c r="A46" t="inlineStr">
        <is>
          <t>A 62156-2024</t>
        </is>
      </c>
      <c r="B46" s="1" t="n">
        <v>45656</v>
      </c>
      <c r="C46" s="1" t="n">
        <v>45821</v>
      </c>
      <c r="D46" t="inlineStr">
        <is>
          <t>VÄSTMANLANDS LÄN</t>
        </is>
      </c>
      <c r="E46" t="inlineStr">
        <is>
          <t>SKINNSKATTEBERG</t>
        </is>
      </c>
      <c r="G46" t="n">
        <v>11.5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HYPERLINK("https://klasma.github.io/Logging_1904/artfynd/A 62156-2024 artfynd.xlsx", "A 62156-2024")</f>
        <v/>
      </c>
      <c r="T46">
        <f>HYPERLINK("https://klasma.github.io/Logging_1904/kartor/A 62156-2024 karta.png", "A 62156-2024")</f>
        <v/>
      </c>
      <c r="V46">
        <f>HYPERLINK("https://klasma.github.io/Logging_1904/klagomål/A 62156-2024 FSC-klagomål.docx", "A 62156-2024")</f>
        <v/>
      </c>
      <c r="W46">
        <f>HYPERLINK("https://klasma.github.io/Logging_1904/klagomålsmail/A 62156-2024 FSC-klagomål mail.docx", "A 62156-2024")</f>
        <v/>
      </c>
      <c r="X46">
        <f>HYPERLINK("https://klasma.github.io/Logging_1904/tillsyn/A 62156-2024 tillsynsbegäran.docx", "A 62156-2024")</f>
        <v/>
      </c>
      <c r="Y46">
        <f>HYPERLINK("https://klasma.github.io/Logging_1904/tillsynsmail/A 62156-2024 tillsynsbegäran mail.docx", "A 62156-2024")</f>
        <v/>
      </c>
    </row>
    <row r="47" ht="15" customHeight="1">
      <c r="A47" t="inlineStr">
        <is>
          <t>A 17298-2025</t>
        </is>
      </c>
      <c r="B47" s="1" t="n">
        <v>45756</v>
      </c>
      <c r="C47" s="1" t="n">
        <v>45821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Toppvaxing</t>
        </is>
      </c>
      <c r="S47">
        <f>HYPERLINK("https://klasma.github.io/Logging_191904/artfynd/A 17298-2025 artfynd.xlsx", "A 17298-2025")</f>
        <v/>
      </c>
      <c r="T47">
        <f>HYPERLINK("https://klasma.github.io/Logging_191904/kartor/A 17298-2025 karta.png", "A 17298-2025")</f>
        <v/>
      </c>
      <c r="V47">
        <f>HYPERLINK("https://klasma.github.io/Logging_191904/klagomål/A 17298-2025 FSC-klagomål.docx", "A 17298-2025")</f>
        <v/>
      </c>
      <c r="W47">
        <f>HYPERLINK("https://klasma.github.io/Logging_191904/klagomålsmail/A 17298-2025 FSC-klagomål mail.docx", "A 17298-2025")</f>
        <v/>
      </c>
      <c r="X47">
        <f>HYPERLINK("https://klasma.github.io/Logging_191904/tillsyn/A 17298-2025 tillsynsbegäran.docx", "A 17298-2025")</f>
        <v/>
      </c>
      <c r="Y47">
        <f>HYPERLINK("https://klasma.github.io/Logging_191904/tillsynsmail/A 17298-2025 tillsynsbegäran mail.docx", "A 17298-2025")</f>
        <v/>
      </c>
    </row>
    <row r="48" ht="15" customHeight="1">
      <c r="A48" t="inlineStr">
        <is>
          <t>A 23574-2025</t>
        </is>
      </c>
      <c r="B48" s="1" t="n">
        <v>45792</v>
      </c>
      <c r="C48" s="1" t="n">
        <v>45821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5.4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HYPERLINK("https://klasma.github.io/Logging_191904/artfynd/A 23574-2025 artfynd.xlsx", "A 23574-2025")</f>
        <v/>
      </c>
      <c r="T48">
        <f>HYPERLINK("https://klasma.github.io/Logging_191904/kartor/A 23574-2025 karta.png", "A 23574-2025")</f>
        <v/>
      </c>
      <c r="V48">
        <f>HYPERLINK("https://klasma.github.io/Logging_191904/klagomål/A 23574-2025 FSC-klagomål.docx", "A 23574-2025")</f>
        <v/>
      </c>
      <c r="W48">
        <f>HYPERLINK("https://klasma.github.io/Logging_191904/klagomålsmail/A 23574-2025 FSC-klagomål mail.docx", "A 23574-2025")</f>
        <v/>
      </c>
      <c r="X48">
        <f>HYPERLINK("https://klasma.github.io/Logging_191904/tillsyn/A 23574-2025 tillsynsbegäran.docx", "A 23574-2025")</f>
        <v/>
      </c>
      <c r="Y48">
        <f>HYPERLINK("https://klasma.github.io/Logging_191904/tillsynsmail/A 23574-2025 tillsynsbegäran mail.docx", "A 23574-2025")</f>
        <v/>
      </c>
    </row>
    <row r="49" ht="15" customHeight="1">
      <c r="A49" t="inlineStr">
        <is>
          <t>A 20254-2019</t>
        </is>
      </c>
      <c r="B49" s="1" t="n">
        <v>43571</v>
      </c>
      <c r="C49" s="1" t="n">
        <v>45821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21997-2019</t>
        </is>
      </c>
      <c r="B50" s="1" t="n">
        <v>43584</v>
      </c>
      <c r="C50" s="1" t="n">
        <v>45821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23090-2019</t>
        </is>
      </c>
      <c r="B51" s="1" t="n">
        <v>43592</v>
      </c>
      <c r="C51" s="1" t="n">
        <v>45821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23433-2019</t>
        </is>
      </c>
      <c r="B52" s="1" t="n">
        <v>43593</v>
      </c>
      <c r="C52" s="1" t="n">
        <v>45821</v>
      </c>
      <c r="D52" t="inlineStr">
        <is>
          <t>VÄSTMANLANDS LÄN</t>
        </is>
      </c>
      <c r="E52" t="inlineStr">
        <is>
          <t>SKINNSKATTEBERG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24383-2019</t>
        </is>
      </c>
      <c r="B53" s="1" t="n">
        <v>43599</v>
      </c>
      <c r="C53" s="1" t="n">
        <v>45821</v>
      </c>
      <c r="D53" t="inlineStr">
        <is>
          <t>VÄSTMANLANDS LÄN</t>
        </is>
      </c>
      <c r="E53" t="inlineStr">
        <is>
          <t>SKINNSKATTEBERG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24539-2019</t>
        </is>
      </c>
      <c r="B54" s="1" t="n">
        <v>43600</v>
      </c>
      <c r="C54" s="1" t="n">
        <v>45821</v>
      </c>
      <c r="D54" t="inlineStr">
        <is>
          <t>VÄSTMANLANDS LÄN</t>
        </is>
      </c>
      <c r="E54" t="inlineStr">
        <is>
          <t>SKINNSKATTEBERG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24985-2019</t>
        </is>
      </c>
      <c r="B55" s="1" t="n">
        <v>43602</v>
      </c>
      <c r="C55" s="1" t="n">
        <v>45821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24978-2019</t>
        </is>
      </c>
      <c r="B56" s="1" t="n">
        <v>43602</v>
      </c>
      <c r="C56" s="1" t="n">
        <v>45821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24882-2019</t>
        </is>
      </c>
      <c r="B57" s="1" t="n">
        <v>43602</v>
      </c>
      <c r="C57" s="1" t="n">
        <v>45821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24892-2019</t>
        </is>
      </c>
      <c r="B58" s="1" t="n">
        <v>43602</v>
      </c>
      <c r="C58" s="1" t="n">
        <v>45821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25324-2019</t>
        </is>
      </c>
      <c r="B59" s="1" t="n">
        <v>43606</v>
      </c>
      <c r="C59" s="1" t="n">
        <v>45821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25743-2019</t>
        </is>
      </c>
      <c r="B60" s="1" t="n">
        <v>43608</v>
      </c>
      <c r="C60" s="1" t="n">
        <v>45821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26467-2019</t>
        </is>
      </c>
      <c r="B61" s="1" t="n">
        <v>43612</v>
      </c>
      <c r="C61" s="1" t="n">
        <v>45821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26472-2019</t>
        </is>
      </c>
      <c r="B62" s="1" t="n">
        <v>43612</v>
      </c>
      <c r="C62" s="1" t="n">
        <v>45821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27093-2019</t>
        </is>
      </c>
      <c r="B63" s="1" t="n">
        <v>43614</v>
      </c>
      <c r="C63" s="1" t="n">
        <v>45821</v>
      </c>
      <c r="D63" t="inlineStr">
        <is>
          <t>VÄSTMANLANDS LÄN</t>
        </is>
      </c>
      <c r="E63" t="inlineStr">
        <is>
          <t>SKINNSKATTEBERG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27472-2019</t>
        </is>
      </c>
      <c r="B64" s="1" t="n">
        <v>43619</v>
      </c>
      <c r="C64" s="1" t="n">
        <v>45821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27832-2019</t>
        </is>
      </c>
      <c r="B65" s="1" t="n">
        <v>43620</v>
      </c>
      <c r="C65" s="1" t="n">
        <v>45821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29418-2019</t>
        </is>
      </c>
      <c r="B66" s="1" t="n">
        <v>43629</v>
      </c>
      <c r="C66" s="1" t="n">
        <v>45821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30161-2019</t>
        </is>
      </c>
      <c r="B67" s="1" t="n">
        <v>43634</v>
      </c>
      <c r="C67" s="1" t="n">
        <v>45821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31725-2019</t>
        </is>
      </c>
      <c r="B68" s="1" t="n">
        <v>43642</v>
      </c>
      <c r="C68" s="1" t="n">
        <v>45821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31721-2019</t>
        </is>
      </c>
      <c r="B69" s="1" t="n">
        <v>43642</v>
      </c>
      <c r="C69" s="1" t="n">
        <v>45821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31643-2019</t>
        </is>
      </c>
      <c r="B70" s="1" t="n">
        <v>43642</v>
      </c>
      <c r="C70" s="1" t="n">
        <v>45821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32430-2019</t>
        </is>
      </c>
      <c r="B71" s="1" t="n">
        <v>43644</v>
      </c>
      <c r="C71" s="1" t="n">
        <v>45821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34565-2019</t>
        </is>
      </c>
      <c r="B72" s="1" t="n">
        <v>43647</v>
      </c>
      <c r="C72" s="1" t="n">
        <v>45821</v>
      </c>
      <c r="D72" t="inlineStr">
        <is>
          <t>VÄSTMANLANDS LÄN</t>
        </is>
      </c>
      <c r="E72" t="inlineStr">
        <is>
          <t>SKINNSKATTEBERG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32850-2019</t>
        </is>
      </c>
      <c r="B73" s="1" t="n">
        <v>43648</v>
      </c>
      <c r="C73" s="1" t="n">
        <v>45821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32856-2019</t>
        </is>
      </c>
      <c r="B74" s="1" t="n">
        <v>43648</v>
      </c>
      <c r="C74" s="1" t="n">
        <v>45821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33647-2019</t>
        </is>
      </c>
      <c r="B75" s="1" t="n">
        <v>43651</v>
      </c>
      <c r="C75" s="1" t="n">
        <v>45821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33581-2019</t>
        </is>
      </c>
      <c r="B76" s="1" t="n">
        <v>43651</v>
      </c>
      <c r="C76" s="1" t="n">
        <v>45821</v>
      </c>
      <c r="D76" t="inlineStr">
        <is>
          <t>VÄSTMANLANDS LÄN</t>
        </is>
      </c>
      <c r="E76" t="inlineStr">
        <is>
          <t>SKINNSKATTEBERG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38158-2019</t>
        </is>
      </c>
      <c r="B77" s="1" t="n">
        <v>43683</v>
      </c>
      <c r="C77" s="1" t="n">
        <v>45821</v>
      </c>
      <c r="D77" t="inlineStr">
        <is>
          <t>VÄSTMANLANDS LÄN</t>
        </is>
      </c>
      <c r="E77" t="inlineStr">
        <is>
          <t>SKINNSKATTEBERG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38087-2019</t>
        </is>
      </c>
      <c r="B78" s="1" t="n">
        <v>43683</v>
      </c>
      <c r="C78" s="1" t="n">
        <v>45821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Kyrkan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40439-2019</t>
        </is>
      </c>
      <c r="B79" s="1" t="n">
        <v>43696</v>
      </c>
      <c r="C79" s="1" t="n">
        <v>45821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40598-2019</t>
        </is>
      </c>
      <c r="B80" s="1" t="n">
        <v>43696</v>
      </c>
      <c r="C80" s="1" t="n">
        <v>45821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41300-2019</t>
        </is>
      </c>
      <c r="B81" s="1" t="n">
        <v>43698</v>
      </c>
      <c r="C81" s="1" t="n">
        <v>45821</v>
      </c>
      <c r="D81" t="inlineStr">
        <is>
          <t>VÄSTMANLANDS LÄN</t>
        </is>
      </c>
      <c r="E81" t="inlineStr">
        <is>
          <t>SKINNSKATTEBERG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41630-2019</t>
        </is>
      </c>
      <c r="B82" s="1" t="n">
        <v>43699</v>
      </c>
      <c r="C82" s="1" t="n">
        <v>45821</v>
      </c>
      <c r="D82" t="inlineStr">
        <is>
          <t>VÄSTMANLANDS LÄN</t>
        </is>
      </c>
      <c r="E82" t="inlineStr">
        <is>
          <t>SKINNSKATTEBERG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43866-2019</t>
        </is>
      </c>
      <c r="B83" s="1" t="n">
        <v>43707</v>
      </c>
      <c r="C83" s="1" t="n">
        <v>45821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43865-2019</t>
        </is>
      </c>
      <c r="B84" s="1" t="n">
        <v>43707</v>
      </c>
      <c r="C84" s="1" t="n">
        <v>45821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46523-2019</t>
        </is>
      </c>
      <c r="B85" s="1" t="n">
        <v>43719</v>
      </c>
      <c r="C85" s="1" t="n">
        <v>45821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46586-2019</t>
        </is>
      </c>
      <c r="B86" s="1" t="n">
        <v>43719</v>
      </c>
      <c r="C86" s="1" t="n">
        <v>45821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46588-2019</t>
        </is>
      </c>
      <c r="B87" s="1" t="n">
        <v>43719</v>
      </c>
      <c r="C87" s="1" t="n">
        <v>45821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46591-2019</t>
        </is>
      </c>
      <c r="B88" s="1" t="n">
        <v>43719</v>
      </c>
      <c r="C88" s="1" t="n">
        <v>45821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47351-2019</t>
        </is>
      </c>
      <c r="B89" s="1" t="n">
        <v>43721</v>
      </c>
      <c r="C89" s="1" t="n">
        <v>45821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47354-2019</t>
        </is>
      </c>
      <c r="B90" s="1" t="n">
        <v>43721</v>
      </c>
      <c r="C90" s="1" t="n">
        <v>45821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47465-2019</t>
        </is>
      </c>
      <c r="B91" s="1" t="n">
        <v>43724</v>
      </c>
      <c r="C91" s="1" t="n">
        <v>45821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47500-2019</t>
        </is>
      </c>
      <c r="B92" s="1" t="n">
        <v>43724</v>
      </c>
      <c r="C92" s="1" t="n">
        <v>45821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48451-2019</t>
        </is>
      </c>
      <c r="B93" s="1" t="n">
        <v>43727</v>
      </c>
      <c r="C93" s="1" t="n">
        <v>45821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49138-2019</t>
        </is>
      </c>
      <c r="B94" s="1" t="n">
        <v>43731</v>
      </c>
      <c r="C94" s="1" t="n">
        <v>45821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49409-2019</t>
        </is>
      </c>
      <c r="B95" s="1" t="n">
        <v>43732</v>
      </c>
      <c r="C95" s="1" t="n">
        <v>45821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50839-2019</t>
        </is>
      </c>
      <c r="B96" s="1" t="n">
        <v>43738</v>
      </c>
      <c r="C96" s="1" t="n">
        <v>45821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50877-2019</t>
        </is>
      </c>
      <c r="B97" s="1" t="n">
        <v>43738</v>
      </c>
      <c r="C97" s="1" t="n">
        <v>45821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51129-2019</t>
        </is>
      </c>
      <c r="B98" s="1" t="n">
        <v>43739</v>
      </c>
      <c r="C98" s="1" t="n">
        <v>45821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51224-2019</t>
        </is>
      </c>
      <c r="B99" s="1" t="n">
        <v>43739</v>
      </c>
      <c r="C99" s="1" t="n">
        <v>45821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52765-2019</t>
        </is>
      </c>
      <c r="B100" s="1" t="n">
        <v>43739</v>
      </c>
      <c r="C100" s="1" t="n">
        <v>45821</v>
      </c>
      <c r="D100" t="inlineStr">
        <is>
          <t>VÄSTMANLANDS LÄN</t>
        </is>
      </c>
      <c r="E100" t="inlineStr">
        <is>
          <t>SKINNSKATTEBERG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51345-2019</t>
        </is>
      </c>
      <c r="B101" s="1" t="n">
        <v>43740</v>
      </c>
      <c r="C101" s="1" t="n">
        <v>45821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52669-2019</t>
        </is>
      </c>
      <c r="B102" s="1" t="n">
        <v>43746</v>
      </c>
      <c r="C102" s="1" t="n">
        <v>45821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53640-2019</t>
        </is>
      </c>
      <c r="B103" s="1" t="n">
        <v>43749</v>
      </c>
      <c r="C103" s="1" t="n">
        <v>45821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53641-2019</t>
        </is>
      </c>
      <c r="B104" s="1" t="n">
        <v>43749</v>
      </c>
      <c r="C104" s="1" t="n">
        <v>45821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53637-2019</t>
        </is>
      </c>
      <c r="B105" s="1" t="n">
        <v>43749</v>
      </c>
      <c r="C105" s="1" t="n">
        <v>45821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54076-2019</t>
        </is>
      </c>
      <c r="B106" s="1" t="n">
        <v>43752</v>
      </c>
      <c r="C106" s="1" t="n">
        <v>45821</v>
      </c>
      <c r="D106" t="inlineStr">
        <is>
          <t>VÄSTMANLANDS LÄN</t>
        </is>
      </c>
      <c r="E106" t="inlineStr">
        <is>
          <t>SKINNSKATTEBERG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55253-2019</t>
        </is>
      </c>
      <c r="B107" s="1" t="n">
        <v>43756</v>
      </c>
      <c r="C107" s="1" t="n">
        <v>45821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55254-2019</t>
        </is>
      </c>
      <c r="B108" s="1" t="n">
        <v>43756</v>
      </c>
      <c r="C108" s="1" t="n">
        <v>45821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59444-2019</t>
        </is>
      </c>
      <c r="B109" s="1" t="n">
        <v>43776</v>
      </c>
      <c r="C109" s="1" t="n">
        <v>45821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59878-2019</t>
        </is>
      </c>
      <c r="B110" s="1" t="n">
        <v>43777</v>
      </c>
      <c r="C110" s="1" t="n">
        <v>45821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59875-2019</t>
        </is>
      </c>
      <c r="B111" s="1" t="n">
        <v>43777</v>
      </c>
      <c r="C111" s="1" t="n">
        <v>45821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61102-2019</t>
        </is>
      </c>
      <c r="B112" s="1" t="n">
        <v>43780</v>
      </c>
      <c r="C112" s="1" t="n">
        <v>45821</v>
      </c>
      <c r="D112" t="inlineStr">
        <is>
          <t>VÄSTMANLANDS LÄN</t>
        </is>
      </c>
      <c r="E112" t="inlineStr">
        <is>
          <t>SKINNSKATTEBERG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61414-2019</t>
        </is>
      </c>
      <c r="B113" s="1" t="n">
        <v>43780</v>
      </c>
      <c r="C113" s="1" t="n">
        <v>45821</v>
      </c>
      <c r="D113" t="inlineStr">
        <is>
          <t>VÄSTMANLANDS LÄN</t>
        </is>
      </c>
      <c r="E113" t="inlineStr">
        <is>
          <t>SKINNSKATTEBERG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60781-2019</t>
        </is>
      </c>
      <c r="B114" s="1" t="n">
        <v>43781</v>
      </c>
      <c r="C114" s="1" t="n">
        <v>45821</v>
      </c>
      <c r="D114" t="inlineStr">
        <is>
          <t>VÄSTMANLANDS LÄN</t>
        </is>
      </c>
      <c r="E114" t="inlineStr">
        <is>
          <t>SKINNSKATTEBERG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61155-2019</t>
        </is>
      </c>
      <c r="B115" s="1" t="n">
        <v>43782</v>
      </c>
      <c r="C115" s="1" t="n">
        <v>45821</v>
      </c>
      <c r="D115" t="inlineStr">
        <is>
          <t>VÄSTMANLANDS LÄN</t>
        </is>
      </c>
      <c r="E115" t="inlineStr">
        <is>
          <t>SKINNSKATTEBERG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61166-2019</t>
        </is>
      </c>
      <c r="B116" s="1" t="n">
        <v>43782</v>
      </c>
      <c r="C116" s="1" t="n">
        <v>45821</v>
      </c>
      <c r="D116" t="inlineStr">
        <is>
          <t>VÄSTMANLANDS LÄN</t>
        </is>
      </c>
      <c r="E116" t="inlineStr">
        <is>
          <t>SKINNSKATTEBERG</t>
        </is>
      </c>
      <c r="G116" t="n">
        <v>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61146-2019</t>
        </is>
      </c>
      <c r="B117" s="1" t="n">
        <v>43782</v>
      </c>
      <c r="C117" s="1" t="n">
        <v>45821</v>
      </c>
      <c r="D117" t="inlineStr">
        <is>
          <t>VÄSTMANLANDS LÄN</t>
        </is>
      </c>
      <c r="E117" t="inlineStr">
        <is>
          <t>SKINNSKATTEBERG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61034-2019</t>
        </is>
      </c>
      <c r="B118" s="1" t="n">
        <v>43782</v>
      </c>
      <c r="C118" s="1" t="n">
        <v>45821</v>
      </c>
      <c r="D118" t="inlineStr">
        <is>
          <t>VÄSTMANLANDS LÄN</t>
        </is>
      </c>
      <c r="E118" t="inlineStr">
        <is>
          <t>SKINNSKATTEBERG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61445-2019</t>
        </is>
      </c>
      <c r="B119" s="1" t="n">
        <v>43783</v>
      </c>
      <c r="C119" s="1" t="n">
        <v>45821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62752-2019</t>
        </is>
      </c>
      <c r="B120" s="1" t="n">
        <v>43790</v>
      </c>
      <c r="C120" s="1" t="n">
        <v>45821</v>
      </c>
      <c r="D120" t="inlineStr">
        <is>
          <t>VÄSTMANLANDS LÄN</t>
        </is>
      </c>
      <c r="E120" t="inlineStr">
        <is>
          <t>SKINNSKATTEBERG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63296-2019</t>
        </is>
      </c>
      <c r="B121" s="1" t="n">
        <v>43794</v>
      </c>
      <c r="C121" s="1" t="n">
        <v>45821</v>
      </c>
      <c r="D121" t="inlineStr">
        <is>
          <t>VÄSTMANLANDS LÄN</t>
        </is>
      </c>
      <c r="E121" t="inlineStr">
        <is>
          <t>SKINNSKATTEBERG</t>
        </is>
      </c>
      <c r="G121" t="n">
        <v>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64512-2019</t>
        </is>
      </c>
      <c r="B122" s="1" t="n">
        <v>43796</v>
      </c>
      <c r="C122" s="1" t="n">
        <v>45821</v>
      </c>
      <c r="D122" t="inlineStr">
        <is>
          <t>VÄSTMANLANDS LÄN</t>
        </is>
      </c>
      <c r="E122" t="inlineStr">
        <is>
          <t>SKINNSKATTEBERG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67284-2019</t>
        </is>
      </c>
      <c r="B123" s="1" t="n">
        <v>43796</v>
      </c>
      <c r="C123" s="1" t="n">
        <v>45821</v>
      </c>
      <c r="D123" t="inlineStr">
        <is>
          <t>VÄSTMANLANDS LÄN</t>
        </is>
      </c>
      <c r="E123" t="inlineStr">
        <is>
          <t>SKINNSKATTEBERG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65950-2019</t>
        </is>
      </c>
      <c r="B124" s="1" t="n">
        <v>43805</v>
      </c>
      <c r="C124" s="1" t="n">
        <v>45821</v>
      </c>
      <c r="D124" t="inlineStr">
        <is>
          <t>VÄSTMANLANDS LÄN</t>
        </is>
      </c>
      <c r="E124" t="inlineStr">
        <is>
          <t>SKINNSKATTEBERG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65955-2019</t>
        </is>
      </c>
      <c r="B125" s="1" t="n">
        <v>43805</v>
      </c>
      <c r="C125" s="1" t="n">
        <v>45821</v>
      </c>
      <c r="D125" t="inlineStr">
        <is>
          <t>VÄSTMANLANDS LÄN</t>
        </is>
      </c>
      <c r="E125" t="inlineStr">
        <is>
          <t>SKINNSKATTEBERG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65953-2019</t>
        </is>
      </c>
      <c r="B126" s="1" t="n">
        <v>43805</v>
      </c>
      <c r="C126" s="1" t="n">
        <v>45821</v>
      </c>
      <c r="D126" t="inlineStr">
        <is>
          <t>VÄSTMANLANDS LÄN</t>
        </is>
      </c>
      <c r="E126" t="inlineStr">
        <is>
          <t>SKINNSKATTEBERG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67357-2019</t>
        </is>
      </c>
      <c r="B127" s="1" t="n">
        <v>43812</v>
      </c>
      <c r="C127" s="1" t="n">
        <v>45821</v>
      </c>
      <c r="D127" t="inlineStr">
        <is>
          <t>VÄSTMANLANDS LÄN</t>
        </is>
      </c>
      <c r="E127" t="inlineStr">
        <is>
          <t>SKINNSKATTEBERG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67602-2019</t>
        </is>
      </c>
      <c r="B128" s="1" t="n">
        <v>43815</v>
      </c>
      <c r="C128" s="1" t="n">
        <v>45821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68366-2019</t>
        </is>
      </c>
      <c r="B129" s="1" t="n">
        <v>43818</v>
      </c>
      <c r="C129" s="1" t="n">
        <v>45821</v>
      </c>
      <c r="D129" t="inlineStr">
        <is>
          <t>VÄSTMANLANDS LÄN</t>
        </is>
      </c>
      <c r="E129" t="inlineStr">
        <is>
          <t>SKINNSKATTEBERG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2429-2020</t>
        </is>
      </c>
      <c r="B130" s="1" t="n">
        <v>43847</v>
      </c>
      <c r="C130" s="1" t="n">
        <v>45821</v>
      </c>
      <c r="D130" t="inlineStr">
        <is>
          <t>VÄSTMANLANDS LÄN</t>
        </is>
      </c>
      <c r="E130" t="inlineStr">
        <is>
          <t>SKINNSKATTEBERG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5110-2020</t>
        </is>
      </c>
      <c r="B131" s="1" t="n">
        <v>43853</v>
      </c>
      <c r="C131" s="1" t="n">
        <v>45821</v>
      </c>
      <c r="D131" t="inlineStr">
        <is>
          <t>VÄSTMANLANDS LÄN</t>
        </is>
      </c>
      <c r="E131" t="inlineStr">
        <is>
          <t>SKINNSKATTEBERG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5551-2020</t>
        </is>
      </c>
      <c r="B132" s="1" t="n">
        <v>43859</v>
      </c>
      <c r="C132" s="1" t="n">
        <v>45821</v>
      </c>
      <c r="D132" t="inlineStr">
        <is>
          <t>VÄSTMANLANDS LÄN</t>
        </is>
      </c>
      <c r="E132" t="inlineStr">
        <is>
          <t>SKINNSKATTEBERG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5560-2020</t>
        </is>
      </c>
      <c r="B133" s="1" t="n">
        <v>43859</v>
      </c>
      <c r="C133" s="1" t="n">
        <v>45821</v>
      </c>
      <c r="D133" t="inlineStr">
        <is>
          <t>VÄSTMANLANDS LÄN</t>
        </is>
      </c>
      <c r="E133" t="inlineStr">
        <is>
          <t>SKINNSKATTEBERG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5554-2020</t>
        </is>
      </c>
      <c r="B134" s="1" t="n">
        <v>43859</v>
      </c>
      <c r="C134" s="1" t="n">
        <v>45821</v>
      </c>
      <c r="D134" t="inlineStr">
        <is>
          <t>VÄSTMANLANDS LÄN</t>
        </is>
      </c>
      <c r="E134" t="inlineStr">
        <is>
          <t>SKINNSKATTEBERG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5561-2020</t>
        </is>
      </c>
      <c r="B135" s="1" t="n">
        <v>43859</v>
      </c>
      <c r="C135" s="1" t="n">
        <v>45821</v>
      </c>
      <c r="D135" t="inlineStr">
        <is>
          <t>VÄSTMANLANDS LÄN</t>
        </is>
      </c>
      <c r="E135" t="inlineStr">
        <is>
          <t>SKINNSKATTEBERG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6330-2020</t>
        </is>
      </c>
      <c r="B136" s="1" t="n">
        <v>43866</v>
      </c>
      <c r="C136" s="1" t="n">
        <v>45821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6327-2020</t>
        </is>
      </c>
      <c r="B137" s="1" t="n">
        <v>43866</v>
      </c>
      <c r="C137" s="1" t="n">
        <v>45821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7269-2020</t>
        </is>
      </c>
      <c r="B138" s="1" t="n">
        <v>43871</v>
      </c>
      <c r="C138" s="1" t="n">
        <v>45821</v>
      </c>
      <c r="D138" t="inlineStr">
        <is>
          <t>VÄSTMANLANDS LÄN</t>
        </is>
      </c>
      <c r="E138" t="inlineStr">
        <is>
          <t>SKINNSKATTEBERG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7797-2020</t>
        </is>
      </c>
      <c r="B139" s="1" t="n">
        <v>43873</v>
      </c>
      <c r="C139" s="1" t="n">
        <v>45821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9896-2020</t>
        </is>
      </c>
      <c r="B140" s="1" t="n">
        <v>43882</v>
      </c>
      <c r="C140" s="1" t="n">
        <v>45821</v>
      </c>
      <c r="D140" t="inlineStr">
        <is>
          <t>VÄSTMANLANDS LÄN</t>
        </is>
      </c>
      <c r="E140" t="inlineStr">
        <is>
          <t>SKINNSKATTEBERG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11912-2020</t>
        </is>
      </c>
      <c r="B141" s="1" t="n">
        <v>43888</v>
      </c>
      <c r="C141" s="1" t="n">
        <v>45821</v>
      </c>
      <c r="D141" t="inlineStr">
        <is>
          <t>VÄSTMANLANDS LÄN</t>
        </is>
      </c>
      <c r="E141" t="inlineStr">
        <is>
          <t>SKINNSKATTEBERG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11551-2020</t>
        </is>
      </c>
      <c r="B142" s="1" t="n">
        <v>43893</v>
      </c>
      <c r="C142" s="1" t="n">
        <v>45821</v>
      </c>
      <c r="D142" t="inlineStr">
        <is>
          <t>VÄSTMANLANDS LÄN</t>
        </is>
      </c>
      <c r="E142" t="inlineStr">
        <is>
          <t>SKINNSKATTEBERG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23108-2020</t>
        </is>
      </c>
      <c r="B143" s="1" t="n">
        <v>43965</v>
      </c>
      <c r="C143" s="1" t="n">
        <v>45821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Kyrkan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25416-2020</t>
        </is>
      </c>
      <c r="B144" s="1" t="n">
        <v>43982</v>
      </c>
      <c r="C144" s="1" t="n">
        <v>45821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25477-2020</t>
        </is>
      </c>
      <c r="B145" s="1" t="n">
        <v>43983</v>
      </c>
      <c r="C145" s="1" t="n">
        <v>45821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26221-2020</t>
        </is>
      </c>
      <c r="B146" s="1" t="n">
        <v>43986</v>
      </c>
      <c r="C146" s="1" t="n">
        <v>45821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Kyrkan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26455-2020</t>
        </is>
      </c>
      <c r="B147" s="1" t="n">
        <v>43987</v>
      </c>
      <c r="C147" s="1" t="n">
        <v>45821</v>
      </c>
      <c r="D147" t="inlineStr">
        <is>
          <t>VÄSTMANLANDS LÄN</t>
        </is>
      </c>
      <c r="E147" t="inlineStr">
        <is>
          <t>SKINNSKATTEBERG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31151-2020</t>
        </is>
      </c>
      <c r="B148" s="1" t="n">
        <v>44012</v>
      </c>
      <c r="C148" s="1" t="n">
        <v>45821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31671-2020</t>
        </is>
      </c>
      <c r="B149" s="1" t="n">
        <v>44014</v>
      </c>
      <c r="C149" s="1" t="n">
        <v>45821</v>
      </c>
      <c r="D149" t="inlineStr">
        <is>
          <t>VÄSTMANLANDS LÄN</t>
        </is>
      </c>
      <c r="E149" t="inlineStr">
        <is>
          <t>SKINNSKATTEBERG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32361-2020</t>
        </is>
      </c>
      <c r="B150" s="1" t="n">
        <v>44017</v>
      </c>
      <c r="C150" s="1" t="n">
        <v>45821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33358-2020</t>
        </is>
      </c>
      <c r="B151" s="1" t="n">
        <v>44022</v>
      </c>
      <c r="C151" s="1" t="n">
        <v>45821</v>
      </c>
      <c r="D151" t="inlineStr">
        <is>
          <t>VÄSTMANLANDS LÄN</t>
        </is>
      </c>
      <c r="E151" t="inlineStr">
        <is>
          <t>SKINNSKATTEBERG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33363-2020</t>
        </is>
      </c>
      <c r="B152" s="1" t="n">
        <v>44022</v>
      </c>
      <c r="C152" s="1" t="n">
        <v>45821</v>
      </c>
      <c r="D152" t="inlineStr">
        <is>
          <t>VÄSTMANLANDS LÄN</t>
        </is>
      </c>
      <c r="E152" t="inlineStr">
        <is>
          <t>SKINNSKATTEBERG</t>
        </is>
      </c>
      <c r="G152" t="n">
        <v>10.4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34402-2020</t>
        </is>
      </c>
      <c r="B153" s="1" t="n">
        <v>44029</v>
      </c>
      <c r="C153" s="1" t="n">
        <v>45821</v>
      </c>
      <c r="D153" t="inlineStr">
        <is>
          <t>VÄSTMANLANDS LÄN</t>
        </is>
      </c>
      <c r="E153" t="inlineStr">
        <is>
          <t>SKINNSKATTEBERG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34602-2020</t>
        </is>
      </c>
      <c r="B154" s="1" t="n">
        <v>44034</v>
      </c>
      <c r="C154" s="1" t="n">
        <v>45821</v>
      </c>
      <c r="D154" t="inlineStr">
        <is>
          <t>VÄSTMANLANDS LÄN</t>
        </is>
      </c>
      <c r="E154" t="inlineStr">
        <is>
          <t>SKINNSKATTEBERG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35765-2020</t>
        </is>
      </c>
      <c r="B155" s="1" t="n">
        <v>44046</v>
      </c>
      <c r="C155" s="1" t="n">
        <v>45821</v>
      </c>
      <c r="D155" t="inlineStr">
        <is>
          <t>VÄSTMANLANDS LÄN</t>
        </is>
      </c>
      <c r="E155" t="inlineStr">
        <is>
          <t>SKINNSKATTEBERG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36598-2020</t>
        </is>
      </c>
      <c r="B156" s="1" t="n">
        <v>44050</v>
      </c>
      <c r="C156" s="1" t="n">
        <v>45821</v>
      </c>
      <c r="D156" t="inlineStr">
        <is>
          <t>VÄSTMANLANDS LÄN</t>
        </is>
      </c>
      <c r="E156" t="inlineStr">
        <is>
          <t>SKINNSKATTEBERG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39707-2020</t>
        </is>
      </c>
      <c r="B157" s="1" t="n">
        <v>44066</v>
      </c>
      <c r="C157" s="1" t="n">
        <v>45821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39705-2020</t>
        </is>
      </c>
      <c r="B158" s="1" t="n">
        <v>44066</v>
      </c>
      <c r="C158" s="1" t="n">
        <v>45821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39706-2020</t>
        </is>
      </c>
      <c r="B159" s="1" t="n">
        <v>44066</v>
      </c>
      <c r="C159" s="1" t="n">
        <v>45821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39709-2020</t>
        </is>
      </c>
      <c r="B160" s="1" t="n">
        <v>44066</v>
      </c>
      <c r="C160" s="1" t="n">
        <v>45821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39876-2020</t>
        </is>
      </c>
      <c r="B161" s="1" t="n">
        <v>44067</v>
      </c>
      <c r="C161" s="1" t="n">
        <v>45821</v>
      </c>
      <c r="D161" t="inlineStr">
        <is>
          <t>VÄSTMANLANDS LÄN</t>
        </is>
      </c>
      <c r="E161" t="inlineStr">
        <is>
          <t>SKINNSKATTEBERG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41441-2020</t>
        </is>
      </c>
      <c r="B162" s="1" t="n">
        <v>44073</v>
      </c>
      <c r="C162" s="1" t="n">
        <v>45821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41420-2020</t>
        </is>
      </c>
      <c r="B163" s="1" t="n">
        <v>44073</v>
      </c>
      <c r="C163" s="1" t="n">
        <v>45821</v>
      </c>
      <c r="D163" t="inlineStr">
        <is>
          <t>VÄSTMANLANDS LÄN</t>
        </is>
      </c>
      <c r="E163" t="inlineStr">
        <is>
          <t>SKINNSKATTEBERG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41987-2020</t>
        </is>
      </c>
      <c r="B164" s="1" t="n">
        <v>44075</v>
      </c>
      <c r="C164" s="1" t="n">
        <v>45821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44152-2020</t>
        </is>
      </c>
      <c r="B165" s="1" t="n">
        <v>44083</v>
      </c>
      <c r="C165" s="1" t="n">
        <v>45821</v>
      </c>
      <c r="D165" t="inlineStr">
        <is>
          <t>VÄSTMANLANDS LÄN</t>
        </is>
      </c>
      <c r="E165" t="inlineStr">
        <is>
          <t>SKINNSKATTEBERG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46415-2020</t>
        </is>
      </c>
      <c r="B166" s="1" t="n">
        <v>44094</v>
      </c>
      <c r="C166" s="1" t="n">
        <v>45821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46416-2020</t>
        </is>
      </c>
      <c r="B167" s="1" t="n">
        <v>44094</v>
      </c>
      <c r="C167" s="1" t="n">
        <v>45821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46417-2020</t>
        </is>
      </c>
      <c r="B168" s="1" t="n">
        <v>44094</v>
      </c>
      <c r="C168" s="1" t="n">
        <v>45821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46412-2020</t>
        </is>
      </c>
      <c r="B169" s="1" t="n">
        <v>44094</v>
      </c>
      <c r="C169" s="1" t="n">
        <v>45821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47772-2020</t>
        </is>
      </c>
      <c r="B170" s="1" t="n">
        <v>44096</v>
      </c>
      <c r="C170" s="1" t="n">
        <v>45821</v>
      </c>
      <c r="D170" t="inlineStr">
        <is>
          <t>VÄSTMANLANDS LÄN</t>
        </is>
      </c>
      <c r="E170" t="inlineStr">
        <is>
          <t>SKINNSKATTEBERG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47801-2020</t>
        </is>
      </c>
      <c r="B171" s="1" t="n">
        <v>44098</v>
      </c>
      <c r="C171" s="1" t="n">
        <v>45821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47806-2020</t>
        </is>
      </c>
      <c r="B172" s="1" t="n">
        <v>44098</v>
      </c>
      <c r="C172" s="1" t="n">
        <v>45821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47803-2020</t>
        </is>
      </c>
      <c r="B173" s="1" t="n">
        <v>44098</v>
      </c>
      <c r="C173" s="1" t="n">
        <v>45821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47795-2020</t>
        </is>
      </c>
      <c r="B174" s="1" t="n">
        <v>44098</v>
      </c>
      <c r="C174" s="1" t="n">
        <v>45821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47805-2020</t>
        </is>
      </c>
      <c r="B175" s="1" t="n">
        <v>44098</v>
      </c>
      <c r="C175" s="1" t="n">
        <v>45821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47813-2020</t>
        </is>
      </c>
      <c r="B176" s="1" t="n">
        <v>44098</v>
      </c>
      <c r="C176" s="1" t="n">
        <v>45821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47804-2020</t>
        </is>
      </c>
      <c r="B177" s="1" t="n">
        <v>44098</v>
      </c>
      <c r="C177" s="1" t="n">
        <v>45821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47810-2020</t>
        </is>
      </c>
      <c r="B178" s="1" t="n">
        <v>44098</v>
      </c>
      <c r="C178" s="1" t="n">
        <v>45821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47807-2020</t>
        </is>
      </c>
      <c r="B179" s="1" t="n">
        <v>44098</v>
      </c>
      <c r="C179" s="1" t="n">
        <v>45821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48084-2020</t>
        </is>
      </c>
      <c r="B180" s="1" t="n">
        <v>44100</v>
      </c>
      <c r="C180" s="1" t="n">
        <v>45821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48108-2020</t>
        </is>
      </c>
      <c r="B181" s="1" t="n">
        <v>44101</v>
      </c>
      <c r="C181" s="1" t="n">
        <v>45821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49554-2020</t>
        </is>
      </c>
      <c r="B182" s="1" t="n">
        <v>44103</v>
      </c>
      <c r="C182" s="1" t="n">
        <v>45821</v>
      </c>
      <c r="D182" t="inlineStr">
        <is>
          <t>VÄSTMANLANDS LÄN</t>
        </is>
      </c>
      <c r="E182" t="inlineStr">
        <is>
          <t>SKINNSKATTEBERG</t>
        </is>
      </c>
      <c r="G182" t="n">
        <v>21.8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49113-2020</t>
        </is>
      </c>
      <c r="B183" s="1" t="n">
        <v>44104</v>
      </c>
      <c r="C183" s="1" t="n">
        <v>45821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49112-2020</t>
        </is>
      </c>
      <c r="B184" s="1" t="n">
        <v>44104</v>
      </c>
      <c r="C184" s="1" t="n">
        <v>45821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49111-2020</t>
        </is>
      </c>
      <c r="B185" s="1" t="n">
        <v>44104</v>
      </c>
      <c r="C185" s="1" t="n">
        <v>45821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49115-2020</t>
        </is>
      </c>
      <c r="B186" s="1" t="n">
        <v>44104</v>
      </c>
      <c r="C186" s="1" t="n">
        <v>45821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49117-2020</t>
        </is>
      </c>
      <c r="B187" s="1" t="n">
        <v>44104</v>
      </c>
      <c r="C187" s="1" t="n">
        <v>45821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49110-2020</t>
        </is>
      </c>
      <c r="B188" s="1" t="n">
        <v>44104</v>
      </c>
      <c r="C188" s="1" t="n">
        <v>45821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49114-2020</t>
        </is>
      </c>
      <c r="B189" s="1" t="n">
        <v>44104</v>
      </c>
      <c r="C189" s="1" t="n">
        <v>45821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50172-2020</t>
        </is>
      </c>
      <c r="B190" s="1" t="n">
        <v>44109</v>
      </c>
      <c r="C190" s="1" t="n">
        <v>45821</v>
      </c>
      <c r="D190" t="inlineStr">
        <is>
          <t>VÄSTMANLANDS LÄN</t>
        </is>
      </c>
      <c r="E190" t="inlineStr">
        <is>
          <t>SKINNSKATTEBERG</t>
        </is>
      </c>
      <c r="G190" t="n">
        <v>9.4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52084-2020</t>
        </is>
      </c>
      <c r="B191" s="1" t="n">
        <v>44117</v>
      </c>
      <c r="C191" s="1" t="n">
        <v>45821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54423-2020</t>
        </is>
      </c>
      <c r="B192" s="1" t="n">
        <v>44126</v>
      </c>
      <c r="C192" s="1" t="n">
        <v>45821</v>
      </c>
      <c r="D192" t="inlineStr">
        <is>
          <t>VÄSTMANLANDS LÄN</t>
        </is>
      </c>
      <c r="E192" t="inlineStr">
        <is>
          <t>SKINNSKATTEBERG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54977-2020</t>
        </is>
      </c>
      <c r="B193" s="1" t="n">
        <v>44130</v>
      </c>
      <c r="C193" s="1" t="n">
        <v>45821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57923-2020</t>
        </is>
      </c>
      <c r="B194" s="1" t="n">
        <v>44141</v>
      </c>
      <c r="C194" s="1" t="n">
        <v>45821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58008-2020</t>
        </is>
      </c>
      <c r="B195" s="1" t="n">
        <v>44144</v>
      </c>
      <c r="C195" s="1" t="n">
        <v>45821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58015-2020</t>
        </is>
      </c>
      <c r="B196" s="1" t="n">
        <v>44144</v>
      </c>
      <c r="C196" s="1" t="n">
        <v>45821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58494-2020</t>
        </is>
      </c>
      <c r="B197" s="1" t="n">
        <v>44145</v>
      </c>
      <c r="C197" s="1" t="n">
        <v>45821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58734-2020</t>
        </is>
      </c>
      <c r="B198" s="1" t="n">
        <v>44146</v>
      </c>
      <c r="C198" s="1" t="n">
        <v>45821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58737-2020</t>
        </is>
      </c>
      <c r="B199" s="1" t="n">
        <v>44146</v>
      </c>
      <c r="C199" s="1" t="n">
        <v>45821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59395-2020</t>
        </is>
      </c>
      <c r="B200" s="1" t="n">
        <v>44147</v>
      </c>
      <c r="C200" s="1" t="n">
        <v>45821</v>
      </c>
      <c r="D200" t="inlineStr">
        <is>
          <t>VÄSTMANLANDS LÄN</t>
        </is>
      </c>
      <c r="E200" t="inlineStr">
        <is>
          <t>SKINNSKATTEBERG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60134-2020</t>
        </is>
      </c>
      <c r="B201" s="1" t="n">
        <v>44152</v>
      </c>
      <c r="C201" s="1" t="n">
        <v>45821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  <c r="U201">
        <f>HYPERLINK("https://klasma.github.io/Logging_1904/knärot/A 60134-2020 karta knärot.png", "A 60134-2020")</f>
        <v/>
      </c>
      <c r="V201">
        <f>HYPERLINK("https://klasma.github.io/Logging_1904/klagomål/A 60134-2020 FSC-klagomål.docx", "A 60134-2020")</f>
        <v/>
      </c>
      <c r="W201">
        <f>HYPERLINK("https://klasma.github.io/Logging_1904/klagomålsmail/A 60134-2020 FSC-klagomål mail.docx", "A 60134-2020")</f>
        <v/>
      </c>
      <c r="X201">
        <f>HYPERLINK("https://klasma.github.io/Logging_1904/tillsyn/A 60134-2020 tillsynsbegäran.docx", "A 60134-2020")</f>
        <v/>
      </c>
      <c r="Y201">
        <f>HYPERLINK("https://klasma.github.io/Logging_1904/tillsynsmail/A 60134-2020 tillsynsbegäran mail.docx", "A 60134-2020")</f>
        <v/>
      </c>
    </row>
    <row r="202" ht="15" customHeight="1">
      <c r="A202" t="inlineStr">
        <is>
          <t>A 60797-2020</t>
        </is>
      </c>
      <c r="B202" s="1" t="n">
        <v>44154</v>
      </c>
      <c r="C202" s="1" t="n">
        <v>45821</v>
      </c>
      <c r="D202" t="inlineStr">
        <is>
          <t>VÄSTMANLANDS LÄN</t>
        </is>
      </c>
      <c r="E202" t="inlineStr">
        <is>
          <t>SKINNSKATTEBERG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62395-2020</t>
        </is>
      </c>
      <c r="B203" s="1" t="n">
        <v>44160</v>
      </c>
      <c r="C203" s="1" t="n">
        <v>45821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63457-2020</t>
        </is>
      </c>
      <c r="B204" s="1" t="n">
        <v>44165</v>
      </c>
      <c r="C204" s="1" t="n">
        <v>45821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64464-2020</t>
        </is>
      </c>
      <c r="B205" s="1" t="n">
        <v>44168</v>
      </c>
      <c r="C205" s="1" t="n">
        <v>45821</v>
      </c>
      <c r="D205" t="inlineStr">
        <is>
          <t>VÄSTMANLANDS LÄN</t>
        </is>
      </c>
      <c r="E205" t="inlineStr">
        <is>
          <t>SKINNSKATTEBERG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65521-2020</t>
        </is>
      </c>
      <c r="B206" s="1" t="n">
        <v>44173</v>
      </c>
      <c r="C206" s="1" t="n">
        <v>45821</v>
      </c>
      <c r="D206" t="inlineStr">
        <is>
          <t>VÄSTMANLANDS LÄN</t>
        </is>
      </c>
      <c r="E206" t="inlineStr">
        <is>
          <t>SKINNSKATTEBERG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66704-2020</t>
        </is>
      </c>
      <c r="B207" s="1" t="n">
        <v>44179</v>
      </c>
      <c r="C207" s="1" t="n">
        <v>45821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66952-2020</t>
        </is>
      </c>
      <c r="B208" s="1" t="n">
        <v>44180</v>
      </c>
      <c r="C208" s="1" t="n">
        <v>45821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68824-2020</t>
        </is>
      </c>
      <c r="B209" s="1" t="n">
        <v>44186</v>
      </c>
      <c r="C209" s="1" t="n">
        <v>45821</v>
      </c>
      <c r="D209" t="inlineStr">
        <is>
          <t>VÄSTMANLANDS LÄN</t>
        </is>
      </c>
      <c r="E209" t="inlineStr">
        <is>
          <t>SKINNSKATTEBERG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238-2021</t>
        </is>
      </c>
      <c r="B210" s="1" t="n">
        <v>44200</v>
      </c>
      <c r="C210" s="1" t="n">
        <v>45821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852-2021</t>
        </is>
      </c>
      <c r="B211" s="1" t="n">
        <v>44204</v>
      </c>
      <c r="C211" s="1" t="n">
        <v>45821</v>
      </c>
      <c r="D211" t="inlineStr">
        <is>
          <t>VÄSTMANLANDS LÄN</t>
        </is>
      </c>
      <c r="E211" t="inlineStr">
        <is>
          <t>SKINNSKATTEBERG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5700-2021</t>
        </is>
      </c>
      <c r="B212" s="1" t="n">
        <v>44230</v>
      </c>
      <c r="C212" s="1" t="n">
        <v>45821</v>
      </c>
      <c r="D212" t="inlineStr">
        <is>
          <t>VÄSTMANLANDS LÄN</t>
        </is>
      </c>
      <c r="E212" t="inlineStr">
        <is>
          <t>SKINNSKATTEBERG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5687-2021</t>
        </is>
      </c>
      <c r="B213" s="1" t="n">
        <v>44230</v>
      </c>
      <c r="C213" s="1" t="n">
        <v>45821</v>
      </c>
      <c r="D213" t="inlineStr">
        <is>
          <t>VÄSTMANLANDS LÄN</t>
        </is>
      </c>
      <c r="E213" t="inlineStr">
        <is>
          <t>SKINNSKATTEBERG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6516-2021</t>
        </is>
      </c>
      <c r="B214" s="1" t="n">
        <v>44236</v>
      </c>
      <c r="C214" s="1" t="n">
        <v>45821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6518-2021</t>
        </is>
      </c>
      <c r="B215" s="1" t="n">
        <v>44236</v>
      </c>
      <c r="C215" s="1" t="n">
        <v>45821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11381-2021</t>
        </is>
      </c>
      <c r="B216" s="1" t="n">
        <v>44263</v>
      </c>
      <c r="C216" s="1" t="n">
        <v>45821</v>
      </c>
      <c r="D216" t="inlineStr">
        <is>
          <t>VÄSTMANLANDS LÄN</t>
        </is>
      </c>
      <c r="E216" t="inlineStr">
        <is>
          <t>SKINNSKATTEBERG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12671-2021</t>
        </is>
      </c>
      <c r="B217" s="1" t="n">
        <v>44267</v>
      </c>
      <c r="C217" s="1" t="n">
        <v>45821</v>
      </c>
      <c r="D217" t="inlineStr">
        <is>
          <t>VÄSTMANLANDS LÄN</t>
        </is>
      </c>
      <c r="E217" t="inlineStr">
        <is>
          <t>SKINNSKATTEBERG</t>
        </is>
      </c>
      <c r="G217" t="n">
        <v>14.7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12672-2021</t>
        </is>
      </c>
      <c r="B218" s="1" t="n">
        <v>44267</v>
      </c>
      <c r="C218" s="1" t="n">
        <v>45821</v>
      </c>
      <c r="D218" t="inlineStr">
        <is>
          <t>VÄSTMANLANDS LÄN</t>
        </is>
      </c>
      <c r="E218" t="inlineStr">
        <is>
          <t>SKINNSKATTEBERG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12500-2021</t>
        </is>
      </c>
      <c r="B219" s="1" t="n">
        <v>44268</v>
      </c>
      <c r="C219" s="1" t="n">
        <v>45821</v>
      </c>
      <c r="D219" t="inlineStr">
        <is>
          <t>VÄSTMANLANDS LÄN</t>
        </is>
      </c>
      <c r="E219" t="inlineStr">
        <is>
          <t>SKINNSKATTEBERG</t>
        </is>
      </c>
      <c r="G219" t="n">
        <v>18.1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14124-2021</t>
        </is>
      </c>
      <c r="B220" s="1" t="n">
        <v>44278</v>
      </c>
      <c r="C220" s="1" t="n">
        <v>45821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15793-2021</t>
        </is>
      </c>
      <c r="B221" s="1" t="n">
        <v>44286</v>
      </c>
      <c r="C221" s="1" t="n">
        <v>45821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Kyrkan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15840-2021</t>
        </is>
      </c>
      <c r="B222" s="1" t="n">
        <v>44286</v>
      </c>
      <c r="C222" s="1" t="n">
        <v>45821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16315-2021</t>
        </is>
      </c>
      <c r="B223" s="1" t="n">
        <v>44292</v>
      </c>
      <c r="C223" s="1" t="n">
        <v>45821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16415-2021</t>
        </is>
      </c>
      <c r="B224" s="1" t="n">
        <v>44293</v>
      </c>
      <c r="C224" s="1" t="n">
        <v>45821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17506-2021</t>
        </is>
      </c>
      <c r="B225" s="1" t="n">
        <v>44298</v>
      </c>
      <c r="C225" s="1" t="n">
        <v>45821</v>
      </c>
      <c r="D225" t="inlineStr">
        <is>
          <t>VÄSTMANLANDS LÄN</t>
        </is>
      </c>
      <c r="E225" t="inlineStr">
        <is>
          <t>SKINNSKATTEBERG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19002-2021</t>
        </is>
      </c>
      <c r="B226" s="1" t="n">
        <v>44308</v>
      </c>
      <c r="C226" s="1" t="n">
        <v>45821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19038-2021</t>
        </is>
      </c>
      <c r="B227" s="1" t="n">
        <v>44308</v>
      </c>
      <c r="C227" s="1" t="n">
        <v>45821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19000-2021</t>
        </is>
      </c>
      <c r="B228" s="1" t="n">
        <v>44308</v>
      </c>
      <c r="C228" s="1" t="n">
        <v>45821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19016-2021</t>
        </is>
      </c>
      <c r="B229" s="1" t="n">
        <v>44308</v>
      </c>
      <c r="C229" s="1" t="n">
        <v>45821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19035-2021</t>
        </is>
      </c>
      <c r="B230" s="1" t="n">
        <v>44308</v>
      </c>
      <c r="C230" s="1" t="n">
        <v>45821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19013-2021</t>
        </is>
      </c>
      <c r="B231" s="1" t="n">
        <v>44308</v>
      </c>
      <c r="C231" s="1" t="n">
        <v>45821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18957-2021</t>
        </is>
      </c>
      <c r="B232" s="1" t="n">
        <v>44308</v>
      </c>
      <c r="C232" s="1" t="n">
        <v>45821</v>
      </c>
      <c r="D232" t="inlineStr">
        <is>
          <t>VÄSTMANLANDS LÄN</t>
        </is>
      </c>
      <c r="E232" t="inlineStr">
        <is>
          <t>SKINNSKATTEBERG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22097-2021</t>
        </is>
      </c>
      <c r="B233" s="1" t="n">
        <v>44323</v>
      </c>
      <c r="C233" s="1" t="n">
        <v>45821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23110-2021</t>
        </is>
      </c>
      <c r="B234" s="1" t="n">
        <v>44330</v>
      </c>
      <c r="C234" s="1" t="n">
        <v>45821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23240-2021</t>
        </is>
      </c>
      <c r="B235" s="1" t="n">
        <v>44333</v>
      </c>
      <c r="C235" s="1" t="n">
        <v>45821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23795-2021</t>
        </is>
      </c>
      <c r="B236" s="1" t="n">
        <v>44335</v>
      </c>
      <c r="C236" s="1" t="n">
        <v>45821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23965-2021</t>
        </is>
      </c>
      <c r="B237" s="1" t="n">
        <v>44335</v>
      </c>
      <c r="C237" s="1" t="n">
        <v>45821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25219-2021</t>
        </is>
      </c>
      <c r="B238" s="1" t="n">
        <v>44342</v>
      </c>
      <c r="C238" s="1" t="n">
        <v>45821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25386-2021</t>
        </is>
      </c>
      <c r="B239" s="1" t="n">
        <v>44342</v>
      </c>
      <c r="C239" s="1" t="n">
        <v>45821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25536-2021</t>
        </is>
      </c>
      <c r="B240" s="1" t="n">
        <v>44343</v>
      </c>
      <c r="C240" s="1" t="n">
        <v>45821</v>
      </c>
      <c r="D240" t="inlineStr">
        <is>
          <t>VÄSTMANLANDS LÄN</t>
        </is>
      </c>
      <c r="E240" t="inlineStr">
        <is>
          <t>SKINNSKATTEBERG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27213-2021</t>
        </is>
      </c>
      <c r="B241" s="1" t="n">
        <v>44350</v>
      </c>
      <c r="C241" s="1" t="n">
        <v>45821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28173-2021</t>
        </is>
      </c>
      <c r="B242" s="1" t="n">
        <v>44355</v>
      </c>
      <c r="C242" s="1" t="n">
        <v>45821</v>
      </c>
      <c r="D242" t="inlineStr">
        <is>
          <t>VÄSTMANLANDS LÄN</t>
        </is>
      </c>
      <c r="E242" t="inlineStr">
        <is>
          <t>SKINNSKATTEBERG</t>
        </is>
      </c>
      <c r="G242" t="n">
        <v>9.199999999999999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31424-2021</t>
        </is>
      </c>
      <c r="B243" s="1" t="n">
        <v>44369</v>
      </c>
      <c r="C243" s="1" t="n">
        <v>45821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34897-2021</t>
        </is>
      </c>
      <c r="B244" s="1" t="n">
        <v>44383</v>
      </c>
      <c r="C244" s="1" t="n">
        <v>45821</v>
      </c>
      <c r="D244" t="inlineStr">
        <is>
          <t>VÄSTMANLANDS LÄN</t>
        </is>
      </c>
      <c r="E244" t="inlineStr">
        <is>
          <t>SKINNSKATTEBERG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38724-2021</t>
        </is>
      </c>
      <c r="B245" s="1" t="n">
        <v>44410</v>
      </c>
      <c r="C245" s="1" t="n">
        <v>45821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38738-2021</t>
        </is>
      </c>
      <c r="B246" s="1" t="n">
        <v>44410</v>
      </c>
      <c r="C246" s="1" t="n">
        <v>45821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38727-2021</t>
        </is>
      </c>
      <c r="B247" s="1" t="n">
        <v>44410</v>
      </c>
      <c r="C247" s="1" t="n">
        <v>45821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38732-2021</t>
        </is>
      </c>
      <c r="B248" s="1" t="n">
        <v>44410</v>
      </c>
      <c r="C248" s="1" t="n">
        <v>45821</v>
      </c>
      <c r="D248" t="inlineStr">
        <is>
          <t>VÄSTMANLANDS LÄN</t>
        </is>
      </c>
      <c r="E248" t="inlineStr">
        <is>
          <t>SKINNSKATTEBERG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38728-2021</t>
        </is>
      </c>
      <c r="B249" s="1" t="n">
        <v>44410</v>
      </c>
      <c r="C249" s="1" t="n">
        <v>45821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40910-2021</t>
        </is>
      </c>
      <c r="B250" s="1" t="n">
        <v>44421</v>
      </c>
      <c r="C250" s="1" t="n">
        <v>45821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40918-2021</t>
        </is>
      </c>
      <c r="B251" s="1" t="n">
        <v>44421</v>
      </c>
      <c r="C251" s="1" t="n">
        <v>45821</v>
      </c>
      <c r="D251" t="inlineStr">
        <is>
          <t>VÄSTMANLANDS LÄN</t>
        </is>
      </c>
      <c r="E251" t="inlineStr">
        <is>
          <t>SKINNSKATTEBERG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40909-2021</t>
        </is>
      </c>
      <c r="B252" s="1" t="n">
        <v>44421</v>
      </c>
      <c r="C252" s="1" t="n">
        <v>45821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40901-2021</t>
        </is>
      </c>
      <c r="B253" s="1" t="n">
        <v>44421</v>
      </c>
      <c r="C253" s="1" t="n">
        <v>45821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40907-2021</t>
        </is>
      </c>
      <c r="B254" s="1" t="n">
        <v>44421</v>
      </c>
      <c r="C254" s="1" t="n">
        <v>45821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40913-2021</t>
        </is>
      </c>
      <c r="B255" s="1" t="n">
        <v>44421</v>
      </c>
      <c r="C255" s="1" t="n">
        <v>45821</v>
      </c>
      <c r="D255" t="inlineStr">
        <is>
          <t>VÄSTMANLANDS LÄN</t>
        </is>
      </c>
      <c r="E255" t="inlineStr">
        <is>
          <t>SKINNSKATTEBERG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42071-2021</t>
        </is>
      </c>
      <c r="B256" s="1" t="n">
        <v>44426</v>
      </c>
      <c r="C256" s="1" t="n">
        <v>45821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42078-2021</t>
        </is>
      </c>
      <c r="B257" s="1" t="n">
        <v>44426</v>
      </c>
      <c r="C257" s="1" t="n">
        <v>45821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46469-2021</t>
        </is>
      </c>
      <c r="B258" s="1" t="n">
        <v>44445</v>
      </c>
      <c r="C258" s="1" t="n">
        <v>45821</v>
      </c>
      <c r="D258" t="inlineStr">
        <is>
          <t>VÄSTMANLANDS LÄN</t>
        </is>
      </c>
      <c r="E258" t="inlineStr">
        <is>
          <t>SKINNSKATTEBERG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47136-2021</t>
        </is>
      </c>
      <c r="B259" s="1" t="n">
        <v>44446</v>
      </c>
      <c r="C259" s="1" t="n">
        <v>45821</v>
      </c>
      <c r="D259" t="inlineStr">
        <is>
          <t>VÄSTMANLANDS LÄN</t>
        </is>
      </c>
      <c r="E259" t="inlineStr">
        <is>
          <t>SKINNSKATTEBERG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49847-2021</t>
        </is>
      </c>
      <c r="B260" s="1" t="n">
        <v>44455</v>
      </c>
      <c r="C260" s="1" t="n">
        <v>45821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51508-2021</t>
        </is>
      </c>
      <c r="B261" s="1" t="n">
        <v>44462</v>
      </c>
      <c r="C261" s="1" t="n">
        <v>45821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52587-2021</t>
        </is>
      </c>
      <c r="B262" s="1" t="n">
        <v>44466</v>
      </c>
      <c r="C262" s="1" t="n">
        <v>45821</v>
      </c>
      <c r="D262" t="inlineStr">
        <is>
          <t>VÄSTMANLANDS LÄN</t>
        </is>
      </c>
      <c r="E262" t="inlineStr">
        <is>
          <t>SKINNSKATTEBERG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52600-2021</t>
        </is>
      </c>
      <c r="B263" s="1" t="n">
        <v>44466</v>
      </c>
      <c r="C263" s="1" t="n">
        <v>45821</v>
      </c>
      <c r="D263" t="inlineStr">
        <is>
          <t>VÄSTMANLANDS LÄN</t>
        </is>
      </c>
      <c r="E263" t="inlineStr">
        <is>
          <t>SKINNSKATTEBERG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53183-2021</t>
        </is>
      </c>
      <c r="B264" s="1" t="n">
        <v>44468</v>
      </c>
      <c r="C264" s="1" t="n">
        <v>45821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53243-2021</t>
        </is>
      </c>
      <c r="B265" s="1" t="n">
        <v>44468</v>
      </c>
      <c r="C265" s="1" t="n">
        <v>45821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53142-2021</t>
        </is>
      </c>
      <c r="B266" s="1" t="n">
        <v>44468</v>
      </c>
      <c r="C266" s="1" t="n">
        <v>45821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53145-2021</t>
        </is>
      </c>
      <c r="B267" s="1" t="n">
        <v>44468</v>
      </c>
      <c r="C267" s="1" t="n">
        <v>45821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53885-2021</t>
        </is>
      </c>
      <c r="B268" s="1" t="n">
        <v>44469</v>
      </c>
      <c r="C268" s="1" t="n">
        <v>45821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53880-2021</t>
        </is>
      </c>
      <c r="B269" s="1" t="n">
        <v>44469</v>
      </c>
      <c r="C269" s="1" t="n">
        <v>45821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55369-2021</t>
        </is>
      </c>
      <c r="B270" s="1" t="n">
        <v>44475</v>
      </c>
      <c r="C270" s="1" t="n">
        <v>45821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55428-2021</t>
        </is>
      </c>
      <c r="B271" s="1" t="n">
        <v>44475</v>
      </c>
      <c r="C271" s="1" t="n">
        <v>45821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59119-2021</t>
        </is>
      </c>
      <c r="B272" s="1" t="n">
        <v>44489</v>
      </c>
      <c r="C272" s="1" t="n">
        <v>45821</v>
      </c>
      <c r="D272" t="inlineStr">
        <is>
          <t>VÄSTMANLANDS LÄN</t>
        </is>
      </c>
      <c r="E272" t="inlineStr">
        <is>
          <t>SKINNSKATTEBERG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59428-2021</t>
        </is>
      </c>
      <c r="B273" s="1" t="n">
        <v>44491</v>
      </c>
      <c r="C273" s="1" t="n">
        <v>45821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59417-2021</t>
        </is>
      </c>
      <c r="B274" s="1" t="n">
        <v>44491</v>
      </c>
      <c r="C274" s="1" t="n">
        <v>45821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59423-2021</t>
        </is>
      </c>
      <c r="B275" s="1" t="n">
        <v>44491</v>
      </c>
      <c r="C275" s="1" t="n">
        <v>45821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61181-2021</t>
        </is>
      </c>
      <c r="B276" s="1" t="n">
        <v>44498</v>
      </c>
      <c r="C276" s="1" t="n">
        <v>45821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7.5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62306-2021</t>
        </is>
      </c>
      <c r="B277" s="1" t="n">
        <v>44503</v>
      </c>
      <c r="C277" s="1" t="n">
        <v>45821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62312-2021</t>
        </is>
      </c>
      <c r="B278" s="1" t="n">
        <v>44503</v>
      </c>
      <c r="C278" s="1" t="n">
        <v>45821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63139-2021</t>
        </is>
      </c>
      <c r="B279" s="1" t="n">
        <v>44505</v>
      </c>
      <c r="C279" s="1" t="n">
        <v>45821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65387-2021</t>
        </is>
      </c>
      <c r="B280" s="1" t="n">
        <v>44515</v>
      </c>
      <c r="C280" s="1" t="n">
        <v>45821</v>
      </c>
      <c r="D280" t="inlineStr">
        <is>
          <t>VÄSTMANLANDS LÄN</t>
        </is>
      </c>
      <c r="E280" t="inlineStr">
        <is>
          <t>SKINNSKATTEBERG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65663-2021</t>
        </is>
      </c>
      <c r="B281" s="1" t="n">
        <v>44516</v>
      </c>
      <c r="C281" s="1" t="n">
        <v>45821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66571-2021</t>
        </is>
      </c>
      <c r="B282" s="1" t="n">
        <v>44519</v>
      </c>
      <c r="C282" s="1" t="n">
        <v>45821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66580-2021</t>
        </is>
      </c>
      <c r="B283" s="1" t="n">
        <v>44519</v>
      </c>
      <c r="C283" s="1" t="n">
        <v>45821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66587-2021</t>
        </is>
      </c>
      <c r="B284" s="1" t="n">
        <v>44519</v>
      </c>
      <c r="C284" s="1" t="n">
        <v>45821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66574-2021</t>
        </is>
      </c>
      <c r="B285" s="1" t="n">
        <v>44519</v>
      </c>
      <c r="C285" s="1" t="n">
        <v>45821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66584-2021</t>
        </is>
      </c>
      <c r="B286" s="1" t="n">
        <v>44519</v>
      </c>
      <c r="C286" s="1" t="n">
        <v>45821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66572-2021</t>
        </is>
      </c>
      <c r="B287" s="1" t="n">
        <v>44519</v>
      </c>
      <c r="C287" s="1" t="n">
        <v>45821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68540-2021</t>
        </is>
      </c>
      <c r="B288" s="1" t="n">
        <v>44529</v>
      </c>
      <c r="C288" s="1" t="n">
        <v>45821</v>
      </c>
      <c r="D288" t="inlineStr">
        <is>
          <t>VÄSTMANLANDS LÄN</t>
        </is>
      </c>
      <c r="E288" t="inlineStr">
        <is>
          <t>SKINNSKATTEBERG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68525-2021</t>
        </is>
      </c>
      <c r="B289" s="1" t="n">
        <v>44529</v>
      </c>
      <c r="C289" s="1" t="n">
        <v>45821</v>
      </c>
      <c r="D289" t="inlineStr">
        <is>
          <t>VÄSTMANLANDS LÄN</t>
        </is>
      </c>
      <c r="E289" t="inlineStr">
        <is>
          <t>SKINNSKATTEBERG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69256-2021</t>
        </is>
      </c>
      <c r="B290" s="1" t="n">
        <v>44531</v>
      </c>
      <c r="C290" s="1" t="n">
        <v>45821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69259-2021</t>
        </is>
      </c>
      <c r="B291" s="1" t="n">
        <v>44531</v>
      </c>
      <c r="C291" s="1" t="n">
        <v>45821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69276-2021</t>
        </is>
      </c>
      <c r="B292" s="1" t="n">
        <v>44531</v>
      </c>
      <c r="C292" s="1" t="n">
        <v>45821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71999-2021</t>
        </is>
      </c>
      <c r="B293" s="1" t="n">
        <v>44544</v>
      </c>
      <c r="C293" s="1" t="n">
        <v>45821</v>
      </c>
      <c r="D293" t="inlineStr">
        <is>
          <t>VÄSTMANLANDS LÄN</t>
        </is>
      </c>
      <c r="E293" t="inlineStr">
        <is>
          <t>SKINNSKATTEBERG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71996-2021</t>
        </is>
      </c>
      <c r="B294" s="1" t="n">
        <v>44544</v>
      </c>
      <c r="C294" s="1" t="n">
        <v>45821</v>
      </c>
      <c r="D294" t="inlineStr">
        <is>
          <t>VÄSTMANLANDS LÄN</t>
        </is>
      </c>
      <c r="E294" t="inlineStr">
        <is>
          <t>SKINNSKATTEBERG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72710-2021</t>
        </is>
      </c>
      <c r="B295" s="1" t="n">
        <v>44545</v>
      </c>
      <c r="C295" s="1" t="n">
        <v>45821</v>
      </c>
      <c r="D295" t="inlineStr">
        <is>
          <t>VÄSTMANLANDS LÄN</t>
        </is>
      </c>
      <c r="E295" t="inlineStr">
        <is>
          <t>SKINNSKATTEBERG</t>
        </is>
      </c>
      <c r="G295" t="n">
        <v>7.9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72503-2021</t>
        </is>
      </c>
      <c r="B296" s="1" t="n">
        <v>44545</v>
      </c>
      <c r="C296" s="1" t="n">
        <v>45821</v>
      </c>
      <c r="D296" t="inlineStr">
        <is>
          <t>VÄSTMANLANDS LÄN</t>
        </is>
      </c>
      <c r="E296" t="inlineStr">
        <is>
          <t>SKINNSKATTEBERG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72684-2021</t>
        </is>
      </c>
      <c r="B297" s="1" t="n">
        <v>44545</v>
      </c>
      <c r="C297" s="1" t="n">
        <v>45821</v>
      </c>
      <c r="D297" t="inlineStr">
        <is>
          <t>VÄSTMANLANDS LÄN</t>
        </is>
      </c>
      <c r="E297" t="inlineStr">
        <is>
          <t>SKINNSKATTEBERG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72634-2021</t>
        </is>
      </c>
      <c r="B298" s="1" t="n">
        <v>44545</v>
      </c>
      <c r="C298" s="1" t="n">
        <v>45821</v>
      </c>
      <c r="D298" t="inlineStr">
        <is>
          <t>VÄSTMANLANDS LÄN</t>
        </is>
      </c>
      <c r="E298" t="inlineStr">
        <is>
          <t>SKINNSKATTEBERG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73008-2021</t>
        </is>
      </c>
      <c r="B299" s="1" t="n">
        <v>44550</v>
      </c>
      <c r="C299" s="1" t="n">
        <v>45821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4043-2022</t>
        </is>
      </c>
      <c r="B300" s="1" t="n">
        <v>44588</v>
      </c>
      <c r="C300" s="1" t="n">
        <v>45821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Kyrkan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7097-2022</t>
        </is>
      </c>
      <c r="B301" s="1" t="n">
        <v>44603</v>
      </c>
      <c r="C301" s="1" t="n">
        <v>45821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Kyrkan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7080-2022</t>
        </is>
      </c>
      <c r="B302" s="1" t="n">
        <v>44603</v>
      </c>
      <c r="C302" s="1" t="n">
        <v>45821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Kyrkan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7088-2022</t>
        </is>
      </c>
      <c r="B303" s="1" t="n">
        <v>44603</v>
      </c>
      <c r="C303" s="1" t="n">
        <v>45821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Kyrkan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7103-2022</t>
        </is>
      </c>
      <c r="B304" s="1" t="n">
        <v>44603</v>
      </c>
      <c r="C304" s="1" t="n">
        <v>45821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Kyrkan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10639-2022</t>
        </is>
      </c>
      <c r="B305" s="1" t="n">
        <v>44623</v>
      </c>
      <c r="C305" s="1" t="n">
        <v>45821</v>
      </c>
      <c r="D305" t="inlineStr">
        <is>
          <t>VÄSTMANLANDS LÄN</t>
        </is>
      </c>
      <c r="E305" t="inlineStr">
        <is>
          <t>SKINNSKATTEBERG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11327-2022</t>
        </is>
      </c>
      <c r="B306" s="1" t="n">
        <v>44629</v>
      </c>
      <c r="C306" s="1" t="n">
        <v>45821</v>
      </c>
      <c r="D306" t="inlineStr">
        <is>
          <t>VÄSTMANLANDS LÄN</t>
        </is>
      </c>
      <c r="E306" t="inlineStr">
        <is>
          <t>SKINNSKATTEBERG</t>
        </is>
      </c>
      <c r="G306" t="n">
        <v>37.6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13676-2022</t>
        </is>
      </c>
      <c r="B307" s="1" t="n">
        <v>44648</v>
      </c>
      <c r="C307" s="1" t="n">
        <v>45821</v>
      </c>
      <c r="D307" t="inlineStr">
        <is>
          <t>VÄSTMANLANDS LÄN</t>
        </is>
      </c>
      <c r="E307" t="inlineStr">
        <is>
          <t>SKINNSKATTEBERG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14204-2022</t>
        </is>
      </c>
      <c r="B308" s="1" t="n">
        <v>44651</v>
      </c>
      <c r="C308" s="1" t="n">
        <v>45821</v>
      </c>
      <c r="D308" t="inlineStr">
        <is>
          <t>VÄSTMANLANDS LÄN</t>
        </is>
      </c>
      <c r="E308" t="inlineStr">
        <is>
          <t>SKINNSKATTEBERG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16860-2022</t>
        </is>
      </c>
      <c r="B309" s="1" t="n">
        <v>44674</v>
      </c>
      <c r="C309" s="1" t="n">
        <v>45821</v>
      </c>
      <c r="D309" t="inlineStr">
        <is>
          <t>VÄSTMANLANDS LÄN</t>
        </is>
      </c>
      <c r="E309" t="inlineStr">
        <is>
          <t>SKINNSKATTEBERG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19877-2022</t>
        </is>
      </c>
      <c r="B310" s="1" t="n">
        <v>44697</v>
      </c>
      <c r="C310" s="1" t="n">
        <v>45821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21754-2022</t>
        </is>
      </c>
      <c r="B311" s="1" t="n">
        <v>44708</v>
      </c>
      <c r="C311" s="1" t="n">
        <v>45821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22113-2022</t>
        </is>
      </c>
      <c r="B312" s="1" t="n">
        <v>44712</v>
      </c>
      <c r="C312" s="1" t="n">
        <v>45821</v>
      </c>
      <c r="D312" t="inlineStr">
        <is>
          <t>VÄSTMANLANDS LÄN</t>
        </is>
      </c>
      <c r="E312" t="inlineStr">
        <is>
          <t>SKINNSKATTEBERG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22279-2022</t>
        </is>
      </c>
      <c r="B313" s="1" t="n">
        <v>44712</v>
      </c>
      <c r="C313" s="1" t="n">
        <v>45821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22394-2022</t>
        </is>
      </c>
      <c r="B314" s="1" t="n">
        <v>44713</v>
      </c>
      <c r="C314" s="1" t="n">
        <v>45821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24777-2022</t>
        </is>
      </c>
      <c r="B315" s="1" t="n">
        <v>44728</v>
      </c>
      <c r="C315" s="1" t="n">
        <v>45821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24793-2022</t>
        </is>
      </c>
      <c r="B316" s="1" t="n">
        <v>44728</v>
      </c>
      <c r="C316" s="1" t="n">
        <v>45821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25357-2022</t>
        </is>
      </c>
      <c r="B317" s="1" t="n">
        <v>44732</v>
      </c>
      <c r="C317" s="1" t="n">
        <v>45821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25406-2022</t>
        </is>
      </c>
      <c r="B318" s="1" t="n">
        <v>44732</v>
      </c>
      <c r="C318" s="1" t="n">
        <v>45821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25387-2022</t>
        </is>
      </c>
      <c r="B319" s="1" t="n">
        <v>44732</v>
      </c>
      <c r="C319" s="1" t="n">
        <v>45821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25410-2022</t>
        </is>
      </c>
      <c r="B320" s="1" t="n">
        <v>44732</v>
      </c>
      <c r="C320" s="1" t="n">
        <v>45821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26342-2022</t>
        </is>
      </c>
      <c r="B321" s="1" t="n">
        <v>44735</v>
      </c>
      <c r="C321" s="1" t="n">
        <v>45821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27164-2022</t>
        </is>
      </c>
      <c r="B322" s="1" t="n">
        <v>44741</v>
      </c>
      <c r="C322" s="1" t="n">
        <v>45821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31395-2022</t>
        </is>
      </c>
      <c r="B323" s="1" t="n">
        <v>44774</v>
      </c>
      <c r="C323" s="1" t="n">
        <v>45821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31403-2022</t>
        </is>
      </c>
      <c r="B324" s="1" t="n">
        <v>44774</v>
      </c>
      <c r="C324" s="1" t="n">
        <v>45821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33176-2022</t>
        </is>
      </c>
      <c r="B325" s="1" t="n">
        <v>44785</v>
      </c>
      <c r="C325" s="1" t="n">
        <v>45821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33177-2022</t>
        </is>
      </c>
      <c r="B326" s="1" t="n">
        <v>44785</v>
      </c>
      <c r="C326" s="1" t="n">
        <v>45821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33154-2022</t>
        </is>
      </c>
      <c r="B327" s="1" t="n">
        <v>44785</v>
      </c>
      <c r="C327" s="1" t="n">
        <v>45821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7.9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33179-2022</t>
        </is>
      </c>
      <c r="B328" s="1" t="n">
        <v>44785</v>
      </c>
      <c r="C328" s="1" t="n">
        <v>45821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33600-2022</t>
        </is>
      </c>
      <c r="B329" s="1" t="n">
        <v>44789</v>
      </c>
      <c r="C329" s="1" t="n">
        <v>45821</v>
      </c>
      <c r="D329" t="inlineStr">
        <is>
          <t>VÄSTMANLANDS LÄN</t>
        </is>
      </c>
      <c r="E329" t="inlineStr">
        <is>
          <t>SKINNSKATTEBERG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36270-2022</t>
        </is>
      </c>
      <c r="B330" s="1" t="n">
        <v>44803</v>
      </c>
      <c r="C330" s="1" t="n">
        <v>45821</v>
      </c>
      <c r="D330" t="inlineStr">
        <is>
          <t>VÄSTMANLANDS LÄN</t>
        </is>
      </c>
      <c r="E330" t="inlineStr">
        <is>
          <t>SKINNSKATTEBERG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36288-2022</t>
        </is>
      </c>
      <c r="B331" s="1" t="n">
        <v>44803</v>
      </c>
      <c r="C331" s="1" t="n">
        <v>45821</v>
      </c>
      <c r="D331" t="inlineStr">
        <is>
          <t>VÄSTMANLANDS LÄN</t>
        </is>
      </c>
      <c r="E331" t="inlineStr">
        <is>
          <t>SKINNSKATTEBERG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37210-2022</t>
        </is>
      </c>
      <c r="B332" s="1" t="n">
        <v>44806</v>
      </c>
      <c r="C332" s="1" t="n">
        <v>45821</v>
      </c>
      <c r="D332" t="inlineStr">
        <is>
          <t>VÄSTMANLANDS LÄN</t>
        </is>
      </c>
      <c r="E332" t="inlineStr">
        <is>
          <t>SKINNSKATTEBERG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39432-2022</t>
        </is>
      </c>
      <c r="B333" s="1" t="n">
        <v>44818</v>
      </c>
      <c r="C333" s="1" t="n">
        <v>45821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40499-2022</t>
        </is>
      </c>
      <c r="B334" s="1" t="n">
        <v>44823</v>
      </c>
      <c r="C334" s="1" t="n">
        <v>45821</v>
      </c>
      <c r="D334" t="inlineStr">
        <is>
          <t>VÄSTMANLANDS LÄN</t>
        </is>
      </c>
      <c r="E334" t="inlineStr">
        <is>
          <t>SKINNSKATTEBERG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41720-2022</t>
        </is>
      </c>
      <c r="B335" s="1" t="n">
        <v>44827</v>
      </c>
      <c r="C335" s="1" t="n">
        <v>45821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41717-2022</t>
        </is>
      </c>
      <c r="B336" s="1" t="n">
        <v>44827</v>
      </c>
      <c r="C336" s="1" t="n">
        <v>45821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41716-2022</t>
        </is>
      </c>
      <c r="B337" s="1" t="n">
        <v>44827</v>
      </c>
      <c r="C337" s="1" t="n">
        <v>45821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41732-2022</t>
        </is>
      </c>
      <c r="B338" s="1" t="n">
        <v>44827</v>
      </c>
      <c r="C338" s="1" t="n">
        <v>45821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41866-2022</t>
        </is>
      </c>
      <c r="B339" s="1" t="n">
        <v>44829</v>
      </c>
      <c r="C339" s="1" t="n">
        <v>45821</v>
      </c>
      <c r="D339" t="inlineStr">
        <is>
          <t>VÄSTMANLANDS LÄN</t>
        </is>
      </c>
      <c r="E339" t="inlineStr">
        <is>
          <t>SKINNSKATTEBERG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41868-2022</t>
        </is>
      </c>
      <c r="B340" s="1" t="n">
        <v>44829</v>
      </c>
      <c r="C340" s="1" t="n">
        <v>45821</v>
      </c>
      <c r="D340" t="inlineStr">
        <is>
          <t>VÄSTMANLANDS LÄN</t>
        </is>
      </c>
      <c r="E340" t="inlineStr">
        <is>
          <t>SKINNSKATTEBERG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43384-2022</t>
        </is>
      </c>
      <c r="B341" s="1" t="n">
        <v>44834</v>
      </c>
      <c r="C341" s="1" t="n">
        <v>45821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43349-2022</t>
        </is>
      </c>
      <c r="B342" s="1" t="n">
        <v>44834</v>
      </c>
      <c r="C342" s="1" t="n">
        <v>45821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43347-2022</t>
        </is>
      </c>
      <c r="B343" s="1" t="n">
        <v>44834</v>
      </c>
      <c r="C343" s="1" t="n">
        <v>45821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45008-2022</t>
        </is>
      </c>
      <c r="B344" s="1" t="n">
        <v>44841</v>
      </c>
      <c r="C344" s="1" t="n">
        <v>45821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45010-2022</t>
        </is>
      </c>
      <c r="B345" s="1" t="n">
        <v>44841</v>
      </c>
      <c r="C345" s="1" t="n">
        <v>45821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46909-2022</t>
        </is>
      </c>
      <c r="B346" s="1" t="n">
        <v>44851</v>
      </c>
      <c r="C346" s="1" t="n">
        <v>45821</v>
      </c>
      <c r="D346" t="inlineStr">
        <is>
          <t>VÄSTMANLANDS LÄN</t>
        </is>
      </c>
      <c r="E346" t="inlineStr">
        <is>
          <t>SKINNSKATTEBERG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47658-2022</t>
        </is>
      </c>
      <c r="B347" s="1" t="n">
        <v>44852</v>
      </c>
      <c r="C347" s="1" t="n">
        <v>45821</v>
      </c>
      <c r="D347" t="inlineStr">
        <is>
          <t>VÄSTMANLANDS LÄN</t>
        </is>
      </c>
      <c r="E347" t="inlineStr">
        <is>
          <t>SKINNSKATTEBERG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47653-2022</t>
        </is>
      </c>
      <c r="B348" s="1" t="n">
        <v>44852</v>
      </c>
      <c r="C348" s="1" t="n">
        <v>45821</v>
      </c>
      <c r="D348" t="inlineStr">
        <is>
          <t>VÄSTMANLANDS LÄN</t>
        </is>
      </c>
      <c r="E348" t="inlineStr">
        <is>
          <t>SKINNSKATTEBERG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48825-2022</t>
        </is>
      </c>
      <c r="B349" s="1" t="n">
        <v>44859</v>
      </c>
      <c r="C349" s="1" t="n">
        <v>45821</v>
      </c>
      <c r="D349" t="inlineStr">
        <is>
          <t>VÄSTMANLANDS LÄN</t>
        </is>
      </c>
      <c r="E349" t="inlineStr">
        <is>
          <t>SKINNSKATTEBERG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48828-2022</t>
        </is>
      </c>
      <c r="B350" s="1" t="n">
        <v>44859</v>
      </c>
      <c r="C350" s="1" t="n">
        <v>45821</v>
      </c>
      <c r="D350" t="inlineStr">
        <is>
          <t>VÄSTMANLANDS LÄN</t>
        </is>
      </c>
      <c r="E350" t="inlineStr">
        <is>
          <t>SKINNSKATTEBERG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49687-2022</t>
        </is>
      </c>
      <c r="B351" s="1" t="n">
        <v>44862</v>
      </c>
      <c r="C351" s="1" t="n">
        <v>45821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50974-2022</t>
        </is>
      </c>
      <c r="B352" s="1" t="n">
        <v>44867</v>
      </c>
      <c r="C352" s="1" t="n">
        <v>45821</v>
      </c>
      <c r="D352" t="inlineStr">
        <is>
          <t>VÄSTMANLANDS LÄN</t>
        </is>
      </c>
      <c r="E352" t="inlineStr">
        <is>
          <t>SKINNSKATTEBERG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50980-2022</t>
        </is>
      </c>
      <c r="B353" s="1" t="n">
        <v>44867</v>
      </c>
      <c r="C353" s="1" t="n">
        <v>45821</v>
      </c>
      <c r="D353" t="inlineStr">
        <is>
          <t>VÄSTMANLANDS LÄN</t>
        </is>
      </c>
      <c r="E353" t="inlineStr">
        <is>
          <t>SKINNSKATTEBERG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51662-2022</t>
        </is>
      </c>
      <c r="B354" s="1" t="n">
        <v>44872</v>
      </c>
      <c r="C354" s="1" t="n">
        <v>45821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53454-2022</t>
        </is>
      </c>
      <c r="B355" s="1" t="n">
        <v>44879</v>
      </c>
      <c r="C355" s="1" t="n">
        <v>45821</v>
      </c>
      <c r="D355" t="inlineStr">
        <is>
          <t>VÄSTMANLANDS LÄN</t>
        </is>
      </c>
      <c r="E355" t="inlineStr">
        <is>
          <t>SKINNSKATTEBERG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54657-2022</t>
        </is>
      </c>
      <c r="B356" s="1" t="n">
        <v>44883</v>
      </c>
      <c r="C356" s="1" t="n">
        <v>45821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56537-2022</t>
        </is>
      </c>
      <c r="B357" s="1" t="n">
        <v>44887</v>
      </c>
      <c r="C357" s="1" t="n">
        <v>45821</v>
      </c>
      <c r="D357" t="inlineStr">
        <is>
          <t>VÄSTMANLANDS LÄN</t>
        </is>
      </c>
      <c r="E357" t="inlineStr">
        <is>
          <t>SKINNSKATTEBERG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56259-2022</t>
        </is>
      </c>
      <c r="B358" s="1" t="n">
        <v>44890</v>
      </c>
      <c r="C358" s="1" t="n">
        <v>45821</v>
      </c>
      <c r="D358" t="inlineStr">
        <is>
          <t>VÄSTMANLANDS LÄN</t>
        </is>
      </c>
      <c r="E358" t="inlineStr">
        <is>
          <t>SKINNSKATTEBERG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56290-2022</t>
        </is>
      </c>
      <c r="B359" s="1" t="n">
        <v>44890</v>
      </c>
      <c r="C359" s="1" t="n">
        <v>45821</v>
      </c>
      <c r="D359" t="inlineStr">
        <is>
          <t>VÄSTMANLANDS LÄN</t>
        </is>
      </c>
      <c r="E359" t="inlineStr">
        <is>
          <t>SKINNSKATTEBERG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56929-2022</t>
        </is>
      </c>
      <c r="B360" s="1" t="n">
        <v>44894</v>
      </c>
      <c r="C360" s="1" t="n">
        <v>45821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58834-2022</t>
        </is>
      </c>
      <c r="B361" s="1" t="n">
        <v>44903</v>
      </c>
      <c r="C361" s="1" t="n">
        <v>45821</v>
      </c>
      <c r="D361" t="inlineStr">
        <is>
          <t>VÄSTMANLANDS LÄN</t>
        </is>
      </c>
      <c r="E361" t="inlineStr">
        <is>
          <t>SKINNSKATTEBERG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60185-2022</t>
        </is>
      </c>
      <c r="B362" s="1" t="n">
        <v>44910</v>
      </c>
      <c r="C362" s="1" t="n">
        <v>45821</v>
      </c>
      <c r="D362" t="inlineStr">
        <is>
          <t>VÄSTMANLANDS LÄN</t>
        </is>
      </c>
      <c r="E362" t="inlineStr">
        <is>
          <t>SKINNSKATTEBERG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1069-2023</t>
        </is>
      </c>
      <c r="B363" s="1" t="n">
        <v>44935</v>
      </c>
      <c r="C363" s="1" t="n">
        <v>45821</v>
      </c>
      <c r="D363" t="inlineStr">
        <is>
          <t>VÄSTMANLANDS LÄN</t>
        </is>
      </c>
      <c r="E363" t="inlineStr">
        <is>
          <t>SKINNSKATTEBERG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1282-2023</t>
        </is>
      </c>
      <c r="B364" s="1" t="n">
        <v>44936</v>
      </c>
      <c r="C364" s="1" t="n">
        <v>45821</v>
      </c>
      <c r="D364" t="inlineStr">
        <is>
          <t>VÄSTMANLANDS LÄN</t>
        </is>
      </c>
      <c r="E364" t="inlineStr">
        <is>
          <t>SKINNSKATTEBERG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1617-2023</t>
        </is>
      </c>
      <c r="B365" s="1" t="n">
        <v>44937</v>
      </c>
      <c r="C365" s="1" t="n">
        <v>45821</v>
      </c>
      <c r="D365" t="inlineStr">
        <is>
          <t>VÄSTMANLANDS LÄN</t>
        </is>
      </c>
      <c r="E365" t="inlineStr">
        <is>
          <t>SKINNSKATTEBERG</t>
        </is>
      </c>
      <c r="G365" t="n">
        <v>15.3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4386-2023</t>
        </is>
      </c>
      <c r="B366" s="1" t="n">
        <v>44955</v>
      </c>
      <c r="C366" s="1" t="n">
        <v>45821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6183-2023</t>
        </is>
      </c>
      <c r="B367" s="1" t="n">
        <v>44964</v>
      </c>
      <c r="C367" s="1" t="n">
        <v>45821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6298-2023</t>
        </is>
      </c>
      <c r="B368" s="1" t="n">
        <v>44965</v>
      </c>
      <c r="C368" s="1" t="n">
        <v>45821</v>
      </c>
      <c r="D368" t="inlineStr">
        <is>
          <t>VÄSTMANLANDS LÄN</t>
        </is>
      </c>
      <c r="E368" t="inlineStr">
        <is>
          <t>SKINNSKATTEBERG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6943-2023</t>
        </is>
      </c>
      <c r="B369" s="1" t="n">
        <v>44967</v>
      </c>
      <c r="C369" s="1" t="n">
        <v>45821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8198-2023</t>
        </is>
      </c>
      <c r="B370" s="1" t="n">
        <v>44974</v>
      </c>
      <c r="C370" s="1" t="n">
        <v>45821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Kyrkan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8202-2023</t>
        </is>
      </c>
      <c r="B371" s="1" t="n">
        <v>44974</v>
      </c>
      <c r="C371" s="1" t="n">
        <v>45821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Kyrkan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8218-2023</t>
        </is>
      </c>
      <c r="B372" s="1" t="n">
        <v>44974</v>
      </c>
      <c r="C372" s="1" t="n">
        <v>45821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Kyrkan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8199-2023</t>
        </is>
      </c>
      <c r="B373" s="1" t="n">
        <v>44974</v>
      </c>
      <c r="C373" s="1" t="n">
        <v>45821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Kyrkan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8578-2023</t>
        </is>
      </c>
      <c r="B374" s="1" t="n">
        <v>44977</v>
      </c>
      <c r="C374" s="1" t="n">
        <v>45821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11494-2023</t>
        </is>
      </c>
      <c r="B375" s="1" t="n">
        <v>44993</v>
      </c>
      <c r="C375" s="1" t="n">
        <v>45821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12025-2023</t>
        </is>
      </c>
      <c r="B376" s="1" t="n">
        <v>44995</v>
      </c>
      <c r="C376" s="1" t="n">
        <v>45821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11992-2023</t>
        </is>
      </c>
      <c r="B377" s="1" t="n">
        <v>44995</v>
      </c>
      <c r="C377" s="1" t="n">
        <v>45821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12024-2023</t>
        </is>
      </c>
      <c r="B378" s="1" t="n">
        <v>44995</v>
      </c>
      <c r="C378" s="1" t="n">
        <v>45821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13553-2023</t>
        </is>
      </c>
      <c r="B379" s="1" t="n">
        <v>45006</v>
      </c>
      <c r="C379" s="1" t="n">
        <v>45821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Allmännings- och besparingsskogar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14172-2023</t>
        </is>
      </c>
      <c r="B380" s="1" t="n">
        <v>45009</v>
      </c>
      <c r="C380" s="1" t="n">
        <v>45821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14566-2023</t>
        </is>
      </c>
      <c r="B381" s="1" t="n">
        <v>45013</v>
      </c>
      <c r="C381" s="1" t="n">
        <v>45821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14711-2023</t>
        </is>
      </c>
      <c r="B382" s="1" t="n">
        <v>45014</v>
      </c>
      <c r="C382" s="1" t="n">
        <v>45821</v>
      </c>
      <c r="D382" t="inlineStr">
        <is>
          <t>VÄSTMANLANDS LÄN</t>
        </is>
      </c>
      <c r="E382" t="inlineStr">
        <is>
          <t>SKINNSKATTEBERG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14717-2023</t>
        </is>
      </c>
      <c r="B383" s="1" t="n">
        <v>45014</v>
      </c>
      <c r="C383" s="1" t="n">
        <v>45821</v>
      </c>
      <c r="D383" t="inlineStr">
        <is>
          <t>VÄSTMANLANDS LÄN</t>
        </is>
      </c>
      <c r="E383" t="inlineStr">
        <is>
          <t>SKINNSKATTEBERG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14733-2023</t>
        </is>
      </c>
      <c r="B384" s="1" t="n">
        <v>45014</v>
      </c>
      <c r="C384" s="1" t="n">
        <v>45821</v>
      </c>
      <c r="D384" t="inlineStr">
        <is>
          <t>VÄSTMANLANDS LÄN</t>
        </is>
      </c>
      <c r="E384" t="inlineStr">
        <is>
          <t>SKINNSKATTEBERG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14719-2023</t>
        </is>
      </c>
      <c r="B385" s="1" t="n">
        <v>45014</v>
      </c>
      <c r="C385" s="1" t="n">
        <v>45821</v>
      </c>
      <c r="D385" t="inlineStr">
        <is>
          <t>VÄSTMANLANDS LÄN</t>
        </is>
      </c>
      <c r="E385" t="inlineStr">
        <is>
          <t>SKINNSKATTEBERG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14736-2023</t>
        </is>
      </c>
      <c r="B386" s="1" t="n">
        <v>45014</v>
      </c>
      <c r="C386" s="1" t="n">
        <v>45821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15945-2023</t>
        </is>
      </c>
      <c r="B387" s="1" t="n">
        <v>45022</v>
      </c>
      <c r="C387" s="1" t="n">
        <v>45821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16801-2023</t>
        </is>
      </c>
      <c r="B388" s="1" t="n">
        <v>45033</v>
      </c>
      <c r="C388" s="1" t="n">
        <v>45821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16794-2023</t>
        </is>
      </c>
      <c r="B389" s="1" t="n">
        <v>45033</v>
      </c>
      <c r="C389" s="1" t="n">
        <v>45821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16798-2023</t>
        </is>
      </c>
      <c r="B390" s="1" t="n">
        <v>45033</v>
      </c>
      <c r="C390" s="1" t="n">
        <v>45821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16795-2023</t>
        </is>
      </c>
      <c r="B391" s="1" t="n">
        <v>45033</v>
      </c>
      <c r="C391" s="1" t="n">
        <v>45821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16800-2023</t>
        </is>
      </c>
      <c r="B392" s="1" t="n">
        <v>45033</v>
      </c>
      <c r="C392" s="1" t="n">
        <v>45821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16806-2023</t>
        </is>
      </c>
      <c r="B393" s="1" t="n">
        <v>45033</v>
      </c>
      <c r="C393" s="1" t="n">
        <v>45821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17264-2023</t>
        </is>
      </c>
      <c r="B394" s="1" t="n">
        <v>45035</v>
      </c>
      <c r="C394" s="1" t="n">
        <v>45821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17239-2023</t>
        </is>
      </c>
      <c r="B395" s="1" t="n">
        <v>45035</v>
      </c>
      <c r="C395" s="1" t="n">
        <v>45821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17263-2023</t>
        </is>
      </c>
      <c r="B396" s="1" t="n">
        <v>45035</v>
      </c>
      <c r="C396" s="1" t="n">
        <v>45821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17265-2023</t>
        </is>
      </c>
      <c r="B397" s="1" t="n">
        <v>45035</v>
      </c>
      <c r="C397" s="1" t="n">
        <v>45821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17738-2023</t>
        </is>
      </c>
      <c r="B398" s="1" t="n">
        <v>45037</v>
      </c>
      <c r="C398" s="1" t="n">
        <v>45821</v>
      </c>
      <c r="D398" t="inlineStr">
        <is>
          <t>VÄSTMANLANDS LÄN</t>
        </is>
      </c>
      <c r="E398" t="inlineStr">
        <is>
          <t>SKINNSKATTEBERG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17752-2023</t>
        </is>
      </c>
      <c r="B399" s="1" t="n">
        <v>45037</v>
      </c>
      <c r="C399" s="1" t="n">
        <v>45821</v>
      </c>
      <c r="D399" t="inlineStr">
        <is>
          <t>VÄSTMANLANDS LÄN</t>
        </is>
      </c>
      <c r="E399" t="inlineStr">
        <is>
          <t>SKINNSKATTEBERG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18109-2023</t>
        </is>
      </c>
      <c r="B400" s="1" t="n">
        <v>45040</v>
      </c>
      <c r="C400" s="1" t="n">
        <v>45821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18649-2023</t>
        </is>
      </c>
      <c r="B401" s="1" t="n">
        <v>45043</v>
      </c>
      <c r="C401" s="1" t="n">
        <v>45821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19081-2023</t>
        </is>
      </c>
      <c r="B402" s="1" t="n">
        <v>45048</v>
      </c>
      <c r="C402" s="1" t="n">
        <v>45821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19086-2023</t>
        </is>
      </c>
      <c r="B403" s="1" t="n">
        <v>45048</v>
      </c>
      <c r="C403" s="1" t="n">
        <v>45821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19093-2023</t>
        </is>
      </c>
      <c r="B404" s="1" t="n">
        <v>45048</v>
      </c>
      <c r="C404" s="1" t="n">
        <v>45821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20073-2023</t>
        </is>
      </c>
      <c r="B405" s="1" t="n">
        <v>45054</v>
      </c>
      <c r="C405" s="1" t="n">
        <v>45821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20072-2023</t>
        </is>
      </c>
      <c r="B406" s="1" t="n">
        <v>45054</v>
      </c>
      <c r="C406" s="1" t="n">
        <v>45821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20074-2023</t>
        </is>
      </c>
      <c r="B407" s="1" t="n">
        <v>45054</v>
      </c>
      <c r="C407" s="1" t="n">
        <v>45821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20430-2023</t>
        </is>
      </c>
      <c r="B408" s="1" t="n">
        <v>45056</v>
      </c>
      <c r="C408" s="1" t="n">
        <v>45821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20816-2023</t>
        </is>
      </c>
      <c r="B409" s="1" t="n">
        <v>45058</v>
      </c>
      <c r="C409" s="1" t="n">
        <v>45821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20833-2023</t>
        </is>
      </c>
      <c r="B410" s="1" t="n">
        <v>45058</v>
      </c>
      <c r="C410" s="1" t="n">
        <v>45821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21497-2023</t>
        </is>
      </c>
      <c r="B411" s="1" t="n">
        <v>45063</v>
      </c>
      <c r="C411" s="1" t="n">
        <v>45821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21558-2023</t>
        </is>
      </c>
      <c r="B412" s="1" t="n">
        <v>45063</v>
      </c>
      <c r="C412" s="1" t="n">
        <v>45821</v>
      </c>
      <c r="D412" t="inlineStr">
        <is>
          <t>VÄSTMANLANDS LÄN</t>
        </is>
      </c>
      <c r="E412" t="inlineStr">
        <is>
          <t>SKINNSKATTEBERG</t>
        </is>
      </c>
      <c r="G412" t="n">
        <v>6.5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21566-2023</t>
        </is>
      </c>
      <c r="B413" s="1" t="n">
        <v>45063</v>
      </c>
      <c r="C413" s="1" t="n">
        <v>45821</v>
      </c>
      <c r="D413" t="inlineStr">
        <is>
          <t>VÄSTMANLANDS LÄN</t>
        </is>
      </c>
      <c r="E413" t="inlineStr">
        <is>
          <t>SKINNSKATTEBERG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21571-2023</t>
        </is>
      </c>
      <c r="B414" s="1" t="n">
        <v>45063</v>
      </c>
      <c r="C414" s="1" t="n">
        <v>45821</v>
      </c>
      <c r="D414" t="inlineStr">
        <is>
          <t>VÄSTMANLANDS LÄN</t>
        </is>
      </c>
      <c r="E414" t="inlineStr">
        <is>
          <t>SKINNSKATTEBERG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21579-2023</t>
        </is>
      </c>
      <c r="B415" s="1" t="n">
        <v>45063</v>
      </c>
      <c r="C415" s="1" t="n">
        <v>45821</v>
      </c>
      <c r="D415" t="inlineStr">
        <is>
          <t>VÄSTMANLANDS LÄN</t>
        </is>
      </c>
      <c r="E415" t="inlineStr">
        <is>
          <t>SKINNSKATTEBERG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21576-2023</t>
        </is>
      </c>
      <c r="B416" s="1" t="n">
        <v>45063</v>
      </c>
      <c r="C416" s="1" t="n">
        <v>45821</v>
      </c>
      <c r="D416" t="inlineStr">
        <is>
          <t>VÄSTMANLANDS LÄN</t>
        </is>
      </c>
      <c r="E416" t="inlineStr">
        <is>
          <t>SKINNSKATTEBERG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21902-2023</t>
        </is>
      </c>
      <c r="B417" s="1" t="n">
        <v>45068</v>
      </c>
      <c r="C417" s="1" t="n">
        <v>45821</v>
      </c>
      <c r="D417" t="inlineStr">
        <is>
          <t>VÄSTMANLANDS LÄN</t>
        </is>
      </c>
      <c r="E417" t="inlineStr">
        <is>
          <t>SKINNSKATTEBERG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21908-2023</t>
        </is>
      </c>
      <c r="B418" s="1" t="n">
        <v>45068</v>
      </c>
      <c r="C418" s="1" t="n">
        <v>45821</v>
      </c>
      <c r="D418" t="inlineStr">
        <is>
          <t>VÄSTMANLANDS LÄN</t>
        </is>
      </c>
      <c r="E418" t="inlineStr">
        <is>
          <t>SKINNSKATTEBERG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22933-2023</t>
        </is>
      </c>
      <c r="B419" s="1" t="n">
        <v>45072</v>
      </c>
      <c r="C419" s="1" t="n">
        <v>45821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22937-2023</t>
        </is>
      </c>
      <c r="B420" s="1" t="n">
        <v>45072</v>
      </c>
      <c r="C420" s="1" t="n">
        <v>45821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22940-2023</t>
        </is>
      </c>
      <c r="B421" s="1" t="n">
        <v>45072</v>
      </c>
      <c r="C421" s="1" t="n">
        <v>45821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23209-2023</t>
        </is>
      </c>
      <c r="B422" s="1" t="n">
        <v>45075</v>
      </c>
      <c r="C422" s="1" t="n">
        <v>45821</v>
      </c>
      <c r="D422" t="inlineStr">
        <is>
          <t>VÄSTMANLANDS LÄN</t>
        </is>
      </c>
      <c r="E422" t="inlineStr">
        <is>
          <t>SKINNSKATTEBERG</t>
        </is>
      </c>
      <c r="G422" t="n">
        <v>11.3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23661-2023</t>
        </is>
      </c>
      <c r="B423" s="1" t="n">
        <v>45077</v>
      </c>
      <c r="C423" s="1" t="n">
        <v>45821</v>
      </c>
      <c r="D423" t="inlineStr">
        <is>
          <t>VÄSTMANLANDS LÄN</t>
        </is>
      </c>
      <c r="E423" t="inlineStr">
        <is>
          <t>SKINNSKATTEBERG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23665-2023</t>
        </is>
      </c>
      <c r="B424" s="1" t="n">
        <v>45077</v>
      </c>
      <c r="C424" s="1" t="n">
        <v>45821</v>
      </c>
      <c r="D424" t="inlineStr">
        <is>
          <t>VÄSTMANLANDS LÄN</t>
        </is>
      </c>
      <c r="E424" t="inlineStr">
        <is>
          <t>SKINNSKATTEBERG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24098-2023</t>
        </is>
      </c>
      <c r="B425" s="1" t="n">
        <v>45079</v>
      </c>
      <c r="C425" s="1" t="n">
        <v>45821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24091-2023</t>
        </is>
      </c>
      <c r="B426" s="1" t="n">
        <v>45079</v>
      </c>
      <c r="C426" s="1" t="n">
        <v>45821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24099-2023</t>
        </is>
      </c>
      <c r="B427" s="1" t="n">
        <v>45079</v>
      </c>
      <c r="C427" s="1" t="n">
        <v>45821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24137-2023</t>
        </is>
      </c>
      <c r="B428" s="1" t="n">
        <v>45079</v>
      </c>
      <c r="C428" s="1" t="n">
        <v>45821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24504-2023</t>
        </is>
      </c>
      <c r="B429" s="1" t="n">
        <v>45082</v>
      </c>
      <c r="C429" s="1" t="n">
        <v>45821</v>
      </c>
      <c r="D429" t="inlineStr">
        <is>
          <t>VÄSTMANLANDS LÄN</t>
        </is>
      </c>
      <c r="E429" t="inlineStr">
        <is>
          <t>SKINNSKATTEBERG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24427-2023</t>
        </is>
      </c>
      <c r="B430" s="1" t="n">
        <v>45082</v>
      </c>
      <c r="C430" s="1" t="n">
        <v>45821</v>
      </c>
      <c r="D430" t="inlineStr">
        <is>
          <t>VÄSTMANLANDS LÄN</t>
        </is>
      </c>
      <c r="E430" t="inlineStr">
        <is>
          <t>SKINNSKATTEBERG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24883-2023</t>
        </is>
      </c>
      <c r="B431" s="1" t="n">
        <v>45085</v>
      </c>
      <c r="C431" s="1" t="n">
        <v>45821</v>
      </c>
      <c r="D431" t="inlineStr">
        <is>
          <t>VÄSTMANLANDS LÄN</t>
        </is>
      </c>
      <c r="E431" t="inlineStr">
        <is>
          <t>SKINNSKATTEBERG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24884-2023</t>
        </is>
      </c>
      <c r="B432" s="1" t="n">
        <v>45085</v>
      </c>
      <c r="C432" s="1" t="n">
        <v>45821</v>
      </c>
      <c r="D432" t="inlineStr">
        <is>
          <t>VÄSTMANLANDS LÄN</t>
        </is>
      </c>
      <c r="E432" t="inlineStr">
        <is>
          <t>SKINNSKATTEBERG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25843-2023</t>
        </is>
      </c>
      <c r="B433" s="1" t="n">
        <v>45090</v>
      </c>
      <c r="C433" s="1" t="n">
        <v>45821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26584-2023</t>
        </is>
      </c>
      <c r="B434" s="1" t="n">
        <v>45092</v>
      </c>
      <c r="C434" s="1" t="n">
        <v>45821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26580-2023</t>
        </is>
      </c>
      <c r="B435" s="1" t="n">
        <v>45092</v>
      </c>
      <c r="C435" s="1" t="n">
        <v>45821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26581-2023</t>
        </is>
      </c>
      <c r="B436" s="1" t="n">
        <v>45092</v>
      </c>
      <c r="C436" s="1" t="n">
        <v>45821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27329-2023</t>
        </is>
      </c>
      <c r="B437" s="1" t="n">
        <v>45096</v>
      </c>
      <c r="C437" s="1" t="n">
        <v>45821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27328-2023</t>
        </is>
      </c>
      <c r="B438" s="1" t="n">
        <v>45096</v>
      </c>
      <c r="C438" s="1" t="n">
        <v>45821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27326-2023</t>
        </is>
      </c>
      <c r="B439" s="1" t="n">
        <v>45096</v>
      </c>
      <c r="C439" s="1" t="n">
        <v>45821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27653-2023</t>
        </is>
      </c>
      <c r="B440" s="1" t="n">
        <v>45097</v>
      </c>
      <c r="C440" s="1" t="n">
        <v>45821</v>
      </c>
      <c r="D440" t="inlineStr">
        <is>
          <t>VÄSTMANLANDS LÄN</t>
        </is>
      </c>
      <c r="E440" t="inlineStr">
        <is>
          <t>SKINNSKATTEBERG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27783-2023</t>
        </is>
      </c>
      <c r="B441" s="1" t="n">
        <v>45098</v>
      </c>
      <c r="C441" s="1" t="n">
        <v>45821</v>
      </c>
      <c r="D441" t="inlineStr">
        <is>
          <t>VÄSTMANLANDS LÄN</t>
        </is>
      </c>
      <c r="E441" t="inlineStr">
        <is>
          <t>SKINNSKATTEBERG</t>
        </is>
      </c>
      <c r="G441" t="n">
        <v>9.699999999999999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28312-2023</t>
        </is>
      </c>
      <c r="B442" s="1" t="n">
        <v>45099</v>
      </c>
      <c r="C442" s="1" t="n">
        <v>45821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28308-2023</t>
        </is>
      </c>
      <c r="B443" s="1" t="n">
        <v>45099</v>
      </c>
      <c r="C443" s="1" t="n">
        <v>45821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28534-2023</t>
        </is>
      </c>
      <c r="B444" s="1" t="n">
        <v>45103</v>
      </c>
      <c r="C444" s="1" t="n">
        <v>45821</v>
      </c>
      <c r="D444" t="inlineStr">
        <is>
          <t>VÄSTMANLANDS LÄN</t>
        </is>
      </c>
      <c r="E444" t="inlineStr">
        <is>
          <t>SKINNSKATTEBERG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29175-2023</t>
        </is>
      </c>
      <c r="B445" s="1" t="n">
        <v>45105</v>
      </c>
      <c r="C445" s="1" t="n">
        <v>45821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29496-2023</t>
        </is>
      </c>
      <c r="B446" s="1" t="n">
        <v>45106</v>
      </c>
      <c r="C446" s="1" t="n">
        <v>45821</v>
      </c>
      <c r="D446" t="inlineStr">
        <is>
          <t>VÄSTMANLANDS LÄN</t>
        </is>
      </c>
      <c r="E446" t="inlineStr">
        <is>
          <t>SKINNSKATTEBERG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30353-2023</t>
        </is>
      </c>
      <c r="B447" s="1" t="n">
        <v>45111</v>
      </c>
      <c r="C447" s="1" t="n">
        <v>45821</v>
      </c>
      <c r="D447" t="inlineStr">
        <is>
          <t>VÄSTMANLANDS LÄN</t>
        </is>
      </c>
      <c r="E447" t="inlineStr">
        <is>
          <t>SKINNSKATTEBERG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30361-2023</t>
        </is>
      </c>
      <c r="B448" s="1" t="n">
        <v>45111</v>
      </c>
      <c r="C448" s="1" t="n">
        <v>45821</v>
      </c>
      <c r="D448" t="inlineStr">
        <is>
          <t>VÄSTMANLANDS LÄN</t>
        </is>
      </c>
      <c r="E448" t="inlineStr">
        <is>
          <t>SKINNSKATTEBERG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31262-2023</t>
        </is>
      </c>
      <c r="B449" s="1" t="n">
        <v>45114</v>
      </c>
      <c r="C449" s="1" t="n">
        <v>45821</v>
      </c>
      <c r="D449" t="inlineStr">
        <is>
          <t>VÄSTMANLANDS LÄN</t>
        </is>
      </c>
      <c r="E449" t="inlineStr">
        <is>
          <t>SKINNSKATTEBERG</t>
        </is>
      </c>
      <c r="F449" t="inlineStr">
        <is>
          <t>Sveaskog</t>
        </is>
      </c>
      <c r="G449" t="n">
        <v>7.9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31260-2023</t>
        </is>
      </c>
      <c r="B450" s="1" t="n">
        <v>45114</v>
      </c>
      <c r="C450" s="1" t="n">
        <v>45821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31264-2023</t>
        </is>
      </c>
      <c r="B451" s="1" t="n">
        <v>45114</v>
      </c>
      <c r="C451" s="1" t="n">
        <v>45821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31268-2023</t>
        </is>
      </c>
      <c r="B452" s="1" t="n">
        <v>45114</v>
      </c>
      <c r="C452" s="1" t="n">
        <v>45821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33086-2023</t>
        </is>
      </c>
      <c r="B453" s="1" t="n">
        <v>45126</v>
      </c>
      <c r="C453" s="1" t="n">
        <v>45821</v>
      </c>
      <c r="D453" t="inlineStr">
        <is>
          <t>VÄSTMANLANDS LÄN</t>
        </is>
      </c>
      <c r="E453" t="inlineStr">
        <is>
          <t>SKINNSKATTEBERG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33406-2023</t>
        </is>
      </c>
      <c r="B454" s="1" t="n">
        <v>45128</v>
      </c>
      <c r="C454" s="1" t="n">
        <v>45821</v>
      </c>
      <c r="D454" t="inlineStr">
        <is>
          <t>VÄSTMANLANDS LÄN</t>
        </is>
      </c>
      <c r="E454" t="inlineStr">
        <is>
          <t>SKINNSKATTEBERG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33396-2023</t>
        </is>
      </c>
      <c r="B455" s="1" t="n">
        <v>45128</v>
      </c>
      <c r="C455" s="1" t="n">
        <v>45821</v>
      </c>
      <c r="D455" t="inlineStr">
        <is>
          <t>VÄSTMANLANDS LÄN</t>
        </is>
      </c>
      <c r="E455" t="inlineStr">
        <is>
          <t>SKINNSKATTEBERG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33900-2023</t>
        </is>
      </c>
      <c r="B456" s="1" t="n">
        <v>45134</v>
      </c>
      <c r="C456" s="1" t="n">
        <v>45821</v>
      </c>
      <c r="D456" t="inlineStr">
        <is>
          <t>VÄSTMANLANDS LÄN</t>
        </is>
      </c>
      <c r="E456" t="inlineStr">
        <is>
          <t>SKINNSKATTEBERG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33896-2023</t>
        </is>
      </c>
      <c r="B457" s="1" t="n">
        <v>45134</v>
      </c>
      <c r="C457" s="1" t="n">
        <v>45821</v>
      </c>
      <c r="D457" t="inlineStr">
        <is>
          <t>VÄSTMANLANDS LÄN</t>
        </is>
      </c>
      <c r="E457" t="inlineStr">
        <is>
          <t>SKINNSKATTEBERG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34606-2023</t>
        </is>
      </c>
      <c r="B458" s="1" t="n">
        <v>45140</v>
      </c>
      <c r="C458" s="1" t="n">
        <v>45821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36471-2023</t>
        </is>
      </c>
      <c r="B459" s="1" t="n">
        <v>45152</v>
      </c>
      <c r="C459" s="1" t="n">
        <v>45821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36475-2023</t>
        </is>
      </c>
      <c r="B460" s="1" t="n">
        <v>45152</v>
      </c>
      <c r="C460" s="1" t="n">
        <v>45821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36476-2023</t>
        </is>
      </c>
      <c r="B461" s="1" t="n">
        <v>45152</v>
      </c>
      <c r="C461" s="1" t="n">
        <v>45821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36473-2023</t>
        </is>
      </c>
      <c r="B462" s="1" t="n">
        <v>45152</v>
      </c>
      <c r="C462" s="1" t="n">
        <v>45821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37196-2023</t>
        </is>
      </c>
      <c r="B463" s="1" t="n">
        <v>45154</v>
      </c>
      <c r="C463" s="1" t="n">
        <v>45821</v>
      </c>
      <c r="D463" t="inlineStr">
        <is>
          <t>VÄSTMANLANDS LÄN</t>
        </is>
      </c>
      <c r="E463" t="inlineStr">
        <is>
          <t>SKINNSKATTEBERG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37007-2023</t>
        </is>
      </c>
      <c r="B464" s="1" t="n">
        <v>45155</v>
      </c>
      <c r="C464" s="1" t="n">
        <v>45821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37006-2023</t>
        </is>
      </c>
      <c r="B465" s="1" t="n">
        <v>45155</v>
      </c>
      <c r="C465" s="1" t="n">
        <v>45821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37342-2023</t>
        </is>
      </c>
      <c r="B466" s="1" t="n">
        <v>45156</v>
      </c>
      <c r="C466" s="1" t="n">
        <v>45821</v>
      </c>
      <c r="D466" t="inlineStr">
        <is>
          <t>VÄSTMANLANDS LÄN</t>
        </is>
      </c>
      <c r="E466" t="inlineStr">
        <is>
          <t>SKINNSKATTEBERG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37432-2023</t>
        </is>
      </c>
      <c r="B467" s="1" t="n">
        <v>45156</v>
      </c>
      <c r="C467" s="1" t="n">
        <v>45821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37437-2023</t>
        </is>
      </c>
      <c r="B468" s="1" t="n">
        <v>45156</v>
      </c>
      <c r="C468" s="1" t="n">
        <v>45821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37880-2023</t>
        </is>
      </c>
      <c r="B469" s="1" t="n">
        <v>45160</v>
      </c>
      <c r="C469" s="1" t="n">
        <v>45821</v>
      </c>
      <c r="D469" t="inlineStr">
        <is>
          <t>VÄSTMANLANDS LÄN</t>
        </is>
      </c>
      <c r="E469" t="inlineStr">
        <is>
          <t>SKINNSKATTEBERG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38521-2023</t>
        </is>
      </c>
      <c r="B470" s="1" t="n">
        <v>45162</v>
      </c>
      <c r="C470" s="1" t="n">
        <v>45821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38714-2023</t>
        </is>
      </c>
      <c r="B471" s="1" t="n">
        <v>45163</v>
      </c>
      <c r="C471" s="1" t="n">
        <v>45821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38739-2023</t>
        </is>
      </c>
      <c r="B472" s="1" t="n">
        <v>45163</v>
      </c>
      <c r="C472" s="1" t="n">
        <v>45821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38731-2023</t>
        </is>
      </c>
      <c r="B473" s="1" t="n">
        <v>45163</v>
      </c>
      <c r="C473" s="1" t="n">
        <v>45821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40301-2023</t>
        </is>
      </c>
      <c r="B474" s="1" t="n">
        <v>45169</v>
      </c>
      <c r="C474" s="1" t="n">
        <v>45821</v>
      </c>
      <c r="D474" t="inlineStr">
        <is>
          <t>VÄSTMANLANDS LÄN</t>
        </is>
      </c>
      <c r="E474" t="inlineStr">
        <is>
          <t>SKINNSKATTEBERG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40320-2023</t>
        </is>
      </c>
      <c r="B475" s="1" t="n">
        <v>45169</v>
      </c>
      <c r="C475" s="1" t="n">
        <v>45821</v>
      </c>
      <c r="D475" t="inlineStr">
        <is>
          <t>VÄSTMANLANDS LÄN</t>
        </is>
      </c>
      <c r="E475" t="inlineStr">
        <is>
          <t>SKINNSKATTEBERG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40517-2023</t>
        </is>
      </c>
      <c r="B476" s="1" t="n">
        <v>45170</v>
      </c>
      <c r="C476" s="1" t="n">
        <v>45821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40545-2023</t>
        </is>
      </c>
      <c r="B477" s="1" t="n">
        <v>45170</v>
      </c>
      <c r="C477" s="1" t="n">
        <v>45821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40495-2023</t>
        </is>
      </c>
      <c r="B478" s="1" t="n">
        <v>45170</v>
      </c>
      <c r="C478" s="1" t="n">
        <v>45821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40521-2023</t>
        </is>
      </c>
      <c r="B479" s="1" t="n">
        <v>45170</v>
      </c>
      <c r="C479" s="1" t="n">
        <v>45821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40539-2023</t>
        </is>
      </c>
      <c r="B480" s="1" t="n">
        <v>45170</v>
      </c>
      <c r="C480" s="1" t="n">
        <v>45821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40497-2023</t>
        </is>
      </c>
      <c r="B481" s="1" t="n">
        <v>45170</v>
      </c>
      <c r="C481" s="1" t="n">
        <v>45821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40519-2023</t>
        </is>
      </c>
      <c r="B482" s="1" t="n">
        <v>45170</v>
      </c>
      <c r="C482" s="1" t="n">
        <v>45821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40546-2023</t>
        </is>
      </c>
      <c r="B483" s="1" t="n">
        <v>45170</v>
      </c>
      <c r="C483" s="1" t="n">
        <v>45821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41333-2023</t>
        </is>
      </c>
      <c r="B484" s="1" t="n">
        <v>45174</v>
      </c>
      <c r="C484" s="1" t="n">
        <v>45821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41334-2023</t>
        </is>
      </c>
      <c r="B485" s="1" t="n">
        <v>45174</v>
      </c>
      <c r="C485" s="1" t="n">
        <v>45821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41332-2023</t>
        </is>
      </c>
      <c r="B486" s="1" t="n">
        <v>45174</v>
      </c>
      <c r="C486" s="1" t="n">
        <v>45821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41562-2023</t>
        </is>
      </c>
      <c r="B487" s="1" t="n">
        <v>45175</v>
      </c>
      <c r="C487" s="1" t="n">
        <v>45821</v>
      </c>
      <c r="D487" t="inlineStr">
        <is>
          <t>VÄSTMANLANDS LÄN</t>
        </is>
      </c>
      <c r="E487" t="inlineStr">
        <is>
          <t>SKINNSKATTEBERG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41797-2023</t>
        </is>
      </c>
      <c r="B488" s="1" t="n">
        <v>45176</v>
      </c>
      <c r="C488" s="1" t="n">
        <v>45821</v>
      </c>
      <c r="D488" t="inlineStr">
        <is>
          <t>VÄSTMANLANDS LÄN</t>
        </is>
      </c>
      <c r="E488" t="inlineStr">
        <is>
          <t>SKINNSKATTEBERG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41866-2023</t>
        </is>
      </c>
      <c r="B489" s="1" t="n">
        <v>45176</v>
      </c>
      <c r="C489" s="1" t="n">
        <v>45821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42082-2023</t>
        </is>
      </c>
      <c r="B490" s="1" t="n">
        <v>45177</v>
      </c>
      <c r="C490" s="1" t="n">
        <v>45821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42092-2023</t>
        </is>
      </c>
      <c r="B491" s="1" t="n">
        <v>45177</v>
      </c>
      <c r="C491" s="1" t="n">
        <v>45821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42087-2023</t>
        </is>
      </c>
      <c r="B492" s="1" t="n">
        <v>45177</v>
      </c>
      <c r="C492" s="1" t="n">
        <v>45821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42093-2023</t>
        </is>
      </c>
      <c r="B493" s="1" t="n">
        <v>45177</v>
      </c>
      <c r="C493" s="1" t="n">
        <v>45821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42425-2023</t>
        </is>
      </c>
      <c r="B494" s="1" t="n">
        <v>45180</v>
      </c>
      <c r="C494" s="1" t="n">
        <v>45821</v>
      </c>
      <c r="D494" t="inlineStr">
        <is>
          <t>VÄSTMANLANDS LÄN</t>
        </is>
      </c>
      <c r="E494" t="inlineStr">
        <is>
          <t>SKINNSKATTEBERG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42976-2023</t>
        </is>
      </c>
      <c r="B495" s="1" t="n">
        <v>45182</v>
      </c>
      <c r="C495" s="1" t="n">
        <v>45821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42973-2023</t>
        </is>
      </c>
      <c r="B496" s="1" t="n">
        <v>45182</v>
      </c>
      <c r="C496" s="1" t="n">
        <v>45821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44906-2023</t>
        </is>
      </c>
      <c r="B497" s="1" t="n">
        <v>45190</v>
      </c>
      <c r="C497" s="1" t="n">
        <v>45821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44914-2023</t>
        </is>
      </c>
      <c r="B498" s="1" t="n">
        <v>45190</v>
      </c>
      <c r="C498" s="1" t="n">
        <v>45821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44903-2023</t>
        </is>
      </c>
      <c r="B499" s="1" t="n">
        <v>45190</v>
      </c>
      <c r="C499" s="1" t="n">
        <v>45821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7.9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45376-2023</t>
        </is>
      </c>
      <c r="B500" s="1" t="n">
        <v>45193</v>
      </c>
      <c r="C500" s="1" t="n">
        <v>45821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45375-2023</t>
        </is>
      </c>
      <c r="B501" s="1" t="n">
        <v>45193</v>
      </c>
      <c r="C501" s="1" t="n">
        <v>45821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45511-2023</t>
        </is>
      </c>
      <c r="B502" s="1" t="n">
        <v>45194</v>
      </c>
      <c r="C502" s="1" t="n">
        <v>45821</v>
      </c>
      <c r="D502" t="inlineStr">
        <is>
          <t>VÄSTMANLANDS LÄN</t>
        </is>
      </c>
      <c r="E502" t="inlineStr">
        <is>
          <t>SKINNSKATTEBERG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45867-2023</t>
        </is>
      </c>
      <c r="B503" s="1" t="n">
        <v>45195</v>
      </c>
      <c r="C503" s="1" t="n">
        <v>45821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46760-2023</t>
        </is>
      </c>
      <c r="B504" s="1" t="n">
        <v>45198</v>
      </c>
      <c r="C504" s="1" t="n">
        <v>45821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47693-2023</t>
        </is>
      </c>
      <c r="B505" s="1" t="n">
        <v>45198</v>
      </c>
      <c r="C505" s="1" t="n">
        <v>45821</v>
      </c>
      <c r="D505" t="inlineStr">
        <is>
          <t>VÄSTMANLANDS LÄN</t>
        </is>
      </c>
      <c r="E505" t="inlineStr">
        <is>
          <t>SKINNSKATTEBERG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47689-2023</t>
        </is>
      </c>
      <c r="B506" s="1" t="n">
        <v>45198</v>
      </c>
      <c r="C506" s="1" t="n">
        <v>45821</v>
      </c>
      <c r="D506" t="inlineStr">
        <is>
          <t>VÄSTMANLANDS LÄN</t>
        </is>
      </c>
      <c r="E506" t="inlineStr">
        <is>
          <t>SKINNSKATTEBERG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47681-2023</t>
        </is>
      </c>
      <c r="B507" s="1" t="n">
        <v>45198</v>
      </c>
      <c r="C507" s="1" t="n">
        <v>45821</v>
      </c>
      <c r="D507" t="inlineStr">
        <is>
          <t>VÄSTMANLANDS LÄN</t>
        </is>
      </c>
      <c r="E507" t="inlineStr">
        <is>
          <t>SKINNSKATTEBERG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48037-2023</t>
        </is>
      </c>
      <c r="B508" s="1" t="n">
        <v>45204</v>
      </c>
      <c r="C508" s="1" t="n">
        <v>45821</v>
      </c>
      <c r="D508" t="inlineStr">
        <is>
          <t>VÄSTMANLANDS LÄN</t>
        </is>
      </c>
      <c r="E508" t="inlineStr">
        <is>
          <t>SKINNSKATTEBERG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50422-2023</t>
        </is>
      </c>
      <c r="B509" s="1" t="n">
        <v>45216</v>
      </c>
      <c r="C509" s="1" t="n">
        <v>45821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50409-2023</t>
        </is>
      </c>
      <c r="B510" s="1" t="n">
        <v>45216</v>
      </c>
      <c r="C510" s="1" t="n">
        <v>45821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50415-2023</t>
        </is>
      </c>
      <c r="B511" s="1" t="n">
        <v>45216</v>
      </c>
      <c r="C511" s="1" t="n">
        <v>45821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50407-2023</t>
        </is>
      </c>
      <c r="B512" s="1" t="n">
        <v>45216</v>
      </c>
      <c r="C512" s="1" t="n">
        <v>45821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50416-2023</t>
        </is>
      </c>
      <c r="B513" s="1" t="n">
        <v>45216</v>
      </c>
      <c r="C513" s="1" t="n">
        <v>45821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50408-2023</t>
        </is>
      </c>
      <c r="B514" s="1" t="n">
        <v>45216</v>
      </c>
      <c r="C514" s="1" t="n">
        <v>45821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50641-2023</t>
        </is>
      </c>
      <c r="B515" s="1" t="n">
        <v>45217</v>
      </c>
      <c r="C515" s="1" t="n">
        <v>45821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51680-2023</t>
        </is>
      </c>
      <c r="B516" s="1" t="n">
        <v>45222</v>
      </c>
      <c r="C516" s="1" t="n">
        <v>45821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54296-2023</t>
        </is>
      </c>
      <c r="B517" s="1" t="n">
        <v>45232</v>
      </c>
      <c r="C517" s="1" t="n">
        <v>45821</v>
      </c>
      <c r="D517" t="inlineStr">
        <is>
          <t>VÄSTMANLANDS LÄN</t>
        </is>
      </c>
      <c r="E517" t="inlineStr">
        <is>
          <t>SKINNSKATTEBERG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55181-2023</t>
        </is>
      </c>
      <c r="B518" s="1" t="n">
        <v>45237</v>
      </c>
      <c r="C518" s="1" t="n">
        <v>45821</v>
      </c>
      <c r="D518" t="inlineStr">
        <is>
          <t>VÄSTMANLANDS LÄN</t>
        </is>
      </c>
      <c r="E518" t="inlineStr">
        <is>
          <t>SKINNSKATTEBERG</t>
        </is>
      </c>
      <c r="G518" t="n">
        <v>8.4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55229-2023</t>
        </is>
      </c>
      <c r="B519" s="1" t="n">
        <v>45237</v>
      </c>
      <c r="C519" s="1" t="n">
        <v>45821</v>
      </c>
      <c r="D519" t="inlineStr">
        <is>
          <t>VÄSTMANLANDS LÄN</t>
        </is>
      </c>
      <c r="E519" t="inlineStr">
        <is>
          <t>SKINNSKATTEBERG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55210-2023</t>
        </is>
      </c>
      <c r="B520" s="1" t="n">
        <v>45237</v>
      </c>
      <c r="C520" s="1" t="n">
        <v>45821</v>
      </c>
      <c r="D520" t="inlineStr">
        <is>
          <t>VÄSTMANLANDS LÄN</t>
        </is>
      </c>
      <c r="E520" t="inlineStr">
        <is>
          <t>SKINNSKATTEBERG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56357-2023</t>
        </is>
      </c>
      <c r="B521" s="1" t="n">
        <v>45243</v>
      </c>
      <c r="C521" s="1" t="n">
        <v>45821</v>
      </c>
      <c r="D521" t="inlineStr">
        <is>
          <t>VÄSTMANLANDS LÄN</t>
        </is>
      </c>
      <c r="E521" t="inlineStr">
        <is>
          <t>SKINNSKATTEBERG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56921-2023</t>
        </is>
      </c>
      <c r="B522" s="1" t="n">
        <v>45244</v>
      </c>
      <c r="C522" s="1" t="n">
        <v>45821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Kyrkan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56990-2023</t>
        </is>
      </c>
      <c r="B523" s="1" t="n">
        <v>45244</v>
      </c>
      <c r="C523" s="1" t="n">
        <v>45821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56992-2023</t>
        </is>
      </c>
      <c r="B524" s="1" t="n">
        <v>45244</v>
      </c>
      <c r="C524" s="1" t="n">
        <v>45821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57343-2023</t>
        </is>
      </c>
      <c r="B525" s="1" t="n">
        <v>45245</v>
      </c>
      <c r="C525" s="1" t="n">
        <v>45821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57747-2023</t>
        </is>
      </c>
      <c r="B526" s="1" t="n">
        <v>45246</v>
      </c>
      <c r="C526" s="1" t="n">
        <v>45821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57983-2023</t>
        </is>
      </c>
      <c r="B527" s="1" t="n">
        <v>45247</v>
      </c>
      <c r="C527" s="1" t="n">
        <v>45821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57981-2023</t>
        </is>
      </c>
      <c r="B528" s="1" t="n">
        <v>45247</v>
      </c>
      <c r="C528" s="1" t="n">
        <v>45821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57986-2023</t>
        </is>
      </c>
      <c r="B529" s="1" t="n">
        <v>45247</v>
      </c>
      <c r="C529" s="1" t="n">
        <v>45821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57984-2023</t>
        </is>
      </c>
      <c r="B530" s="1" t="n">
        <v>45247</v>
      </c>
      <c r="C530" s="1" t="n">
        <v>45821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58317-2023</t>
        </is>
      </c>
      <c r="B531" s="1" t="n">
        <v>45250</v>
      </c>
      <c r="C531" s="1" t="n">
        <v>45821</v>
      </c>
      <c r="D531" t="inlineStr">
        <is>
          <t>VÄSTMANLANDS LÄN</t>
        </is>
      </c>
      <c r="E531" t="inlineStr">
        <is>
          <t>SKINNSKATTEBERG</t>
        </is>
      </c>
      <c r="G531" t="n">
        <v>10.1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58246-2023</t>
        </is>
      </c>
      <c r="B532" s="1" t="n">
        <v>45250</v>
      </c>
      <c r="C532" s="1" t="n">
        <v>45821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58970-2023</t>
        </is>
      </c>
      <c r="B533" s="1" t="n">
        <v>45252</v>
      </c>
      <c r="C533" s="1" t="n">
        <v>45821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58975-2023</t>
        </is>
      </c>
      <c r="B534" s="1" t="n">
        <v>45252</v>
      </c>
      <c r="C534" s="1" t="n">
        <v>45821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58979-2023</t>
        </is>
      </c>
      <c r="B535" s="1" t="n">
        <v>45252</v>
      </c>
      <c r="C535" s="1" t="n">
        <v>45821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58973-2023</t>
        </is>
      </c>
      <c r="B536" s="1" t="n">
        <v>45252</v>
      </c>
      <c r="C536" s="1" t="n">
        <v>45821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58978-2023</t>
        </is>
      </c>
      <c r="B537" s="1" t="n">
        <v>45252</v>
      </c>
      <c r="C537" s="1" t="n">
        <v>45821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58987-2023</t>
        </is>
      </c>
      <c r="B538" s="1" t="n">
        <v>45252</v>
      </c>
      <c r="C538" s="1" t="n">
        <v>45821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59337-2023</t>
        </is>
      </c>
      <c r="B539" s="1" t="n">
        <v>45252</v>
      </c>
      <c r="C539" s="1" t="n">
        <v>45821</v>
      </c>
      <c r="D539" t="inlineStr">
        <is>
          <t>VÄSTMANLANDS LÄN</t>
        </is>
      </c>
      <c r="E539" t="inlineStr">
        <is>
          <t>SKINNSKATTEBERG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59717-2023</t>
        </is>
      </c>
      <c r="B540" s="1" t="n">
        <v>45257</v>
      </c>
      <c r="C540" s="1" t="n">
        <v>45821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61424-2023</t>
        </is>
      </c>
      <c r="B541" s="1" t="n">
        <v>45264</v>
      </c>
      <c r="C541" s="1" t="n">
        <v>45821</v>
      </c>
      <c r="D541" t="inlineStr">
        <is>
          <t>VÄSTMANLANDS LÄN</t>
        </is>
      </c>
      <c r="E541" t="inlineStr">
        <is>
          <t>SKINNSKATTEBERG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62487-2023</t>
        </is>
      </c>
      <c r="B542" s="1" t="n">
        <v>45268</v>
      </c>
      <c r="C542" s="1" t="n">
        <v>45821</v>
      </c>
      <c r="D542" t="inlineStr">
        <is>
          <t>VÄSTMANLANDS LÄN</t>
        </is>
      </c>
      <c r="E542" t="inlineStr">
        <is>
          <t>SKINNSKATTEBERG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64001-2023</t>
        </is>
      </c>
      <c r="B543" s="1" t="n">
        <v>45278</v>
      </c>
      <c r="C543" s="1" t="n">
        <v>45821</v>
      </c>
      <c r="D543" t="inlineStr">
        <is>
          <t>VÄSTMANLANDS LÄN</t>
        </is>
      </c>
      <c r="E543" t="inlineStr">
        <is>
          <t>SKINNSKATTEBERG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63999-2023</t>
        </is>
      </c>
      <c r="B544" s="1" t="n">
        <v>45278</v>
      </c>
      <c r="C544" s="1" t="n">
        <v>45821</v>
      </c>
      <c r="D544" t="inlineStr">
        <is>
          <t>VÄSTMANLANDS LÄN</t>
        </is>
      </c>
      <c r="E544" t="inlineStr">
        <is>
          <t>SKINNSKATTEBERG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64176-2023</t>
        </is>
      </c>
      <c r="B545" s="1" t="n">
        <v>45279</v>
      </c>
      <c r="C545" s="1" t="n">
        <v>45821</v>
      </c>
      <c r="D545" t="inlineStr">
        <is>
          <t>VÄSTMANLANDS LÄN</t>
        </is>
      </c>
      <c r="E545" t="inlineStr">
        <is>
          <t>SKINNSKATTEBERG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64448-2023</t>
        </is>
      </c>
      <c r="B546" s="1" t="n">
        <v>45280</v>
      </c>
      <c r="C546" s="1" t="n">
        <v>45821</v>
      </c>
      <c r="D546" t="inlineStr">
        <is>
          <t>VÄSTMANLANDS LÄN</t>
        </is>
      </c>
      <c r="E546" t="inlineStr">
        <is>
          <t>SKINNSKATTEBERG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1611-2024</t>
        </is>
      </c>
      <c r="B547" s="1" t="n">
        <v>45306</v>
      </c>
      <c r="C547" s="1" t="n">
        <v>45821</v>
      </c>
      <c r="D547" t="inlineStr">
        <is>
          <t>VÄSTMANLANDS LÄN</t>
        </is>
      </c>
      <c r="E547" t="inlineStr">
        <is>
          <t>SKINNSKATTEBERG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1619-2024</t>
        </is>
      </c>
      <c r="B548" s="1" t="n">
        <v>45306</v>
      </c>
      <c r="C548" s="1" t="n">
        <v>45821</v>
      </c>
      <c r="D548" t="inlineStr">
        <is>
          <t>VÄSTMANLANDS LÄN</t>
        </is>
      </c>
      <c r="E548" t="inlineStr">
        <is>
          <t>SKINNSKATTEBERG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1620-2024</t>
        </is>
      </c>
      <c r="B549" s="1" t="n">
        <v>45306</v>
      </c>
      <c r="C549" s="1" t="n">
        <v>45821</v>
      </c>
      <c r="D549" t="inlineStr">
        <is>
          <t>VÄSTMANLANDS LÄN</t>
        </is>
      </c>
      <c r="E549" t="inlineStr">
        <is>
          <t>SKINNSKATTEBERG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3755-2024</t>
        </is>
      </c>
      <c r="B550" s="1" t="n">
        <v>45321</v>
      </c>
      <c r="C550" s="1" t="n">
        <v>45821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4000-2024</t>
        </is>
      </c>
      <c r="B551" s="1" t="n">
        <v>45322</v>
      </c>
      <c r="C551" s="1" t="n">
        <v>45821</v>
      </c>
      <c r="D551" t="inlineStr">
        <is>
          <t>VÄSTMANLANDS LÄN</t>
        </is>
      </c>
      <c r="E551" t="inlineStr">
        <is>
          <t>SKINNSKATTEBERG</t>
        </is>
      </c>
      <c r="G551" t="n">
        <v>14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5001-2024</t>
        </is>
      </c>
      <c r="B552" s="1" t="n">
        <v>45329</v>
      </c>
      <c r="C552" s="1" t="n">
        <v>45821</v>
      </c>
      <c r="D552" t="inlineStr">
        <is>
          <t>VÄSTMANLANDS LÄN</t>
        </is>
      </c>
      <c r="E552" t="inlineStr">
        <is>
          <t>SKINNSKATTEBERG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5154-2024</t>
        </is>
      </c>
      <c r="B553" s="1" t="n">
        <v>45330</v>
      </c>
      <c r="C553" s="1" t="n">
        <v>45821</v>
      </c>
      <c r="D553" t="inlineStr">
        <is>
          <t>VÄSTMANLANDS LÄN</t>
        </is>
      </c>
      <c r="E553" t="inlineStr">
        <is>
          <t>SKINNSKATTEBERG</t>
        </is>
      </c>
      <c r="G553" t="n">
        <v>12.4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9485-2024</t>
        </is>
      </c>
      <c r="B554" s="1" t="n">
        <v>45359</v>
      </c>
      <c r="C554" s="1" t="n">
        <v>45821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9489-2024</t>
        </is>
      </c>
      <c r="B555" s="1" t="n">
        <v>45359</v>
      </c>
      <c r="C555" s="1" t="n">
        <v>45821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9487-2024</t>
        </is>
      </c>
      <c r="B556" s="1" t="n">
        <v>45359</v>
      </c>
      <c r="C556" s="1" t="n">
        <v>45821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9491-2024</t>
        </is>
      </c>
      <c r="B557" s="1" t="n">
        <v>45359</v>
      </c>
      <c r="C557" s="1" t="n">
        <v>45821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9486-2024</t>
        </is>
      </c>
      <c r="B558" s="1" t="n">
        <v>45359</v>
      </c>
      <c r="C558" s="1" t="n">
        <v>45821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9490-2024</t>
        </is>
      </c>
      <c r="B559" s="1" t="n">
        <v>45359</v>
      </c>
      <c r="C559" s="1" t="n">
        <v>45821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10530-2024</t>
        </is>
      </c>
      <c r="B560" s="1" t="n">
        <v>45366</v>
      </c>
      <c r="C560" s="1" t="n">
        <v>45821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10536-2024</t>
        </is>
      </c>
      <c r="B561" s="1" t="n">
        <v>45366</v>
      </c>
      <c r="C561" s="1" t="n">
        <v>45821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10519-2024</t>
        </is>
      </c>
      <c r="B562" s="1" t="n">
        <v>45366</v>
      </c>
      <c r="C562" s="1" t="n">
        <v>45821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10527-2024</t>
        </is>
      </c>
      <c r="B563" s="1" t="n">
        <v>45366</v>
      </c>
      <c r="C563" s="1" t="n">
        <v>45821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10535-2024</t>
        </is>
      </c>
      <c r="B564" s="1" t="n">
        <v>45366</v>
      </c>
      <c r="C564" s="1" t="n">
        <v>45821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10555-2024</t>
        </is>
      </c>
      <c r="B565" s="1" t="n">
        <v>45366</v>
      </c>
      <c r="C565" s="1" t="n">
        <v>45821</v>
      </c>
      <c r="D565" t="inlineStr">
        <is>
          <t>VÄSTMANLANDS LÄN</t>
        </is>
      </c>
      <c r="E565" t="inlineStr">
        <is>
          <t>SKINNSKATTEBERG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11800-2024</t>
        </is>
      </c>
      <c r="B566" s="1" t="n">
        <v>45375</v>
      </c>
      <c r="C566" s="1" t="n">
        <v>45821</v>
      </c>
      <c r="D566" t="inlineStr">
        <is>
          <t>VÄSTMANLANDS LÄN</t>
        </is>
      </c>
      <c r="E566" t="inlineStr">
        <is>
          <t>SKINNSKATTEBERG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11823-2024</t>
        </is>
      </c>
      <c r="B567" s="1" t="n">
        <v>45376</v>
      </c>
      <c r="C567" s="1" t="n">
        <v>45821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11826-2024</t>
        </is>
      </c>
      <c r="B568" s="1" t="n">
        <v>45376</v>
      </c>
      <c r="C568" s="1" t="n">
        <v>45821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11822-2024</t>
        </is>
      </c>
      <c r="B569" s="1" t="n">
        <v>45376</v>
      </c>
      <c r="C569" s="1" t="n">
        <v>45821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11827-2024</t>
        </is>
      </c>
      <c r="B570" s="1" t="n">
        <v>45376</v>
      </c>
      <c r="C570" s="1" t="n">
        <v>45821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12158-2024</t>
        </is>
      </c>
      <c r="B571" s="1" t="n">
        <v>45377</v>
      </c>
      <c r="C571" s="1" t="n">
        <v>45821</v>
      </c>
      <c r="D571" t="inlineStr">
        <is>
          <t>VÄSTMANLANDS LÄN</t>
        </is>
      </c>
      <c r="E571" t="inlineStr">
        <is>
          <t>SKINNSKATTEBERG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12094-2024</t>
        </is>
      </c>
      <c r="B572" s="1" t="n">
        <v>45377</v>
      </c>
      <c r="C572" s="1" t="n">
        <v>45821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13.4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12095-2024</t>
        </is>
      </c>
      <c r="B573" s="1" t="n">
        <v>45377</v>
      </c>
      <c r="C573" s="1" t="n">
        <v>45821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12096-2024</t>
        </is>
      </c>
      <c r="B574" s="1" t="n">
        <v>45377</v>
      </c>
      <c r="C574" s="1" t="n">
        <v>45821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12888-2024</t>
        </is>
      </c>
      <c r="B575" s="1" t="n">
        <v>45385</v>
      </c>
      <c r="C575" s="1" t="n">
        <v>45821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13295-2024</t>
        </is>
      </c>
      <c r="B576" s="1" t="n">
        <v>45386</v>
      </c>
      <c r="C576" s="1" t="n">
        <v>45821</v>
      </c>
      <c r="D576" t="inlineStr">
        <is>
          <t>VÄSTMANLANDS LÄN</t>
        </is>
      </c>
      <c r="E576" t="inlineStr">
        <is>
          <t>SKINNSKATTEBERG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13388-2024</t>
        </is>
      </c>
      <c r="B577" s="1" t="n">
        <v>45387</v>
      </c>
      <c r="C577" s="1" t="n">
        <v>45821</v>
      </c>
      <c r="D577" t="inlineStr">
        <is>
          <t>VÄSTMANLANDS LÄN</t>
        </is>
      </c>
      <c r="E577" t="inlineStr">
        <is>
          <t>SKINNSKATTEBERG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13387-2024</t>
        </is>
      </c>
      <c r="B578" s="1" t="n">
        <v>45387</v>
      </c>
      <c r="C578" s="1" t="n">
        <v>45821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13383-2024</t>
        </is>
      </c>
      <c r="B579" s="1" t="n">
        <v>45387</v>
      </c>
      <c r="C579" s="1" t="n">
        <v>45821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13385-2024</t>
        </is>
      </c>
      <c r="B580" s="1" t="n">
        <v>45387</v>
      </c>
      <c r="C580" s="1" t="n">
        <v>45821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13715-2024</t>
        </is>
      </c>
      <c r="B581" s="1" t="n">
        <v>45390</v>
      </c>
      <c r="C581" s="1" t="n">
        <v>45821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13713-2024</t>
        </is>
      </c>
      <c r="B582" s="1" t="n">
        <v>45390</v>
      </c>
      <c r="C582" s="1" t="n">
        <v>45821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13996-2024</t>
        </is>
      </c>
      <c r="B583" s="1" t="n">
        <v>45392</v>
      </c>
      <c r="C583" s="1" t="n">
        <v>45821</v>
      </c>
      <c r="D583" t="inlineStr">
        <is>
          <t>VÄSTMANLANDS LÄN</t>
        </is>
      </c>
      <c r="E583" t="inlineStr">
        <is>
          <t>SKINNSKATTEBERG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14002-2024</t>
        </is>
      </c>
      <c r="B584" s="1" t="n">
        <v>45392</v>
      </c>
      <c r="C584" s="1" t="n">
        <v>45821</v>
      </c>
      <c r="D584" t="inlineStr">
        <is>
          <t>VÄSTMANLANDS LÄN</t>
        </is>
      </c>
      <c r="E584" t="inlineStr">
        <is>
          <t>SKINNSKATTEBERG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14189-2024</t>
        </is>
      </c>
      <c r="B585" s="1" t="n">
        <v>45393</v>
      </c>
      <c r="C585" s="1" t="n">
        <v>45821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14335-2024</t>
        </is>
      </c>
      <c r="B586" s="1" t="n">
        <v>45393</v>
      </c>
      <c r="C586" s="1" t="n">
        <v>45821</v>
      </c>
      <c r="D586" t="inlineStr">
        <is>
          <t>VÄSTMANLANDS LÄN</t>
        </is>
      </c>
      <c r="E586" t="inlineStr">
        <is>
          <t>SKINNSKATTEBERG</t>
        </is>
      </c>
      <c r="G586" t="n">
        <v>6.4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14406-2024</t>
        </is>
      </c>
      <c r="B587" s="1" t="n">
        <v>45394</v>
      </c>
      <c r="C587" s="1" t="n">
        <v>45821</v>
      </c>
      <c r="D587" t="inlineStr">
        <is>
          <t>VÄSTMANLANDS LÄN</t>
        </is>
      </c>
      <c r="E587" t="inlineStr">
        <is>
          <t>SKINNSKATTEBERG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14627-2024</t>
        </is>
      </c>
      <c r="B588" s="1" t="n">
        <v>45397</v>
      </c>
      <c r="C588" s="1" t="n">
        <v>45821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14626-2024</t>
        </is>
      </c>
      <c r="B589" s="1" t="n">
        <v>45397</v>
      </c>
      <c r="C589" s="1" t="n">
        <v>45821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15298-2024</t>
        </is>
      </c>
      <c r="B590" s="1" t="n">
        <v>45400</v>
      </c>
      <c r="C590" s="1" t="n">
        <v>45821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12.4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15542-2024</t>
        </is>
      </c>
      <c r="B591" s="1" t="n">
        <v>45401</v>
      </c>
      <c r="C591" s="1" t="n">
        <v>45821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15539-2024</t>
        </is>
      </c>
      <c r="B592" s="1" t="n">
        <v>45401</v>
      </c>
      <c r="C592" s="1" t="n">
        <v>45821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15512-2024</t>
        </is>
      </c>
      <c r="B593" s="1" t="n">
        <v>45401</v>
      </c>
      <c r="C593" s="1" t="n">
        <v>45821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15541-2024</t>
        </is>
      </c>
      <c r="B594" s="1" t="n">
        <v>45401</v>
      </c>
      <c r="C594" s="1" t="n">
        <v>45821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15561-2024</t>
        </is>
      </c>
      <c r="B595" s="1" t="n">
        <v>45401</v>
      </c>
      <c r="C595" s="1" t="n">
        <v>45821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15540-2024</t>
        </is>
      </c>
      <c r="B596" s="1" t="n">
        <v>45401</v>
      </c>
      <c r="C596" s="1" t="n">
        <v>45821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15737-2024</t>
        </is>
      </c>
      <c r="B597" s="1" t="n">
        <v>45404</v>
      </c>
      <c r="C597" s="1" t="n">
        <v>45821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16088-2024</t>
        </is>
      </c>
      <c r="B598" s="1" t="n">
        <v>45406</v>
      </c>
      <c r="C598" s="1" t="n">
        <v>45821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16089-2024</t>
        </is>
      </c>
      <c r="B599" s="1" t="n">
        <v>45406</v>
      </c>
      <c r="C599" s="1" t="n">
        <v>45821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16358-2024</t>
        </is>
      </c>
      <c r="B600" s="1" t="n">
        <v>45407</v>
      </c>
      <c r="C600" s="1" t="n">
        <v>45821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16389-2024</t>
        </is>
      </c>
      <c r="B601" s="1" t="n">
        <v>45407</v>
      </c>
      <c r="C601" s="1" t="n">
        <v>45821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16393-2024</t>
        </is>
      </c>
      <c r="B602" s="1" t="n">
        <v>45407</v>
      </c>
      <c r="C602" s="1" t="n">
        <v>45821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16397-2024</t>
        </is>
      </c>
      <c r="B603" s="1" t="n">
        <v>45407</v>
      </c>
      <c r="C603" s="1" t="n">
        <v>45821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16394-2024</t>
        </is>
      </c>
      <c r="B604" s="1" t="n">
        <v>45407</v>
      </c>
      <c r="C604" s="1" t="n">
        <v>45821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16356-2024</t>
        </is>
      </c>
      <c r="B605" s="1" t="n">
        <v>45407</v>
      </c>
      <c r="C605" s="1" t="n">
        <v>45821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16400-2024</t>
        </is>
      </c>
      <c r="B606" s="1" t="n">
        <v>45407</v>
      </c>
      <c r="C606" s="1" t="n">
        <v>45821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16523-2024</t>
        </is>
      </c>
      <c r="B607" s="1" t="n">
        <v>45408</v>
      </c>
      <c r="C607" s="1" t="n">
        <v>45821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16729-2024</t>
        </is>
      </c>
      <c r="B608" s="1" t="n">
        <v>45410</v>
      </c>
      <c r="C608" s="1" t="n">
        <v>45821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17374-2024</t>
        </is>
      </c>
      <c r="B609" s="1" t="n">
        <v>45414</v>
      </c>
      <c r="C609" s="1" t="n">
        <v>45821</v>
      </c>
      <c r="D609" t="inlineStr">
        <is>
          <t>VÄSTMANLANDS LÄN</t>
        </is>
      </c>
      <c r="E609" t="inlineStr">
        <is>
          <t>SKINNSKATTEBERG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17470-2024</t>
        </is>
      </c>
      <c r="B610" s="1" t="n">
        <v>45415</v>
      </c>
      <c r="C610" s="1" t="n">
        <v>45821</v>
      </c>
      <c r="D610" t="inlineStr">
        <is>
          <t>VÄSTMANLANDS LÄN</t>
        </is>
      </c>
      <c r="E610" t="inlineStr">
        <is>
          <t>SKINNSKATTEBERG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17783-2024</t>
        </is>
      </c>
      <c r="B611" s="1" t="n">
        <v>45418</v>
      </c>
      <c r="C611" s="1" t="n">
        <v>45821</v>
      </c>
      <c r="D611" t="inlineStr">
        <is>
          <t>VÄSTMANLANDS LÄN</t>
        </is>
      </c>
      <c r="E611" t="inlineStr">
        <is>
          <t>SKINNSKATTEBERG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18142-2024</t>
        </is>
      </c>
      <c r="B612" s="1" t="n">
        <v>45420</v>
      </c>
      <c r="C612" s="1" t="n">
        <v>45821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18136-2024</t>
        </is>
      </c>
      <c r="B613" s="1" t="n">
        <v>45420</v>
      </c>
      <c r="C613" s="1" t="n">
        <v>45821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18140-2024</t>
        </is>
      </c>
      <c r="B614" s="1" t="n">
        <v>45420</v>
      </c>
      <c r="C614" s="1" t="n">
        <v>45821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18144-2024</t>
        </is>
      </c>
      <c r="B615" s="1" t="n">
        <v>45420</v>
      </c>
      <c r="C615" s="1" t="n">
        <v>45821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18161-2024</t>
        </is>
      </c>
      <c r="B616" s="1" t="n">
        <v>45420</v>
      </c>
      <c r="C616" s="1" t="n">
        <v>45821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18163-2024</t>
        </is>
      </c>
      <c r="B617" s="1" t="n">
        <v>45420</v>
      </c>
      <c r="C617" s="1" t="n">
        <v>45821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18517-2024</t>
        </is>
      </c>
      <c r="B618" s="1" t="n">
        <v>45425</v>
      </c>
      <c r="C618" s="1" t="n">
        <v>45821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7.9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18516-2024</t>
        </is>
      </c>
      <c r="B619" s="1" t="n">
        <v>45425</v>
      </c>
      <c r="C619" s="1" t="n">
        <v>45821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18518-2024</t>
        </is>
      </c>
      <c r="B620" s="1" t="n">
        <v>45425</v>
      </c>
      <c r="C620" s="1" t="n">
        <v>45821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7.9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19205-2024</t>
        </is>
      </c>
      <c r="B621" s="1" t="n">
        <v>45428</v>
      </c>
      <c r="C621" s="1" t="n">
        <v>45821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19202-2024</t>
        </is>
      </c>
      <c r="B622" s="1" t="n">
        <v>45428</v>
      </c>
      <c r="C622" s="1" t="n">
        <v>45821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19203-2024</t>
        </is>
      </c>
      <c r="B623" s="1" t="n">
        <v>45428</v>
      </c>
      <c r="C623" s="1" t="n">
        <v>45821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19398-2024</t>
        </is>
      </c>
      <c r="B624" s="1" t="n">
        <v>45429</v>
      </c>
      <c r="C624" s="1" t="n">
        <v>45821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19386-2024</t>
        </is>
      </c>
      <c r="B625" s="1" t="n">
        <v>45429</v>
      </c>
      <c r="C625" s="1" t="n">
        <v>45821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19519-2024</t>
        </is>
      </c>
      <c r="B626" s="1" t="n">
        <v>45429</v>
      </c>
      <c r="C626" s="1" t="n">
        <v>45821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19518-2024</t>
        </is>
      </c>
      <c r="B627" s="1" t="n">
        <v>45429</v>
      </c>
      <c r="C627" s="1" t="n">
        <v>45821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20242-2024</t>
        </is>
      </c>
      <c r="B628" s="1" t="n">
        <v>45434</v>
      </c>
      <c r="C628" s="1" t="n">
        <v>45821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20213-2024</t>
        </is>
      </c>
      <c r="B629" s="1" t="n">
        <v>45434</v>
      </c>
      <c r="C629" s="1" t="n">
        <v>45821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20245-2024</t>
        </is>
      </c>
      <c r="B630" s="1" t="n">
        <v>45434</v>
      </c>
      <c r="C630" s="1" t="n">
        <v>45821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20243-2024</t>
        </is>
      </c>
      <c r="B631" s="1" t="n">
        <v>45434</v>
      </c>
      <c r="C631" s="1" t="n">
        <v>45821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20247-2024</t>
        </is>
      </c>
      <c r="B632" s="1" t="n">
        <v>45434</v>
      </c>
      <c r="C632" s="1" t="n">
        <v>45821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20212-2024</t>
        </is>
      </c>
      <c r="B633" s="1" t="n">
        <v>45434</v>
      </c>
      <c r="C633" s="1" t="n">
        <v>45821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20244-2024</t>
        </is>
      </c>
      <c r="B634" s="1" t="n">
        <v>45434</v>
      </c>
      <c r="C634" s="1" t="n">
        <v>45821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20248-2024</t>
        </is>
      </c>
      <c r="B635" s="1" t="n">
        <v>45434</v>
      </c>
      <c r="C635" s="1" t="n">
        <v>45821</v>
      </c>
      <c r="D635" t="inlineStr">
        <is>
          <t>VÄSTMANLANDS LÄN</t>
        </is>
      </c>
      <c r="E635" t="inlineStr">
        <is>
          <t>SKINNSKATTEBERG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20430-2024</t>
        </is>
      </c>
      <c r="B636" s="1" t="n">
        <v>45435</v>
      </c>
      <c r="C636" s="1" t="n">
        <v>45821</v>
      </c>
      <c r="D636" t="inlineStr">
        <is>
          <t>VÄSTMANLANDS LÄN</t>
        </is>
      </c>
      <c r="E636" t="inlineStr">
        <is>
          <t>SKINNSKATTEBERG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20379-2024</t>
        </is>
      </c>
      <c r="B637" s="1" t="n">
        <v>45435</v>
      </c>
      <c r="C637" s="1" t="n">
        <v>45821</v>
      </c>
      <c r="D637" t="inlineStr">
        <is>
          <t>VÄSTMANLANDS LÄN</t>
        </is>
      </c>
      <c r="E637" t="inlineStr">
        <is>
          <t>SKINNSKATTEBERG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20330-2024</t>
        </is>
      </c>
      <c r="B638" s="1" t="n">
        <v>45435</v>
      </c>
      <c r="C638" s="1" t="n">
        <v>45821</v>
      </c>
      <c r="D638" t="inlineStr">
        <is>
          <t>VÄSTMANLANDS LÄN</t>
        </is>
      </c>
      <c r="E638" t="inlineStr">
        <is>
          <t>SKINNSKATTEBERG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20584-2024</t>
        </is>
      </c>
      <c r="B639" s="1" t="n">
        <v>45436</v>
      </c>
      <c r="C639" s="1" t="n">
        <v>45821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20937-2024</t>
        </is>
      </c>
      <c r="B640" s="1" t="n">
        <v>45439</v>
      </c>
      <c r="C640" s="1" t="n">
        <v>45821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7.8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21578-2024</t>
        </is>
      </c>
      <c r="B641" s="1" t="n">
        <v>45441</v>
      </c>
      <c r="C641" s="1" t="n">
        <v>45821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22079-2024</t>
        </is>
      </c>
      <c r="B642" s="1" t="n">
        <v>45443</v>
      </c>
      <c r="C642" s="1" t="n">
        <v>45821</v>
      </c>
      <c r="D642" t="inlineStr">
        <is>
          <t>VÄSTMANLANDS LÄN</t>
        </is>
      </c>
      <c r="E642" t="inlineStr">
        <is>
          <t>SKINNSKATTEBERG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21887-2024</t>
        </is>
      </c>
      <c r="B643" s="1" t="n">
        <v>45443</v>
      </c>
      <c r="C643" s="1" t="n">
        <v>45821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22591-2024</t>
        </is>
      </c>
      <c r="B644" s="1" t="n">
        <v>45447</v>
      </c>
      <c r="C644" s="1" t="n">
        <v>45821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22605-2024</t>
        </is>
      </c>
      <c r="B645" s="1" t="n">
        <v>45447</v>
      </c>
      <c r="C645" s="1" t="n">
        <v>45821</v>
      </c>
      <c r="D645" t="inlineStr">
        <is>
          <t>VÄSTMANLANDS LÄN</t>
        </is>
      </c>
      <c r="E645" t="inlineStr">
        <is>
          <t>SKINNSKATTEBERG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22611-2024</t>
        </is>
      </c>
      <c r="B646" s="1" t="n">
        <v>45447</v>
      </c>
      <c r="C646" s="1" t="n">
        <v>45821</v>
      </c>
      <c r="D646" t="inlineStr">
        <is>
          <t>VÄSTMANLANDS LÄN</t>
        </is>
      </c>
      <c r="E646" t="inlineStr">
        <is>
          <t>SKINNSKATTEBERG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22607-2024</t>
        </is>
      </c>
      <c r="B647" s="1" t="n">
        <v>45447</v>
      </c>
      <c r="C647" s="1" t="n">
        <v>45821</v>
      </c>
      <c r="D647" t="inlineStr">
        <is>
          <t>VÄSTMANLANDS LÄN</t>
        </is>
      </c>
      <c r="E647" t="inlineStr">
        <is>
          <t>SKINNSKATTEBERG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23113-2024</t>
        </is>
      </c>
      <c r="B648" s="1" t="n">
        <v>45450</v>
      </c>
      <c r="C648" s="1" t="n">
        <v>45821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9.800000000000001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23715-2024</t>
        </is>
      </c>
      <c r="B649" s="1" t="n">
        <v>45454</v>
      </c>
      <c r="C649" s="1" t="n">
        <v>45821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9.800000000000001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23894-2024</t>
        </is>
      </c>
      <c r="B650" s="1" t="n">
        <v>45455</v>
      </c>
      <c r="C650" s="1" t="n">
        <v>45821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24369-2024</t>
        </is>
      </c>
      <c r="B651" s="1" t="n">
        <v>45457</v>
      </c>
      <c r="C651" s="1" t="n">
        <v>45821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24385-2024</t>
        </is>
      </c>
      <c r="B652" s="1" t="n">
        <v>45457</v>
      </c>
      <c r="C652" s="1" t="n">
        <v>45821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24360-2024</t>
        </is>
      </c>
      <c r="B653" s="1" t="n">
        <v>45457</v>
      </c>
      <c r="C653" s="1" t="n">
        <v>45821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24364-2024</t>
        </is>
      </c>
      <c r="B654" s="1" t="n">
        <v>45457</v>
      </c>
      <c r="C654" s="1" t="n">
        <v>45821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24367-2024</t>
        </is>
      </c>
      <c r="B655" s="1" t="n">
        <v>45457</v>
      </c>
      <c r="C655" s="1" t="n">
        <v>45821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24371-2024</t>
        </is>
      </c>
      <c r="B656" s="1" t="n">
        <v>45457</v>
      </c>
      <c r="C656" s="1" t="n">
        <v>45821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24379-2024</t>
        </is>
      </c>
      <c r="B657" s="1" t="n">
        <v>45457</v>
      </c>
      <c r="C657" s="1" t="n">
        <v>45821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25222-2024</t>
        </is>
      </c>
      <c r="B658" s="1" t="n">
        <v>45462</v>
      </c>
      <c r="C658" s="1" t="n">
        <v>45821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25284-2024</t>
        </is>
      </c>
      <c r="B659" s="1" t="n">
        <v>45462</v>
      </c>
      <c r="C659" s="1" t="n">
        <v>45821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25586-2024</t>
        </is>
      </c>
      <c r="B660" s="1" t="n">
        <v>45463</v>
      </c>
      <c r="C660" s="1" t="n">
        <v>45821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25589-2024</t>
        </is>
      </c>
      <c r="B661" s="1" t="n">
        <v>45463</v>
      </c>
      <c r="C661" s="1" t="n">
        <v>45821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26557-2024</t>
        </is>
      </c>
      <c r="B662" s="1" t="n">
        <v>45469</v>
      </c>
      <c r="C662" s="1" t="n">
        <v>45821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8.300000000000001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27564-2024</t>
        </is>
      </c>
      <c r="B663" s="1" t="n">
        <v>45474</v>
      </c>
      <c r="C663" s="1" t="n">
        <v>45821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27565-2024</t>
        </is>
      </c>
      <c r="B664" s="1" t="n">
        <v>45474</v>
      </c>
      <c r="C664" s="1" t="n">
        <v>45821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28058-2024</t>
        </is>
      </c>
      <c r="B665" s="1" t="n">
        <v>45476</v>
      </c>
      <c r="C665" s="1" t="n">
        <v>45821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28060-2024</t>
        </is>
      </c>
      <c r="B666" s="1" t="n">
        <v>45476</v>
      </c>
      <c r="C666" s="1" t="n">
        <v>45821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28056-2024</t>
        </is>
      </c>
      <c r="B667" s="1" t="n">
        <v>45476</v>
      </c>
      <c r="C667" s="1" t="n">
        <v>45821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28278-2024</t>
        </is>
      </c>
      <c r="B668" s="1" t="n">
        <v>45477</v>
      </c>
      <c r="C668" s="1" t="n">
        <v>45821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28233-2024</t>
        </is>
      </c>
      <c r="B669" s="1" t="n">
        <v>45477</v>
      </c>
      <c r="C669" s="1" t="n">
        <v>45821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28188-2024</t>
        </is>
      </c>
      <c r="B670" s="1" t="n">
        <v>45477</v>
      </c>
      <c r="C670" s="1" t="n">
        <v>45821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8.4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28941-2024</t>
        </is>
      </c>
      <c r="B671" s="1" t="n">
        <v>45480</v>
      </c>
      <c r="C671" s="1" t="n">
        <v>45821</v>
      </c>
      <c r="D671" t="inlineStr">
        <is>
          <t>VÄSTMANLANDS LÄN</t>
        </is>
      </c>
      <c r="E671" t="inlineStr">
        <is>
          <t>SKINNSKATTEBERG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28940-2024</t>
        </is>
      </c>
      <c r="B672" s="1" t="n">
        <v>45480</v>
      </c>
      <c r="C672" s="1" t="n">
        <v>45821</v>
      </c>
      <c r="D672" t="inlineStr">
        <is>
          <t>VÄSTMANLANDS LÄN</t>
        </is>
      </c>
      <c r="E672" t="inlineStr">
        <is>
          <t>SKINNSKATTEBERG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29831-2024</t>
        </is>
      </c>
      <c r="B673" s="1" t="n">
        <v>45485</v>
      </c>
      <c r="C673" s="1" t="n">
        <v>45821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29830-2024</t>
        </is>
      </c>
      <c r="B674" s="1" t="n">
        <v>45485</v>
      </c>
      <c r="C674" s="1" t="n">
        <v>45821</v>
      </c>
      <c r="D674" t="inlineStr">
        <is>
          <t>VÄSTMANLANDS LÄN</t>
        </is>
      </c>
      <c r="E674" t="inlineStr">
        <is>
          <t>SKINNSKATTEBERG</t>
        </is>
      </c>
      <c r="F674" t="inlineStr">
        <is>
          <t>Sveaskog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29708-2024</t>
        </is>
      </c>
      <c r="B675" s="1" t="n">
        <v>45485</v>
      </c>
      <c r="C675" s="1" t="n">
        <v>45821</v>
      </c>
      <c r="D675" t="inlineStr">
        <is>
          <t>VÄSTMANLANDS LÄN</t>
        </is>
      </c>
      <c r="E675" t="inlineStr">
        <is>
          <t>SKINNSKATTEBERG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29705-2024</t>
        </is>
      </c>
      <c r="B676" s="1" t="n">
        <v>45485</v>
      </c>
      <c r="C676" s="1" t="n">
        <v>45821</v>
      </c>
      <c r="D676" t="inlineStr">
        <is>
          <t>VÄSTMANLANDS LÄN</t>
        </is>
      </c>
      <c r="E676" t="inlineStr">
        <is>
          <t>SKINNSKATTEBERG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29829-2024</t>
        </is>
      </c>
      <c r="B677" s="1" t="n">
        <v>45485</v>
      </c>
      <c r="C677" s="1" t="n">
        <v>45821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29711-2024</t>
        </is>
      </c>
      <c r="B678" s="1" t="n">
        <v>45485</v>
      </c>
      <c r="C678" s="1" t="n">
        <v>45821</v>
      </c>
      <c r="D678" t="inlineStr">
        <is>
          <t>VÄSTMANLANDS LÄN</t>
        </is>
      </c>
      <c r="E678" t="inlineStr">
        <is>
          <t>SKINNSKATTEBERG</t>
        </is>
      </c>
      <c r="G678" t="n">
        <v>11.4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30531-2024</t>
        </is>
      </c>
      <c r="B679" s="1" t="n">
        <v>45492</v>
      </c>
      <c r="C679" s="1" t="n">
        <v>45821</v>
      </c>
      <c r="D679" t="inlineStr">
        <is>
          <t>VÄSTMANLANDS LÄN</t>
        </is>
      </c>
      <c r="E679" t="inlineStr">
        <is>
          <t>SKINNSKATTEBERG</t>
        </is>
      </c>
      <c r="F679" t="inlineStr">
        <is>
          <t>Sveaskog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30532-2024</t>
        </is>
      </c>
      <c r="B680" s="1" t="n">
        <v>45492</v>
      </c>
      <c r="C680" s="1" t="n">
        <v>45821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30653-2024</t>
        </is>
      </c>
      <c r="B681" s="1" t="n">
        <v>45495</v>
      </c>
      <c r="C681" s="1" t="n">
        <v>45821</v>
      </c>
      <c r="D681" t="inlineStr">
        <is>
          <t>VÄSTMANLANDS LÄN</t>
        </is>
      </c>
      <c r="E681" t="inlineStr">
        <is>
          <t>SKINNSKATTEBERG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30837-2024</t>
        </is>
      </c>
      <c r="B682" s="1" t="n">
        <v>45497</v>
      </c>
      <c r="C682" s="1" t="n">
        <v>45821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30838-2024</t>
        </is>
      </c>
      <c r="B683" s="1" t="n">
        <v>45497</v>
      </c>
      <c r="C683" s="1" t="n">
        <v>45821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30836-2024</t>
        </is>
      </c>
      <c r="B684" s="1" t="n">
        <v>45497</v>
      </c>
      <c r="C684" s="1" t="n">
        <v>45821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30835-2024</t>
        </is>
      </c>
      <c r="B685" s="1" t="n">
        <v>45497</v>
      </c>
      <c r="C685" s="1" t="n">
        <v>45821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30998-2024</t>
        </is>
      </c>
      <c r="B686" s="1" t="n">
        <v>45499</v>
      </c>
      <c r="C686" s="1" t="n">
        <v>45821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30999-2024</t>
        </is>
      </c>
      <c r="B687" s="1" t="n">
        <v>45499</v>
      </c>
      <c r="C687" s="1" t="n">
        <v>45821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31105-2024</t>
        </is>
      </c>
      <c r="B688" s="1" t="n">
        <v>45502</v>
      </c>
      <c r="C688" s="1" t="n">
        <v>45821</v>
      </c>
      <c r="D688" t="inlineStr">
        <is>
          <t>VÄSTMANLANDS LÄN</t>
        </is>
      </c>
      <c r="E688" t="inlineStr">
        <is>
          <t>SKINNSKATTEBERG</t>
        </is>
      </c>
      <c r="F688" t="inlineStr">
        <is>
          <t>Sveaskog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31274-2024</t>
        </is>
      </c>
      <c r="B689" s="1" t="n">
        <v>45504</v>
      </c>
      <c r="C689" s="1" t="n">
        <v>45821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Allmännings- och besparingsskogar</t>
        </is>
      </c>
      <c r="G689" t="n">
        <v>6.5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31302-2024</t>
        </is>
      </c>
      <c r="B690" s="1" t="n">
        <v>45504</v>
      </c>
      <c r="C690" s="1" t="n">
        <v>45821</v>
      </c>
      <c r="D690" t="inlineStr">
        <is>
          <t>VÄSTMANLANDS LÄN</t>
        </is>
      </c>
      <c r="E690" t="inlineStr">
        <is>
          <t>SKINNSKATTEBERG</t>
        </is>
      </c>
      <c r="G690" t="n">
        <v>17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31407-2024</t>
        </is>
      </c>
      <c r="B691" s="1" t="n">
        <v>45505</v>
      </c>
      <c r="C691" s="1" t="n">
        <v>45821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7.9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31617-2024</t>
        </is>
      </c>
      <c r="B692" s="1" t="n">
        <v>45506</v>
      </c>
      <c r="C692" s="1" t="n">
        <v>45821</v>
      </c>
      <c r="D692" t="inlineStr">
        <is>
          <t>VÄSTMANLANDS LÄN</t>
        </is>
      </c>
      <c r="E692" t="inlineStr">
        <is>
          <t>SKINNSKATTEBERG</t>
        </is>
      </c>
      <c r="G692" t="n">
        <v>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31629-2024</t>
        </is>
      </c>
      <c r="B693" s="1" t="n">
        <v>45506</v>
      </c>
      <c r="C693" s="1" t="n">
        <v>45821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32024-2024</t>
        </is>
      </c>
      <c r="B694" s="1" t="n">
        <v>45510</v>
      </c>
      <c r="C694" s="1" t="n">
        <v>45821</v>
      </c>
      <c r="D694" t="inlineStr">
        <is>
          <t>VÄSTMANLANDS LÄN</t>
        </is>
      </c>
      <c r="E694" t="inlineStr">
        <is>
          <t>SKINNSKATTEBERG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32153-2024</t>
        </is>
      </c>
      <c r="B695" s="1" t="n">
        <v>45511</v>
      </c>
      <c r="C695" s="1" t="n">
        <v>45821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32316-2024</t>
        </is>
      </c>
      <c r="B696" s="1" t="n">
        <v>45512</v>
      </c>
      <c r="C696" s="1" t="n">
        <v>45821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32285-2024</t>
        </is>
      </c>
      <c r="B697" s="1" t="n">
        <v>45512</v>
      </c>
      <c r="C697" s="1" t="n">
        <v>45821</v>
      </c>
      <c r="D697" t="inlineStr">
        <is>
          <t>VÄSTMANLANDS LÄN</t>
        </is>
      </c>
      <c r="E697" t="inlineStr">
        <is>
          <t>SKINNSKATTEBERG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32349-2024</t>
        </is>
      </c>
      <c r="B698" s="1" t="n">
        <v>45512</v>
      </c>
      <c r="C698" s="1" t="n">
        <v>45821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32350-2024</t>
        </is>
      </c>
      <c r="B699" s="1" t="n">
        <v>45512</v>
      </c>
      <c r="C699" s="1" t="n">
        <v>45821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32354-2024</t>
        </is>
      </c>
      <c r="B700" s="1" t="n">
        <v>45512</v>
      </c>
      <c r="C700" s="1" t="n">
        <v>45821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32352-2024</t>
        </is>
      </c>
      <c r="B701" s="1" t="n">
        <v>45512</v>
      </c>
      <c r="C701" s="1" t="n">
        <v>45821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32857-2024</t>
        </is>
      </c>
      <c r="B702" s="1" t="n">
        <v>45516</v>
      </c>
      <c r="C702" s="1" t="n">
        <v>45821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32864-2024</t>
        </is>
      </c>
      <c r="B703" s="1" t="n">
        <v>45516</v>
      </c>
      <c r="C703" s="1" t="n">
        <v>45821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32860-2024</t>
        </is>
      </c>
      <c r="B704" s="1" t="n">
        <v>45516</v>
      </c>
      <c r="C704" s="1" t="n">
        <v>45821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7.4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32863-2024</t>
        </is>
      </c>
      <c r="B705" s="1" t="n">
        <v>45516</v>
      </c>
      <c r="C705" s="1" t="n">
        <v>45821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33430-2024</t>
        </is>
      </c>
      <c r="B706" s="1" t="n">
        <v>45519</v>
      </c>
      <c r="C706" s="1" t="n">
        <v>45821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33434-2024</t>
        </is>
      </c>
      <c r="B707" s="1" t="n">
        <v>45519</v>
      </c>
      <c r="C707" s="1" t="n">
        <v>45821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33431-2024</t>
        </is>
      </c>
      <c r="B708" s="1" t="n">
        <v>45519</v>
      </c>
      <c r="C708" s="1" t="n">
        <v>45821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33435-2024</t>
        </is>
      </c>
      <c r="B709" s="1" t="n">
        <v>45519</v>
      </c>
      <c r="C709" s="1" t="n">
        <v>45821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33432-2024</t>
        </is>
      </c>
      <c r="B710" s="1" t="n">
        <v>45519</v>
      </c>
      <c r="C710" s="1" t="n">
        <v>45821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33436-2024</t>
        </is>
      </c>
      <c r="B711" s="1" t="n">
        <v>45519</v>
      </c>
      <c r="C711" s="1" t="n">
        <v>45821</v>
      </c>
      <c r="D711" t="inlineStr">
        <is>
          <t>VÄSTMANLANDS LÄN</t>
        </is>
      </c>
      <c r="E711" t="inlineStr">
        <is>
          <t>SKINNSKATTEBERG</t>
        </is>
      </c>
      <c r="F711" t="inlineStr">
        <is>
          <t>Sveaskog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33571-2024</t>
        </is>
      </c>
      <c r="B712" s="1" t="n">
        <v>45520</v>
      </c>
      <c r="C712" s="1" t="n">
        <v>45821</v>
      </c>
      <c r="D712" t="inlineStr">
        <is>
          <t>VÄSTMANLANDS LÄN</t>
        </is>
      </c>
      <c r="E712" t="inlineStr">
        <is>
          <t>SKINNSKATTEBERG</t>
        </is>
      </c>
      <c r="F712" t="inlineStr">
        <is>
          <t>Sveaskog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33789-2024</t>
        </is>
      </c>
      <c r="B713" s="1" t="n">
        <v>45520</v>
      </c>
      <c r="C713" s="1" t="n">
        <v>45821</v>
      </c>
      <c r="D713" t="inlineStr">
        <is>
          <t>VÄSTMANLANDS LÄN</t>
        </is>
      </c>
      <c r="E713" t="inlineStr">
        <is>
          <t>SKINNSKATTEBERG</t>
        </is>
      </c>
      <c r="G713" t="n">
        <v>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33794-2024</t>
        </is>
      </c>
      <c r="B714" s="1" t="n">
        <v>45520</v>
      </c>
      <c r="C714" s="1" t="n">
        <v>45821</v>
      </c>
      <c r="D714" t="inlineStr">
        <is>
          <t>VÄSTMANLANDS LÄN</t>
        </is>
      </c>
      <c r="E714" t="inlineStr">
        <is>
          <t>SKINNSKATTEBERG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34328-2024</t>
        </is>
      </c>
      <c r="B715" s="1" t="n">
        <v>45524</v>
      </c>
      <c r="C715" s="1" t="n">
        <v>45821</v>
      </c>
      <c r="D715" t="inlineStr">
        <is>
          <t>VÄSTMANLANDS LÄN</t>
        </is>
      </c>
      <c r="E715" t="inlineStr">
        <is>
          <t>SKINNSKATTEBERG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34329-2024</t>
        </is>
      </c>
      <c r="B716" s="1" t="n">
        <v>45524</v>
      </c>
      <c r="C716" s="1" t="n">
        <v>45821</v>
      </c>
      <c r="D716" t="inlineStr">
        <is>
          <t>VÄSTMANLANDS LÄN</t>
        </is>
      </c>
      <c r="E716" t="inlineStr">
        <is>
          <t>SKINNSKATTEBERG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34330-2024</t>
        </is>
      </c>
      <c r="B717" s="1" t="n">
        <v>45524</v>
      </c>
      <c r="C717" s="1" t="n">
        <v>45821</v>
      </c>
      <c r="D717" t="inlineStr">
        <is>
          <t>VÄSTMANLANDS LÄN</t>
        </is>
      </c>
      <c r="E717" t="inlineStr">
        <is>
          <t>SKINNSKATTEBERG</t>
        </is>
      </c>
      <c r="G717" t="n">
        <v>5.5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35051-2024</t>
        </is>
      </c>
      <c r="B718" s="1" t="n">
        <v>45527</v>
      </c>
      <c r="C718" s="1" t="n">
        <v>45821</v>
      </c>
      <c r="D718" t="inlineStr">
        <is>
          <t>VÄSTMANLANDS LÄN</t>
        </is>
      </c>
      <c r="E718" t="inlineStr">
        <is>
          <t>SKINNSKATTEBERG</t>
        </is>
      </c>
      <c r="F718" t="inlineStr">
        <is>
          <t>Sveaskog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35059-2024</t>
        </is>
      </c>
      <c r="B719" s="1" t="n">
        <v>45527</v>
      </c>
      <c r="C719" s="1" t="n">
        <v>45821</v>
      </c>
      <c r="D719" t="inlineStr">
        <is>
          <t>VÄSTMANLANDS LÄN</t>
        </is>
      </c>
      <c r="E719" t="inlineStr">
        <is>
          <t>SKINNSKATTEBERG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35049-2024</t>
        </is>
      </c>
      <c r="B720" s="1" t="n">
        <v>45527</v>
      </c>
      <c r="C720" s="1" t="n">
        <v>45821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35053-2024</t>
        </is>
      </c>
      <c r="B721" s="1" t="n">
        <v>45527</v>
      </c>
      <c r="C721" s="1" t="n">
        <v>45821</v>
      </c>
      <c r="D721" t="inlineStr">
        <is>
          <t>VÄSTMANLANDS LÄN</t>
        </is>
      </c>
      <c r="E721" t="inlineStr">
        <is>
          <t>SKINNSKATTEBERG</t>
        </is>
      </c>
      <c r="F721" t="inlineStr">
        <is>
          <t>Sveaskog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35057-2024</t>
        </is>
      </c>
      <c r="B722" s="1" t="n">
        <v>45527</v>
      </c>
      <c r="C722" s="1" t="n">
        <v>45821</v>
      </c>
      <c r="D722" t="inlineStr">
        <is>
          <t>VÄSTMANLANDS LÄN</t>
        </is>
      </c>
      <c r="E722" t="inlineStr">
        <is>
          <t>SKINNSKATTEBERG</t>
        </is>
      </c>
      <c r="F722" t="inlineStr">
        <is>
          <t>Sveaskog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35370-2024</t>
        </is>
      </c>
      <c r="B723" s="1" t="n">
        <v>45531</v>
      </c>
      <c r="C723" s="1" t="n">
        <v>45821</v>
      </c>
      <c r="D723" t="inlineStr">
        <is>
          <t>VÄSTMANLANDS LÄN</t>
        </is>
      </c>
      <c r="E723" t="inlineStr">
        <is>
          <t>SKINNSKATTEBERG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35706-2024</t>
        </is>
      </c>
      <c r="B724" s="1" t="n">
        <v>45532</v>
      </c>
      <c r="C724" s="1" t="n">
        <v>45821</v>
      </c>
      <c r="D724" t="inlineStr">
        <is>
          <t>VÄSTMANLANDS LÄN</t>
        </is>
      </c>
      <c r="E724" t="inlineStr">
        <is>
          <t>SKINNSKATTEBERG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35683-2024</t>
        </is>
      </c>
      <c r="B725" s="1" t="n">
        <v>45532</v>
      </c>
      <c r="C725" s="1" t="n">
        <v>45821</v>
      </c>
      <c r="D725" t="inlineStr">
        <is>
          <t>VÄSTMANLANDS LÄN</t>
        </is>
      </c>
      <c r="E725" t="inlineStr">
        <is>
          <t>SKINNSKATTEBERG</t>
        </is>
      </c>
      <c r="G725" t="n">
        <v>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35709-2024</t>
        </is>
      </c>
      <c r="B726" s="1" t="n">
        <v>45532</v>
      </c>
      <c r="C726" s="1" t="n">
        <v>45821</v>
      </c>
      <c r="D726" t="inlineStr">
        <is>
          <t>VÄSTMANLANDS LÄN</t>
        </is>
      </c>
      <c r="E726" t="inlineStr">
        <is>
          <t>SKINNSKATTEBERG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35831-2024</t>
        </is>
      </c>
      <c r="B727" s="1" t="n">
        <v>45532</v>
      </c>
      <c r="C727" s="1" t="n">
        <v>45821</v>
      </c>
      <c r="D727" t="inlineStr">
        <is>
          <t>VÄSTMANLANDS LÄN</t>
        </is>
      </c>
      <c r="E727" t="inlineStr">
        <is>
          <t>SKINNSKATTEBERG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35834-2024</t>
        </is>
      </c>
      <c r="B728" s="1" t="n">
        <v>45532</v>
      </c>
      <c r="C728" s="1" t="n">
        <v>45821</v>
      </c>
      <c r="D728" t="inlineStr">
        <is>
          <t>VÄSTMANLANDS LÄN</t>
        </is>
      </c>
      <c r="E728" t="inlineStr">
        <is>
          <t>SKINNSKATTEBERG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36248-2024</t>
        </is>
      </c>
      <c r="B729" s="1" t="n">
        <v>45534</v>
      </c>
      <c r="C729" s="1" t="n">
        <v>45821</v>
      </c>
      <c r="D729" t="inlineStr">
        <is>
          <t>VÄSTMANLANDS LÄN</t>
        </is>
      </c>
      <c r="E729" t="inlineStr">
        <is>
          <t>SKINNSKATTEBERG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36642-2024</t>
        </is>
      </c>
      <c r="B730" s="1" t="n">
        <v>45537</v>
      </c>
      <c r="C730" s="1" t="n">
        <v>45821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36597-2024</t>
        </is>
      </c>
      <c r="B731" s="1" t="n">
        <v>45537</v>
      </c>
      <c r="C731" s="1" t="n">
        <v>45821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36651-2024</t>
        </is>
      </c>
      <c r="B732" s="1" t="n">
        <v>45537</v>
      </c>
      <c r="C732" s="1" t="n">
        <v>45821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36692-2024</t>
        </is>
      </c>
      <c r="B733" s="1" t="n">
        <v>45537</v>
      </c>
      <c r="C733" s="1" t="n">
        <v>45821</v>
      </c>
      <c r="D733" t="inlineStr">
        <is>
          <t>VÄSTMANLANDS LÄN</t>
        </is>
      </c>
      <c r="E733" t="inlineStr">
        <is>
          <t>SKINNSKATTEBERG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36761-2024</t>
        </is>
      </c>
      <c r="B734" s="1" t="n">
        <v>45538</v>
      </c>
      <c r="C734" s="1" t="n">
        <v>45821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37638-2024</t>
        </is>
      </c>
      <c r="B735" s="1" t="n">
        <v>45541</v>
      </c>
      <c r="C735" s="1" t="n">
        <v>45821</v>
      </c>
      <c r="D735" t="inlineStr">
        <is>
          <t>VÄSTMANLANDS LÄN</t>
        </is>
      </c>
      <c r="E735" t="inlineStr">
        <is>
          <t>SKINNSKATTEBERG</t>
        </is>
      </c>
      <c r="G735" t="n">
        <v>9.9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37732-2024</t>
        </is>
      </c>
      <c r="B736" s="1" t="n">
        <v>45541</v>
      </c>
      <c r="C736" s="1" t="n">
        <v>45821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37735-2024</t>
        </is>
      </c>
      <c r="B737" s="1" t="n">
        <v>45541</v>
      </c>
      <c r="C737" s="1" t="n">
        <v>45821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Sveaskog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37730-2024</t>
        </is>
      </c>
      <c r="B738" s="1" t="n">
        <v>45541</v>
      </c>
      <c r="C738" s="1" t="n">
        <v>45821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37769-2024</t>
        </is>
      </c>
      <c r="B739" s="1" t="n">
        <v>45541</v>
      </c>
      <c r="C739" s="1" t="n">
        <v>45821</v>
      </c>
      <c r="D739" t="inlineStr">
        <is>
          <t>VÄSTMANLANDS LÄN</t>
        </is>
      </c>
      <c r="E739" t="inlineStr">
        <is>
          <t>SKINNSKATTEBERG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38784-2024</t>
        </is>
      </c>
      <c r="B740" s="1" t="n">
        <v>45547</v>
      </c>
      <c r="C740" s="1" t="n">
        <v>45821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38782-2024</t>
        </is>
      </c>
      <c r="B741" s="1" t="n">
        <v>45547</v>
      </c>
      <c r="C741" s="1" t="n">
        <v>45821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Sveaskog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38783-2024</t>
        </is>
      </c>
      <c r="B742" s="1" t="n">
        <v>45547</v>
      </c>
      <c r="C742" s="1" t="n">
        <v>45821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39414-2024</t>
        </is>
      </c>
      <c r="B743" s="1" t="n">
        <v>45551</v>
      </c>
      <c r="C743" s="1" t="n">
        <v>45821</v>
      </c>
      <c r="D743" t="inlineStr">
        <is>
          <t>VÄSTMANLANDS LÄN</t>
        </is>
      </c>
      <c r="E743" t="inlineStr">
        <is>
          <t>SKINNSKATTEBERG</t>
        </is>
      </c>
      <c r="G743" t="n">
        <v>9.800000000000001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39673-2024</t>
        </is>
      </c>
      <c r="B744" s="1" t="n">
        <v>45552</v>
      </c>
      <c r="C744" s="1" t="n">
        <v>45821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39868-2024</t>
        </is>
      </c>
      <c r="B745" s="1" t="n">
        <v>45553</v>
      </c>
      <c r="C745" s="1" t="n">
        <v>45821</v>
      </c>
      <c r="D745" t="inlineStr">
        <is>
          <t>VÄSTMANLANDS LÄN</t>
        </is>
      </c>
      <c r="E745" t="inlineStr">
        <is>
          <t>SKINNSKATTEBERG</t>
        </is>
      </c>
      <c r="F745" t="inlineStr">
        <is>
          <t>Kyrkan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40176-2024</t>
        </is>
      </c>
      <c r="B746" s="1" t="n">
        <v>45554</v>
      </c>
      <c r="C746" s="1" t="n">
        <v>45821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40233-2024</t>
        </is>
      </c>
      <c r="B747" s="1" t="n">
        <v>45554</v>
      </c>
      <c r="C747" s="1" t="n">
        <v>45821</v>
      </c>
      <c r="D747" t="inlineStr">
        <is>
          <t>VÄSTMANLANDS LÄN</t>
        </is>
      </c>
      <c r="E747" t="inlineStr">
        <is>
          <t>SKINNSKATTEBERG</t>
        </is>
      </c>
      <c r="G747" t="n">
        <v>11.3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40158-2024</t>
        </is>
      </c>
      <c r="B748" s="1" t="n">
        <v>45554</v>
      </c>
      <c r="C748" s="1" t="n">
        <v>45821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40174-2024</t>
        </is>
      </c>
      <c r="B749" s="1" t="n">
        <v>45554</v>
      </c>
      <c r="C749" s="1" t="n">
        <v>45821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40182-2024</t>
        </is>
      </c>
      <c r="B750" s="1" t="n">
        <v>45554</v>
      </c>
      <c r="C750" s="1" t="n">
        <v>45821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40165-2024</t>
        </is>
      </c>
      <c r="B751" s="1" t="n">
        <v>45554</v>
      </c>
      <c r="C751" s="1" t="n">
        <v>45821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40169-2024</t>
        </is>
      </c>
      <c r="B752" s="1" t="n">
        <v>45554</v>
      </c>
      <c r="C752" s="1" t="n">
        <v>45821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40181-2024</t>
        </is>
      </c>
      <c r="B753" s="1" t="n">
        <v>45554</v>
      </c>
      <c r="C753" s="1" t="n">
        <v>45821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40079-2024</t>
        </is>
      </c>
      <c r="B754" s="1" t="n">
        <v>45554</v>
      </c>
      <c r="C754" s="1" t="n">
        <v>45821</v>
      </c>
      <c r="D754" t="inlineStr">
        <is>
          <t>VÄSTMANLANDS LÄN</t>
        </is>
      </c>
      <c r="E754" t="inlineStr">
        <is>
          <t>SKINNSKATTEBERG</t>
        </is>
      </c>
      <c r="G754" t="n">
        <v>12.7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40167-2024</t>
        </is>
      </c>
      <c r="B755" s="1" t="n">
        <v>45554</v>
      </c>
      <c r="C755" s="1" t="n">
        <v>45821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40171-2024</t>
        </is>
      </c>
      <c r="B756" s="1" t="n">
        <v>45554</v>
      </c>
      <c r="C756" s="1" t="n">
        <v>45821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40179-2024</t>
        </is>
      </c>
      <c r="B757" s="1" t="n">
        <v>45554</v>
      </c>
      <c r="C757" s="1" t="n">
        <v>45821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40549-2024</t>
        </is>
      </c>
      <c r="B758" s="1" t="n">
        <v>45555</v>
      </c>
      <c r="C758" s="1" t="n">
        <v>45821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40554-2024</t>
        </is>
      </c>
      <c r="B759" s="1" t="n">
        <v>45555</v>
      </c>
      <c r="C759" s="1" t="n">
        <v>45821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40551-2024</t>
        </is>
      </c>
      <c r="B760" s="1" t="n">
        <v>45555</v>
      </c>
      <c r="C760" s="1" t="n">
        <v>45821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40997-2024</t>
        </is>
      </c>
      <c r="B761" s="1" t="n">
        <v>45558</v>
      </c>
      <c r="C761" s="1" t="n">
        <v>45821</v>
      </c>
      <c r="D761" t="inlineStr">
        <is>
          <t>VÄSTMANLANDS LÄN</t>
        </is>
      </c>
      <c r="E761" t="inlineStr">
        <is>
          <t>SKINNSKATTEBERG</t>
        </is>
      </c>
      <c r="F761" t="inlineStr">
        <is>
          <t>Sveaskog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40998-2024</t>
        </is>
      </c>
      <c r="B762" s="1" t="n">
        <v>45558</v>
      </c>
      <c r="C762" s="1" t="n">
        <v>45821</v>
      </c>
      <c r="D762" t="inlineStr">
        <is>
          <t>VÄSTMANLANDS LÄN</t>
        </is>
      </c>
      <c r="E762" t="inlineStr">
        <is>
          <t>SKINNSKATTEBERG</t>
        </is>
      </c>
      <c r="F762" t="inlineStr">
        <is>
          <t>Sveaskog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42589-2024</t>
        </is>
      </c>
      <c r="B763" s="1" t="n">
        <v>45565</v>
      </c>
      <c r="C763" s="1" t="n">
        <v>45821</v>
      </c>
      <c r="D763" t="inlineStr">
        <is>
          <t>VÄSTMANLANDS LÄN</t>
        </is>
      </c>
      <c r="E763" t="inlineStr">
        <is>
          <t>SKINNSKATTEBERG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42581-2024</t>
        </is>
      </c>
      <c r="B764" s="1" t="n">
        <v>45565</v>
      </c>
      <c r="C764" s="1" t="n">
        <v>45821</v>
      </c>
      <c r="D764" t="inlineStr">
        <is>
          <t>VÄSTMANLANDS LÄN</t>
        </is>
      </c>
      <c r="E764" t="inlineStr">
        <is>
          <t>SKINNSKATTEBERG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43411-2024</t>
        </is>
      </c>
      <c r="B765" s="1" t="n">
        <v>45568</v>
      </c>
      <c r="C765" s="1" t="n">
        <v>45821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6.7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43400-2024</t>
        </is>
      </c>
      <c r="B766" s="1" t="n">
        <v>45568</v>
      </c>
      <c r="C766" s="1" t="n">
        <v>45821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43807-2024</t>
        </is>
      </c>
      <c r="B767" s="1" t="n">
        <v>45571</v>
      </c>
      <c r="C767" s="1" t="n">
        <v>45821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43806-2024</t>
        </is>
      </c>
      <c r="B768" s="1" t="n">
        <v>45571</v>
      </c>
      <c r="C768" s="1" t="n">
        <v>45821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43805-2024</t>
        </is>
      </c>
      <c r="B769" s="1" t="n">
        <v>45571</v>
      </c>
      <c r="C769" s="1" t="n">
        <v>45821</v>
      </c>
      <c r="D769" t="inlineStr">
        <is>
          <t>VÄSTMANLANDS LÄN</t>
        </is>
      </c>
      <c r="E769" t="inlineStr">
        <is>
          <t>SKINNSKATTEBERG</t>
        </is>
      </c>
      <c r="F769" t="inlineStr">
        <is>
          <t>Sveaskog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43804-2024</t>
        </is>
      </c>
      <c r="B770" s="1" t="n">
        <v>45571</v>
      </c>
      <c r="C770" s="1" t="n">
        <v>45821</v>
      </c>
      <c r="D770" t="inlineStr">
        <is>
          <t>VÄSTMANLANDS LÄN</t>
        </is>
      </c>
      <c r="E770" t="inlineStr">
        <is>
          <t>SKINNSKATTEBERG</t>
        </is>
      </c>
      <c r="F770" t="inlineStr">
        <is>
          <t>Sveaskog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44689-2024</t>
        </is>
      </c>
      <c r="B771" s="1" t="n">
        <v>45574</v>
      </c>
      <c r="C771" s="1" t="n">
        <v>45821</v>
      </c>
      <c r="D771" t="inlineStr">
        <is>
          <t>VÄSTMANLANDS LÄN</t>
        </is>
      </c>
      <c r="E771" t="inlineStr">
        <is>
          <t>SKINNSKATTEBERG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44693-2024</t>
        </is>
      </c>
      <c r="B772" s="1" t="n">
        <v>45574</v>
      </c>
      <c r="C772" s="1" t="n">
        <v>45821</v>
      </c>
      <c r="D772" t="inlineStr">
        <is>
          <t>VÄSTMANLANDS LÄN</t>
        </is>
      </c>
      <c r="E772" t="inlineStr">
        <is>
          <t>SKINNSKATTEBERG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44694-2024</t>
        </is>
      </c>
      <c r="B773" s="1" t="n">
        <v>45574</v>
      </c>
      <c r="C773" s="1" t="n">
        <v>45821</v>
      </c>
      <c r="D773" t="inlineStr">
        <is>
          <t>VÄSTMANLANDS LÄN</t>
        </is>
      </c>
      <c r="E773" t="inlineStr">
        <is>
          <t>SKINNSKATTEBERG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44698-2024</t>
        </is>
      </c>
      <c r="B774" s="1" t="n">
        <v>45574</v>
      </c>
      <c r="C774" s="1" t="n">
        <v>45821</v>
      </c>
      <c r="D774" t="inlineStr">
        <is>
          <t>VÄSTMANLANDS LÄN</t>
        </is>
      </c>
      <c r="E774" t="inlineStr">
        <is>
          <t>SKINNSKATTEBERG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46874-2024</t>
        </is>
      </c>
      <c r="B775" s="1" t="n">
        <v>45583</v>
      </c>
      <c r="C775" s="1" t="n">
        <v>45821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46870-2024</t>
        </is>
      </c>
      <c r="B776" s="1" t="n">
        <v>45583</v>
      </c>
      <c r="C776" s="1" t="n">
        <v>45821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46875-2024</t>
        </is>
      </c>
      <c r="B777" s="1" t="n">
        <v>45583</v>
      </c>
      <c r="C777" s="1" t="n">
        <v>45821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46877-2024</t>
        </is>
      </c>
      <c r="B778" s="1" t="n">
        <v>45583</v>
      </c>
      <c r="C778" s="1" t="n">
        <v>45821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47254-2024</t>
        </is>
      </c>
      <c r="B779" s="1" t="n">
        <v>45586</v>
      </c>
      <c r="C779" s="1" t="n">
        <v>45821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47253-2024</t>
        </is>
      </c>
      <c r="B780" s="1" t="n">
        <v>45586</v>
      </c>
      <c r="C780" s="1" t="n">
        <v>45821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47133-2024</t>
        </is>
      </c>
      <c r="B781" s="1" t="n">
        <v>45586</v>
      </c>
      <c r="C781" s="1" t="n">
        <v>45821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47137-2024</t>
        </is>
      </c>
      <c r="B782" s="1" t="n">
        <v>45586</v>
      </c>
      <c r="C782" s="1" t="n">
        <v>45821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6.1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47141-2024</t>
        </is>
      </c>
      <c r="B783" s="1" t="n">
        <v>45586</v>
      </c>
      <c r="C783" s="1" t="n">
        <v>45821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47830-2024</t>
        </is>
      </c>
      <c r="B784" s="1" t="n">
        <v>45588</v>
      </c>
      <c r="C784" s="1" t="n">
        <v>45821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47833-2024</t>
        </is>
      </c>
      <c r="B785" s="1" t="n">
        <v>45588</v>
      </c>
      <c r="C785" s="1" t="n">
        <v>45821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47831-2024</t>
        </is>
      </c>
      <c r="B786" s="1" t="n">
        <v>45588</v>
      </c>
      <c r="C786" s="1" t="n">
        <v>45821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48492-2024</t>
        </is>
      </c>
      <c r="B787" s="1" t="n">
        <v>45592</v>
      </c>
      <c r="C787" s="1" t="n">
        <v>45821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49636-2024</t>
        </is>
      </c>
      <c r="B788" s="1" t="n">
        <v>45596</v>
      </c>
      <c r="C788" s="1" t="n">
        <v>45821</v>
      </c>
      <c r="D788" t="inlineStr">
        <is>
          <t>VÄSTMANLANDS LÄN</t>
        </is>
      </c>
      <c r="E788" t="inlineStr">
        <is>
          <t>SKINNSKATTEBERG</t>
        </is>
      </c>
      <c r="F788" t="inlineStr">
        <is>
          <t>Sveaskog</t>
        </is>
      </c>
      <c r="G788" t="n">
        <v>11.6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49884-2024</t>
        </is>
      </c>
      <c r="B789" s="1" t="n">
        <v>45597</v>
      </c>
      <c r="C789" s="1" t="n">
        <v>45821</v>
      </c>
      <c r="D789" t="inlineStr">
        <is>
          <t>VÄSTMANLANDS LÄN</t>
        </is>
      </c>
      <c r="E789" t="inlineStr">
        <is>
          <t>SKINNSKATTEBERG</t>
        </is>
      </c>
      <c r="F789" t="inlineStr">
        <is>
          <t>Sveaskog</t>
        </is>
      </c>
      <c r="G789" t="n">
        <v>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50594-2024</t>
        </is>
      </c>
      <c r="B790" s="1" t="n">
        <v>45600</v>
      </c>
      <c r="C790" s="1" t="n">
        <v>45821</v>
      </c>
      <c r="D790" t="inlineStr">
        <is>
          <t>VÄSTMANLANDS LÄN</t>
        </is>
      </c>
      <c r="E790" t="inlineStr">
        <is>
          <t>SKINNSKATTEBERG</t>
        </is>
      </c>
      <c r="G790" t="n">
        <v>6.2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51097-2024</t>
        </is>
      </c>
      <c r="B791" s="1" t="n">
        <v>45603</v>
      </c>
      <c r="C791" s="1" t="n">
        <v>45821</v>
      </c>
      <c r="D791" t="inlineStr">
        <is>
          <t>VÄSTMANLANDS LÄN</t>
        </is>
      </c>
      <c r="E791" t="inlineStr">
        <is>
          <t>SKINNSKATTEBERG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51472-2024</t>
        </is>
      </c>
      <c r="B792" s="1" t="n">
        <v>45604</v>
      </c>
      <c r="C792" s="1" t="n">
        <v>45821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51475-2024</t>
        </is>
      </c>
      <c r="B793" s="1" t="n">
        <v>45604</v>
      </c>
      <c r="C793" s="1" t="n">
        <v>45821</v>
      </c>
      <c r="D793" t="inlineStr">
        <is>
          <t>VÄSTMANLANDS LÄN</t>
        </is>
      </c>
      <c r="E793" t="inlineStr">
        <is>
          <t>SKINNSKATTEBERG</t>
        </is>
      </c>
      <c r="F793" t="inlineStr">
        <is>
          <t>Sveaskog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52553-2024</t>
        </is>
      </c>
      <c r="B794" s="1" t="n">
        <v>45609</v>
      </c>
      <c r="C794" s="1" t="n">
        <v>45821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52532-2024</t>
        </is>
      </c>
      <c r="B795" s="1" t="n">
        <v>45609</v>
      </c>
      <c r="C795" s="1" t="n">
        <v>45821</v>
      </c>
      <c r="D795" t="inlineStr">
        <is>
          <t>VÄSTMANLANDS LÄN</t>
        </is>
      </c>
      <c r="E795" t="inlineStr">
        <is>
          <t>SKINNSKATTEBERG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52556-2024</t>
        </is>
      </c>
      <c r="B796" s="1" t="n">
        <v>45609</v>
      </c>
      <c r="C796" s="1" t="n">
        <v>45821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52562-2024</t>
        </is>
      </c>
      <c r="B797" s="1" t="n">
        <v>45609</v>
      </c>
      <c r="C797" s="1" t="n">
        <v>45821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7.3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52566-2024</t>
        </is>
      </c>
      <c r="B798" s="1" t="n">
        <v>45609</v>
      </c>
      <c r="C798" s="1" t="n">
        <v>45821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52570-2024</t>
        </is>
      </c>
      <c r="B799" s="1" t="n">
        <v>45609</v>
      </c>
      <c r="C799" s="1" t="n">
        <v>45821</v>
      </c>
      <c r="D799" t="inlineStr">
        <is>
          <t>VÄSTMANLANDS LÄN</t>
        </is>
      </c>
      <c r="E799" t="inlineStr">
        <is>
          <t>SKINNSKATTEBERG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52696-2024</t>
        </is>
      </c>
      <c r="B800" s="1" t="n">
        <v>45610</v>
      </c>
      <c r="C800" s="1" t="n">
        <v>45821</v>
      </c>
      <c r="D800" t="inlineStr">
        <is>
          <t>VÄSTMANLANDS LÄN</t>
        </is>
      </c>
      <c r="E800" t="inlineStr">
        <is>
          <t>SKINNSKATTEBERG</t>
        </is>
      </c>
      <c r="F800" t="inlineStr">
        <is>
          <t>Sveaskog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53655-2024</t>
        </is>
      </c>
      <c r="B801" s="1" t="n">
        <v>45615</v>
      </c>
      <c r="C801" s="1" t="n">
        <v>45821</v>
      </c>
      <c r="D801" t="inlineStr">
        <is>
          <t>VÄSTMANLANDS LÄN</t>
        </is>
      </c>
      <c r="E801" t="inlineStr">
        <is>
          <t>SKINNSKATTEBERG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53850-2024</t>
        </is>
      </c>
      <c r="B802" s="1" t="n">
        <v>45615</v>
      </c>
      <c r="C802" s="1" t="n">
        <v>45821</v>
      </c>
      <c r="D802" t="inlineStr">
        <is>
          <t>VÄSTMANLANDS LÄN</t>
        </is>
      </c>
      <c r="E802" t="inlineStr">
        <is>
          <t>SKINNSKATTEBERG</t>
        </is>
      </c>
      <c r="G802" t="n">
        <v>7.5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54510-2024</t>
        </is>
      </c>
      <c r="B803" s="1" t="n">
        <v>45617</v>
      </c>
      <c r="C803" s="1" t="n">
        <v>45821</v>
      </c>
      <c r="D803" t="inlineStr">
        <is>
          <t>VÄSTMANLANDS LÄN</t>
        </is>
      </c>
      <c r="E803" t="inlineStr">
        <is>
          <t>SKINNSKATTEBERG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54439-2024</t>
        </is>
      </c>
      <c r="B804" s="1" t="n">
        <v>45617</v>
      </c>
      <c r="C804" s="1" t="n">
        <v>45821</v>
      </c>
      <c r="D804" t="inlineStr">
        <is>
          <t>VÄSTMANLANDS LÄN</t>
        </is>
      </c>
      <c r="E804" t="inlineStr">
        <is>
          <t>SKINNSKATTEBERG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54483-2024</t>
        </is>
      </c>
      <c r="B805" s="1" t="n">
        <v>45617</v>
      </c>
      <c r="C805" s="1" t="n">
        <v>45821</v>
      </c>
      <c r="D805" t="inlineStr">
        <is>
          <t>VÄSTMANLANDS LÄN</t>
        </is>
      </c>
      <c r="E805" t="inlineStr">
        <is>
          <t>SKINNSKATTEBERG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54534-2024</t>
        </is>
      </c>
      <c r="B806" s="1" t="n">
        <v>45617</v>
      </c>
      <c r="C806" s="1" t="n">
        <v>45821</v>
      </c>
      <c r="D806" t="inlineStr">
        <is>
          <t>VÄSTMANLANDS LÄN</t>
        </is>
      </c>
      <c r="E806" t="inlineStr">
        <is>
          <t>SKINNSKATTEBERG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54576-2024</t>
        </is>
      </c>
      <c r="B807" s="1" t="n">
        <v>45617</v>
      </c>
      <c r="C807" s="1" t="n">
        <v>45821</v>
      </c>
      <c r="D807" t="inlineStr">
        <is>
          <t>VÄSTMANLANDS LÄN</t>
        </is>
      </c>
      <c r="E807" t="inlineStr">
        <is>
          <t>SKINNSKATTEBERG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54441-2024</t>
        </is>
      </c>
      <c r="B808" s="1" t="n">
        <v>45617</v>
      </c>
      <c r="C808" s="1" t="n">
        <v>45821</v>
      </c>
      <c r="D808" t="inlineStr">
        <is>
          <t>VÄSTMANLANDS LÄN</t>
        </is>
      </c>
      <c r="E808" t="inlineStr">
        <is>
          <t>SKINNSKATTEBERG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54501-2024</t>
        </is>
      </c>
      <c r="B809" s="1" t="n">
        <v>45617</v>
      </c>
      <c r="C809" s="1" t="n">
        <v>45821</v>
      </c>
      <c r="D809" t="inlineStr">
        <is>
          <t>VÄSTMANLANDS LÄN</t>
        </is>
      </c>
      <c r="E809" t="inlineStr">
        <is>
          <t>SKINNSKATTEBERG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54589-2024</t>
        </is>
      </c>
      <c r="B810" s="1" t="n">
        <v>45617</v>
      </c>
      <c r="C810" s="1" t="n">
        <v>45821</v>
      </c>
      <c r="D810" t="inlineStr">
        <is>
          <t>VÄSTMANLANDS LÄN</t>
        </is>
      </c>
      <c r="E810" t="inlineStr">
        <is>
          <t>SKINNSKATTEBERG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55725-2024</t>
        </is>
      </c>
      <c r="B811" s="1" t="n">
        <v>45622</v>
      </c>
      <c r="C811" s="1" t="n">
        <v>45821</v>
      </c>
      <c r="D811" t="inlineStr">
        <is>
          <t>VÄSTMANLANDS LÄN</t>
        </is>
      </c>
      <c r="E811" t="inlineStr">
        <is>
          <t>SKINNSKATTEBERG</t>
        </is>
      </c>
      <c r="G811" t="n">
        <v>6.5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56931-2024</t>
        </is>
      </c>
      <c r="B812" s="1" t="n">
        <v>45628</v>
      </c>
      <c r="C812" s="1" t="n">
        <v>45821</v>
      </c>
      <c r="D812" t="inlineStr">
        <is>
          <t>VÄSTMANLANDS LÄN</t>
        </is>
      </c>
      <c r="E812" t="inlineStr">
        <is>
          <t>SKINNSKATTEBERG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59578-2024</t>
        </is>
      </c>
      <c r="B813" s="1" t="n">
        <v>45637</v>
      </c>
      <c r="C813" s="1" t="n">
        <v>45821</v>
      </c>
      <c r="D813" t="inlineStr">
        <is>
          <t>VÄSTMANLANDS LÄN</t>
        </is>
      </c>
      <c r="E813" t="inlineStr">
        <is>
          <t>SKINNSKATTEBERG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60355-2024</t>
        </is>
      </c>
      <c r="B814" s="1" t="n">
        <v>45643</v>
      </c>
      <c r="C814" s="1" t="n">
        <v>45821</v>
      </c>
      <c r="D814" t="inlineStr">
        <is>
          <t>VÄSTMANLANDS LÄN</t>
        </is>
      </c>
      <c r="E814" t="inlineStr">
        <is>
          <t>SKINNSKATTEBERG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322-2025</t>
        </is>
      </c>
      <c r="B815" s="1" t="n">
        <v>45656</v>
      </c>
      <c r="C815" s="1" t="n">
        <v>45821</v>
      </c>
      <c r="D815" t="inlineStr">
        <is>
          <t>VÄSTMANLANDS LÄN</t>
        </is>
      </c>
      <c r="E815" t="inlineStr">
        <is>
          <t>SKINNSKATTEBERG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3286-2025</t>
        </is>
      </c>
      <c r="B816" s="1" t="n">
        <v>45679</v>
      </c>
      <c r="C816" s="1" t="n">
        <v>45821</v>
      </c>
      <c r="D816" t="inlineStr">
        <is>
          <t>VÄSTMANLANDS LÄN</t>
        </is>
      </c>
      <c r="E816" t="inlineStr">
        <is>
          <t>SKINNSKATTEBERG</t>
        </is>
      </c>
      <c r="F816" t="inlineStr">
        <is>
          <t>Sveaskog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4393-2025</t>
        </is>
      </c>
      <c r="B817" s="1" t="n">
        <v>45686</v>
      </c>
      <c r="C817" s="1" t="n">
        <v>45821</v>
      </c>
      <c r="D817" t="inlineStr">
        <is>
          <t>VÄSTMANLANDS LÄN</t>
        </is>
      </c>
      <c r="E817" t="inlineStr">
        <is>
          <t>SKINNSKATTEBERG</t>
        </is>
      </c>
      <c r="G817" t="n">
        <v>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4385-2025</t>
        </is>
      </c>
      <c r="B818" s="1" t="n">
        <v>45686</v>
      </c>
      <c r="C818" s="1" t="n">
        <v>45821</v>
      </c>
      <c r="D818" t="inlineStr">
        <is>
          <t>VÄSTMANLANDS LÄN</t>
        </is>
      </c>
      <c r="E818" t="inlineStr">
        <is>
          <t>SKINNSKATTEBERG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4379-2025</t>
        </is>
      </c>
      <c r="B819" s="1" t="n">
        <v>45686</v>
      </c>
      <c r="C819" s="1" t="n">
        <v>45821</v>
      </c>
      <c r="D819" t="inlineStr">
        <is>
          <t>VÄSTMANLANDS LÄN</t>
        </is>
      </c>
      <c r="E819" t="inlineStr">
        <is>
          <t>SKINNSKATTEBERG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5505-2025</t>
        </is>
      </c>
      <c r="B820" s="1" t="n">
        <v>45693</v>
      </c>
      <c r="C820" s="1" t="n">
        <v>45821</v>
      </c>
      <c r="D820" t="inlineStr">
        <is>
          <t>VÄSTMANLANDS LÄN</t>
        </is>
      </c>
      <c r="E820" t="inlineStr">
        <is>
          <t>SKINNSKATTEBERG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8525-2025</t>
        </is>
      </c>
      <c r="B821" s="1" t="n">
        <v>45709</v>
      </c>
      <c r="C821" s="1" t="n">
        <v>45821</v>
      </c>
      <c r="D821" t="inlineStr">
        <is>
          <t>VÄSTMANLANDS LÄN</t>
        </is>
      </c>
      <c r="E821" t="inlineStr">
        <is>
          <t>SKINNSKATTEBERG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10142-2025</t>
        </is>
      </c>
      <c r="B822" s="1" t="n">
        <v>45719</v>
      </c>
      <c r="C822" s="1" t="n">
        <v>45821</v>
      </c>
      <c r="D822" t="inlineStr">
        <is>
          <t>VÄSTMANLANDS LÄN</t>
        </is>
      </c>
      <c r="E822" t="inlineStr">
        <is>
          <t>SKINNSKATTEBERG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10232-2025</t>
        </is>
      </c>
      <c r="B823" s="1" t="n">
        <v>45720</v>
      </c>
      <c r="C823" s="1" t="n">
        <v>45821</v>
      </c>
      <c r="D823" t="inlineStr">
        <is>
          <t>VÄSTMANLANDS LÄN</t>
        </is>
      </c>
      <c r="E823" t="inlineStr">
        <is>
          <t>SKINNSKATTEBERG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13733-2025</t>
        </is>
      </c>
      <c r="B824" s="1" t="n">
        <v>45737</v>
      </c>
      <c r="C824" s="1" t="n">
        <v>45821</v>
      </c>
      <c r="D824" t="inlineStr">
        <is>
          <t>VÄSTMANLANDS LÄN</t>
        </is>
      </c>
      <c r="E824" t="inlineStr">
        <is>
          <t>SKINNSKATTEBERG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14041-2025</t>
        </is>
      </c>
      <c r="B825" s="1" t="n">
        <v>45740</v>
      </c>
      <c r="C825" s="1" t="n">
        <v>45821</v>
      </c>
      <c r="D825" t="inlineStr">
        <is>
          <t>VÄSTMANLANDS LÄN</t>
        </is>
      </c>
      <c r="E825" t="inlineStr">
        <is>
          <t>SKINNSKATTEBERG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14034-2025</t>
        </is>
      </c>
      <c r="B826" s="1" t="n">
        <v>45740</v>
      </c>
      <c r="C826" s="1" t="n">
        <v>45821</v>
      </c>
      <c r="D826" t="inlineStr">
        <is>
          <t>VÄSTMANLANDS LÄN</t>
        </is>
      </c>
      <c r="E826" t="inlineStr">
        <is>
          <t>SKINNSKATTEBERG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14237-2025</t>
        </is>
      </c>
      <c r="B827" s="1" t="n">
        <v>45740</v>
      </c>
      <c r="C827" s="1" t="n">
        <v>45821</v>
      </c>
      <c r="D827" t="inlineStr">
        <is>
          <t>VÄSTMANLANDS LÄN</t>
        </is>
      </c>
      <c r="E827" t="inlineStr">
        <is>
          <t>SKINNSKATTEBERG</t>
        </is>
      </c>
      <c r="G827" t="n">
        <v>10.4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14049-2025</t>
        </is>
      </c>
      <c r="B828" s="1" t="n">
        <v>45740</v>
      </c>
      <c r="C828" s="1" t="n">
        <v>45821</v>
      </c>
      <c r="D828" t="inlineStr">
        <is>
          <t>VÄSTMANLANDS LÄN</t>
        </is>
      </c>
      <c r="E828" t="inlineStr">
        <is>
          <t>SKINNSKATTEBERG</t>
        </is>
      </c>
      <c r="F828" t="inlineStr">
        <is>
          <t>Sveaskog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14044-2025</t>
        </is>
      </c>
      <c r="B829" s="1" t="n">
        <v>45740</v>
      </c>
      <c r="C829" s="1" t="n">
        <v>45821</v>
      </c>
      <c r="D829" t="inlineStr">
        <is>
          <t>VÄSTMANLANDS LÄN</t>
        </is>
      </c>
      <c r="E829" t="inlineStr">
        <is>
          <t>SKINNSKATTEBERG</t>
        </is>
      </c>
      <c r="F829" t="inlineStr">
        <is>
          <t>Sveaskog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14541-2025</t>
        </is>
      </c>
      <c r="B830" s="1" t="n">
        <v>45741</v>
      </c>
      <c r="C830" s="1" t="n">
        <v>45821</v>
      </c>
      <c r="D830" t="inlineStr">
        <is>
          <t>VÄSTMANLANDS LÄN</t>
        </is>
      </c>
      <c r="E830" t="inlineStr">
        <is>
          <t>SKINNSKATTEBERG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15184-2025</t>
        </is>
      </c>
      <c r="B831" s="1" t="n">
        <v>45744</v>
      </c>
      <c r="C831" s="1" t="n">
        <v>45821</v>
      </c>
      <c r="D831" t="inlineStr">
        <is>
          <t>VÄSTMANLANDS LÄN</t>
        </is>
      </c>
      <c r="E831" t="inlineStr">
        <is>
          <t>SKINNSKATTEBERG</t>
        </is>
      </c>
      <c r="F831" t="inlineStr">
        <is>
          <t>Sveaskog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15545-2025</t>
        </is>
      </c>
      <c r="B832" s="1" t="n">
        <v>45747</v>
      </c>
      <c r="C832" s="1" t="n">
        <v>45821</v>
      </c>
      <c r="D832" t="inlineStr">
        <is>
          <t>VÄSTMANLANDS LÄN</t>
        </is>
      </c>
      <c r="E832" t="inlineStr">
        <is>
          <t>SKINNSKATTEBERG</t>
        </is>
      </c>
      <c r="G832" t="n">
        <v>11.8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15562-2025</t>
        </is>
      </c>
      <c r="B833" s="1" t="n">
        <v>45747</v>
      </c>
      <c r="C833" s="1" t="n">
        <v>45821</v>
      </c>
      <c r="D833" t="inlineStr">
        <is>
          <t>VÄSTMANLANDS LÄN</t>
        </is>
      </c>
      <c r="E833" t="inlineStr">
        <is>
          <t>SKINNSKATTEBERG</t>
        </is>
      </c>
      <c r="G833" t="n">
        <v>5.4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16647-2025</t>
        </is>
      </c>
      <c r="B834" s="1" t="n">
        <v>45754</v>
      </c>
      <c r="C834" s="1" t="n">
        <v>45821</v>
      </c>
      <c r="D834" t="inlineStr">
        <is>
          <t>VÄSTMANLANDS LÄN</t>
        </is>
      </c>
      <c r="E834" t="inlineStr">
        <is>
          <t>SKINNSKATTEBERG</t>
        </is>
      </c>
      <c r="F834" t="inlineStr">
        <is>
          <t>Sveaskog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16650-2025</t>
        </is>
      </c>
      <c r="B835" s="1" t="n">
        <v>45754</v>
      </c>
      <c r="C835" s="1" t="n">
        <v>45821</v>
      </c>
      <c r="D835" t="inlineStr">
        <is>
          <t>VÄSTMANLANDS LÄN</t>
        </is>
      </c>
      <c r="E835" t="inlineStr">
        <is>
          <t>SKINNSKATTEBERG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16651-2025</t>
        </is>
      </c>
      <c r="B836" s="1" t="n">
        <v>45754</v>
      </c>
      <c r="C836" s="1" t="n">
        <v>45821</v>
      </c>
      <c r="D836" t="inlineStr">
        <is>
          <t>VÄSTMANLANDS LÄN</t>
        </is>
      </c>
      <c r="E836" t="inlineStr">
        <is>
          <t>SKINNSKATTEBERG</t>
        </is>
      </c>
      <c r="F836" t="inlineStr">
        <is>
          <t>Sveaskog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16654-2025</t>
        </is>
      </c>
      <c r="B837" s="1" t="n">
        <v>45754</v>
      </c>
      <c r="C837" s="1" t="n">
        <v>45821</v>
      </c>
      <c r="D837" t="inlineStr">
        <is>
          <t>VÄSTMANLANDS LÄN</t>
        </is>
      </c>
      <c r="E837" t="inlineStr">
        <is>
          <t>SKINNSKATTEBERG</t>
        </is>
      </c>
      <c r="F837" t="inlineStr">
        <is>
          <t>Sveaskog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16653-2025</t>
        </is>
      </c>
      <c r="B838" s="1" t="n">
        <v>45754</v>
      </c>
      <c r="C838" s="1" t="n">
        <v>45821</v>
      </c>
      <c r="D838" t="inlineStr">
        <is>
          <t>VÄSTMANLANDS LÄN</t>
        </is>
      </c>
      <c r="E838" t="inlineStr">
        <is>
          <t>SKINNSKATTEBERG</t>
        </is>
      </c>
      <c r="F838" t="inlineStr">
        <is>
          <t>Sveaskog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16649-2025</t>
        </is>
      </c>
      <c r="B839" s="1" t="n">
        <v>45754</v>
      </c>
      <c r="C839" s="1" t="n">
        <v>45821</v>
      </c>
      <c r="D839" t="inlineStr">
        <is>
          <t>VÄSTMANLANDS LÄN</t>
        </is>
      </c>
      <c r="E839" t="inlineStr">
        <is>
          <t>SKINNSKATTEBERG</t>
        </is>
      </c>
      <c r="F839" t="inlineStr">
        <is>
          <t>Sveaskog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16910-2025</t>
        </is>
      </c>
      <c r="B840" s="1" t="n">
        <v>45755</v>
      </c>
      <c r="C840" s="1" t="n">
        <v>45821</v>
      </c>
      <c r="D840" t="inlineStr">
        <is>
          <t>VÄSTMANLANDS LÄN</t>
        </is>
      </c>
      <c r="E840" t="inlineStr">
        <is>
          <t>SKINNSKATTEBERG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17292-2025</t>
        </is>
      </c>
      <c r="B841" s="1" t="n">
        <v>45756</v>
      </c>
      <c r="C841" s="1" t="n">
        <v>45821</v>
      </c>
      <c r="D841" t="inlineStr">
        <is>
          <t>VÄSTMANLANDS LÄN</t>
        </is>
      </c>
      <c r="E841" t="inlineStr">
        <is>
          <t>SKINNSKATTEBERG</t>
        </is>
      </c>
      <c r="F841" t="inlineStr">
        <is>
          <t>Sveaskog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17297-2025</t>
        </is>
      </c>
      <c r="B842" s="1" t="n">
        <v>45756</v>
      </c>
      <c r="C842" s="1" t="n">
        <v>45821</v>
      </c>
      <c r="D842" t="inlineStr">
        <is>
          <t>VÄSTMANLANDS LÄN</t>
        </is>
      </c>
      <c r="E842" t="inlineStr">
        <is>
          <t>SKINNSKATTEBERG</t>
        </is>
      </c>
      <c r="F842" t="inlineStr">
        <is>
          <t>Sveaskog</t>
        </is>
      </c>
      <c r="G842" t="n">
        <v>4.8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17295-2025</t>
        </is>
      </c>
      <c r="B843" s="1" t="n">
        <v>45756</v>
      </c>
      <c r="C843" s="1" t="n">
        <v>45821</v>
      </c>
      <c r="D843" t="inlineStr">
        <is>
          <t>VÄSTMANLANDS LÄN</t>
        </is>
      </c>
      <c r="E843" t="inlineStr">
        <is>
          <t>SKINNSKATTEBERG</t>
        </is>
      </c>
      <c r="F843" t="inlineStr">
        <is>
          <t>Sveaskog</t>
        </is>
      </c>
      <c r="G843" t="n">
        <v>6.9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17838-2025</t>
        </is>
      </c>
      <c r="B844" s="1" t="n">
        <v>45758</v>
      </c>
      <c r="C844" s="1" t="n">
        <v>45821</v>
      </c>
      <c r="D844" t="inlineStr">
        <is>
          <t>VÄSTMANLANDS LÄN</t>
        </is>
      </c>
      <c r="E844" t="inlineStr">
        <is>
          <t>SKINNSKATTEBERG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18409-2025</t>
        </is>
      </c>
      <c r="B845" s="1" t="n">
        <v>45762</v>
      </c>
      <c r="C845" s="1" t="n">
        <v>45821</v>
      </c>
      <c r="D845" t="inlineStr">
        <is>
          <t>VÄSTMANLANDS LÄN</t>
        </is>
      </c>
      <c r="E845" t="inlineStr">
        <is>
          <t>SKINNSKATTEBERG</t>
        </is>
      </c>
      <c r="F845" t="inlineStr">
        <is>
          <t>Sveaskog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18417-2025</t>
        </is>
      </c>
      <c r="B846" s="1" t="n">
        <v>45762</v>
      </c>
      <c r="C846" s="1" t="n">
        <v>45821</v>
      </c>
      <c r="D846" t="inlineStr">
        <is>
          <t>VÄSTMANLANDS LÄN</t>
        </is>
      </c>
      <c r="E846" t="inlineStr">
        <is>
          <t>SKINNSKATTEBERG</t>
        </is>
      </c>
      <c r="F846" t="inlineStr">
        <is>
          <t>Sveaskog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18416-2025</t>
        </is>
      </c>
      <c r="B847" s="1" t="n">
        <v>45762</v>
      </c>
      <c r="C847" s="1" t="n">
        <v>45821</v>
      </c>
      <c r="D847" t="inlineStr">
        <is>
          <t>VÄSTMANLANDS LÄN</t>
        </is>
      </c>
      <c r="E847" t="inlineStr">
        <is>
          <t>SKINNSKATTEBERG</t>
        </is>
      </c>
      <c r="F847" t="inlineStr">
        <is>
          <t>Sveaskog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19656-2025</t>
        </is>
      </c>
      <c r="B848" s="1" t="n">
        <v>45770</v>
      </c>
      <c r="C848" s="1" t="n">
        <v>45821</v>
      </c>
      <c r="D848" t="inlineStr">
        <is>
          <t>VÄSTMANLANDS LÄN</t>
        </is>
      </c>
      <c r="E848" t="inlineStr">
        <is>
          <t>SKINNSKATTEBERG</t>
        </is>
      </c>
      <c r="F848" t="inlineStr">
        <is>
          <t>Sveaskog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19655-2025</t>
        </is>
      </c>
      <c r="B849" s="1" t="n">
        <v>45770</v>
      </c>
      <c r="C849" s="1" t="n">
        <v>45821</v>
      </c>
      <c r="D849" t="inlineStr">
        <is>
          <t>VÄSTMANLANDS LÄN</t>
        </is>
      </c>
      <c r="E849" t="inlineStr">
        <is>
          <t>SKINNSKATTEBERG</t>
        </is>
      </c>
      <c r="F849" t="inlineStr">
        <is>
          <t>Sveaskog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19919-2025</t>
        </is>
      </c>
      <c r="B850" s="1" t="n">
        <v>45771</v>
      </c>
      <c r="C850" s="1" t="n">
        <v>45821</v>
      </c>
      <c r="D850" t="inlineStr">
        <is>
          <t>VÄSTMANLANDS LÄN</t>
        </is>
      </c>
      <c r="E850" t="inlineStr">
        <is>
          <t>SKINNSKATTEBERG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20953-2025</t>
        </is>
      </c>
      <c r="B851" s="1" t="n">
        <v>45777</v>
      </c>
      <c r="C851" s="1" t="n">
        <v>45821</v>
      </c>
      <c r="D851" t="inlineStr">
        <is>
          <t>VÄSTMANLANDS LÄN</t>
        </is>
      </c>
      <c r="E851" t="inlineStr">
        <is>
          <t>SKINNSKATTEBERG</t>
        </is>
      </c>
      <c r="F851" t="inlineStr">
        <is>
          <t>Sveaskog</t>
        </is>
      </c>
      <c r="G851" t="n">
        <v>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20947-2025</t>
        </is>
      </c>
      <c r="B852" s="1" t="n">
        <v>45777</v>
      </c>
      <c r="C852" s="1" t="n">
        <v>45821</v>
      </c>
      <c r="D852" t="inlineStr">
        <is>
          <t>VÄSTMANLANDS LÄN</t>
        </is>
      </c>
      <c r="E852" t="inlineStr">
        <is>
          <t>SKINNSKATTEBERG</t>
        </is>
      </c>
      <c r="F852" t="inlineStr">
        <is>
          <t>Sveaskog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20949-2025</t>
        </is>
      </c>
      <c r="B853" s="1" t="n">
        <v>45777</v>
      </c>
      <c r="C853" s="1" t="n">
        <v>45821</v>
      </c>
      <c r="D853" t="inlineStr">
        <is>
          <t>VÄSTMANLANDS LÄN</t>
        </is>
      </c>
      <c r="E853" t="inlineStr">
        <is>
          <t>SKINNSKATTEBERG</t>
        </is>
      </c>
      <c r="F853" t="inlineStr">
        <is>
          <t>Sveaskog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20926-2025</t>
        </is>
      </c>
      <c r="B854" s="1" t="n">
        <v>45777</v>
      </c>
      <c r="C854" s="1" t="n">
        <v>45821</v>
      </c>
      <c r="D854" t="inlineStr">
        <is>
          <t>VÄSTMANLANDS LÄN</t>
        </is>
      </c>
      <c r="E854" t="inlineStr">
        <is>
          <t>SKINNSKATTEBERG</t>
        </is>
      </c>
      <c r="F854" t="inlineStr">
        <is>
          <t>Sveaskog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22296-2025</t>
        </is>
      </c>
      <c r="B855" s="1" t="n">
        <v>45786</v>
      </c>
      <c r="C855" s="1" t="n">
        <v>45821</v>
      </c>
      <c r="D855" t="inlineStr">
        <is>
          <t>VÄSTMANLANDS LÄN</t>
        </is>
      </c>
      <c r="E855" t="inlineStr">
        <is>
          <t>SKINNSKATTEBERG</t>
        </is>
      </c>
      <c r="F855" t="inlineStr">
        <is>
          <t>Sveaskog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22299-2025</t>
        </is>
      </c>
      <c r="B856" s="1" t="n">
        <v>45786</v>
      </c>
      <c r="C856" s="1" t="n">
        <v>45821</v>
      </c>
      <c r="D856" t="inlineStr">
        <is>
          <t>VÄSTMANLANDS LÄN</t>
        </is>
      </c>
      <c r="E856" t="inlineStr">
        <is>
          <t>SKINNSKATTEBERG</t>
        </is>
      </c>
      <c r="F856" t="inlineStr">
        <is>
          <t>Sveaskog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22285-2025</t>
        </is>
      </c>
      <c r="B857" s="1" t="n">
        <v>45786</v>
      </c>
      <c r="C857" s="1" t="n">
        <v>45821</v>
      </c>
      <c r="D857" t="inlineStr">
        <is>
          <t>VÄSTMANLANDS LÄN</t>
        </is>
      </c>
      <c r="E857" t="inlineStr">
        <is>
          <t>SKINNSKATTEBERG</t>
        </is>
      </c>
      <c r="F857" t="inlineStr">
        <is>
          <t>Sveaskog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22301-2025</t>
        </is>
      </c>
      <c r="B858" s="1" t="n">
        <v>45786</v>
      </c>
      <c r="C858" s="1" t="n">
        <v>45821</v>
      </c>
      <c r="D858" t="inlineStr">
        <is>
          <t>VÄSTMANLANDS LÄN</t>
        </is>
      </c>
      <c r="E858" t="inlineStr">
        <is>
          <t>SKINNSKATTEBERG</t>
        </is>
      </c>
      <c r="F858" t="inlineStr">
        <is>
          <t>Sveaskog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22280-2025</t>
        </is>
      </c>
      <c r="B859" s="1" t="n">
        <v>45786</v>
      </c>
      <c r="C859" s="1" t="n">
        <v>45821</v>
      </c>
      <c r="D859" t="inlineStr">
        <is>
          <t>VÄSTMANLANDS LÄN</t>
        </is>
      </c>
      <c r="E859" t="inlineStr">
        <is>
          <t>SKINNSKATTEBERG</t>
        </is>
      </c>
      <c r="F859" t="inlineStr">
        <is>
          <t>Sveaskog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23131-2025</t>
        </is>
      </c>
      <c r="B860" s="1" t="n">
        <v>45791</v>
      </c>
      <c r="C860" s="1" t="n">
        <v>45821</v>
      </c>
      <c r="D860" t="inlineStr">
        <is>
          <t>VÄSTMANLANDS LÄN</t>
        </is>
      </c>
      <c r="E860" t="inlineStr">
        <is>
          <t>SKINNSKATTEBERG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23625-2025</t>
        </is>
      </c>
      <c r="B861" s="1" t="n">
        <v>45792</v>
      </c>
      <c r="C861" s="1" t="n">
        <v>45821</v>
      </c>
      <c r="D861" t="inlineStr">
        <is>
          <t>VÄSTMANLANDS LÄN</t>
        </is>
      </c>
      <c r="E861" t="inlineStr">
        <is>
          <t>SKINNSKATTEBERG</t>
        </is>
      </c>
      <c r="F861" t="inlineStr">
        <is>
          <t>Sveaskog</t>
        </is>
      </c>
      <c r="G861" t="n">
        <v>5.9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23624-2025</t>
        </is>
      </c>
      <c r="B862" s="1" t="n">
        <v>45792</v>
      </c>
      <c r="C862" s="1" t="n">
        <v>45821</v>
      </c>
      <c r="D862" t="inlineStr">
        <is>
          <t>VÄSTMANLANDS LÄN</t>
        </is>
      </c>
      <c r="E862" t="inlineStr">
        <is>
          <t>SKINNSKATTEBERG</t>
        </is>
      </c>
      <c r="F862" t="inlineStr">
        <is>
          <t>Sveaskog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23611-2025</t>
        </is>
      </c>
      <c r="B863" s="1" t="n">
        <v>45792</v>
      </c>
      <c r="C863" s="1" t="n">
        <v>45821</v>
      </c>
      <c r="D863" t="inlineStr">
        <is>
          <t>VÄSTMANLANDS LÄN</t>
        </is>
      </c>
      <c r="E863" t="inlineStr">
        <is>
          <t>SKINNSKATTEBERG</t>
        </is>
      </c>
      <c r="F863" t="inlineStr">
        <is>
          <t>Sveaskog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23621-2025</t>
        </is>
      </c>
      <c r="B864" s="1" t="n">
        <v>45792</v>
      </c>
      <c r="C864" s="1" t="n">
        <v>45821</v>
      </c>
      <c r="D864" t="inlineStr">
        <is>
          <t>VÄSTMANLANDS LÄN</t>
        </is>
      </c>
      <c r="E864" t="inlineStr">
        <is>
          <t>SKINNSKATTEBERG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25845-2025</t>
        </is>
      </c>
      <c r="B865" s="1" t="n">
        <v>45804</v>
      </c>
      <c r="C865" s="1" t="n">
        <v>45821</v>
      </c>
      <c r="D865" t="inlineStr">
        <is>
          <t>VÄSTMANLANDS LÄN</t>
        </is>
      </c>
      <c r="E865" t="inlineStr">
        <is>
          <t>SKINNSKATTEBERG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25846-2025</t>
        </is>
      </c>
      <c r="B866" s="1" t="n">
        <v>45804</v>
      </c>
      <c r="C866" s="1" t="n">
        <v>45821</v>
      </c>
      <c r="D866" t="inlineStr">
        <is>
          <t>VÄSTMANLANDS LÄN</t>
        </is>
      </c>
      <c r="E866" t="inlineStr">
        <is>
          <t>SKINNSKATTEBERG</t>
        </is>
      </c>
      <c r="F866" t="inlineStr">
        <is>
          <t>Sveaskog</t>
        </is>
      </c>
      <c r="G866" t="n">
        <v>0.2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28608-2025</t>
        </is>
      </c>
      <c r="B867" s="1" t="n">
        <v>45819</v>
      </c>
      <c r="C867" s="1" t="n">
        <v>45821</v>
      </c>
      <c r="D867" t="inlineStr">
        <is>
          <t>VÄSTMANLANDS LÄN</t>
        </is>
      </c>
      <c r="E867" t="inlineStr">
        <is>
          <t>SKINNSKATTEBERG</t>
        </is>
      </c>
      <c r="F867" t="inlineStr">
        <is>
          <t>Sveaskog</t>
        </is>
      </c>
      <c r="G867" t="n">
        <v>9.1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28606-2025</t>
        </is>
      </c>
      <c r="B868" s="1" t="n">
        <v>45819</v>
      </c>
      <c r="C868" s="1" t="n">
        <v>45821</v>
      </c>
      <c r="D868" t="inlineStr">
        <is>
          <t>VÄSTMANLANDS LÄN</t>
        </is>
      </c>
      <c r="E868" t="inlineStr">
        <is>
          <t>SKINNSKATTEBERG</t>
        </is>
      </c>
      <c r="F868" t="inlineStr">
        <is>
          <t>Sveaskog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28603-2025</t>
        </is>
      </c>
      <c r="B869" s="1" t="n">
        <v>45819</v>
      </c>
      <c r="C869" s="1" t="n">
        <v>45821</v>
      </c>
      <c r="D869" t="inlineStr">
        <is>
          <t>VÄSTMANLANDS LÄN</t>
        </is>
      </c>
      <c r="E869" t="inlineStr">
        <is>
          <t>SKINNSKATTEBERG</t>
        </is>
      </c>
      <c r="F869" t="inlineStr">
        <is>
          <t>Sveaskog</t>
        </is>
      </c>
      <c r="G869" t="n">
        <v>4.6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28605-2025</t>
        </is>
      </c>
      <c r="B870" s="1" t="n">
        <v>45819</v>
      </c>
      <c r="C870" s="1" t="n">
        <v>45821</v>
      </c>
      <c r="D870" t="inlineStr">
        <is>
          <t>VÄSTMANLANDS LÄN</t>
        </is>
      </c>
      <c r="E870" t="inlineStr">
        <is>
          <t>SKINNSKATTEBERG</t>
        </is>
      </c>
      <c r="F870" t="inlineStr">
        <is>
          <t>Sveaskog</t>
        </is>
      </c>
      <c r="G870" t="n">
        <v>9.699999999999999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28610-2025</t>
        </is>
      </c>
      <c r="B871" s="1" t="n">
        <v>45819</v>
      </c>
      <c r="C871" s="1" t="n">
        <v>45821</v>
      </c>
      <c r="D871" t="inlineStr">
        <is>
          <t>VÄSTMANLANDS LÄN</t>
        </is>
      </c>
      <c r="E871" t="inlineStr">
        <is>
          <t>SKINNSKATTEBERG</t>
        </is>
      </c>
      <c r="F871" t="inlineStr">
        <is>
          <t>Sveaskog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28613-2025</t>
        </is>
      </c>
      <c r="B872" s="1" t="n">
        <v>45819</v>
      </c>
      <c r="C872" s="1" t="n">
        <v>45821</v>
      </c>
      <c r="D872" t="inlineStr">
        <is>
          <t>VÄSTMANLANDS LÄN</t>
        </is>
      </c>
      <c r="E872" t="inlineStr">
        <is>
          <t>SKINNSKATTEBERG</t>
        </is>
      </c>
      <c r="F872" t="inlineStr">
        <is>
          <t>Sveaskog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28614-2025</t>
        </is>
      </c>
      <c r="B873" s="1" t="n">
        <v>45819</v>
      </c>
      <c r="C873" s="1" t="n">
        <v>45821</v>
      </c>
      <c r="D873" t="inlineStr">
        <is>
          <t>VÄSTMANLANDS LÄN</t>
        </is>
      </c>
      <c r="E873" t="inlineStr">
        <is>
          <t>SKINNSKATTEBERG</t>
        </is>
      </c>
      <c r="F873" t="inlineStr">
        <is>
          <t>Sveaskog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28873-2025</t>
        </is>
      </c>
      <c r="B874" s="1" t="n">
        <v>45820</v>
      </c>
      <c r="C874" s="1" t="n">
        <v>45821</v>
      </c>
      <c r="D874" t="inlineStr">
        <is>
          <t>VÄSTMANLANDS LÄN</t>
        </is>
      </c>
      <c r="E874" t="inlineStr">
        <is>
          <t>SKINNSKATTEBERG</t>
        </is>
      </c>
      <c r="F874" t="inlineStr">
        <is>
          <t>Sveaskog</t>
        </is>
      </c>
      <c r="G874" t="n">
        <v>0.2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>
      <c r="A875" t="inlineStr">
        <is>
          <t>A 28831-2025</t>
        </is>
      </c>
      <c r="B875" s="1" t="n">
        <v>45820</v>
      </c>
      <c r="C875" s="1" t="n">
        <v>45821</v>
      </c>
      <c r="D875" t="inlineStr">
        <is>
          <t>VÄSTMANLANDS LÄN</t>
        </is>
      </c>
      <c r="E875" t="inlineStr">
        <is>
          <t>SKINNSKATTEBERG</t>
        </is>
      </c>
      <c r="F875" t="inlineStr">
        <is>
          <t>Sveaskog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2025-06-13T18:31:35Z</dcterms:created>
  <dcterms:modified xmlns:dcterms="http://purl.org/dc/terms/" xmlns:xsi="http://www.w3.org/2001/XMLSchema-instance" xsi:type="dcterms:W3CDTF">2025-06-13T18:31:36Z</dcterms:modified>
</cp:coreProperties>
</file>