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46254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46254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46254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46254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46254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46254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46254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46254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46254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46254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46254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21846-2026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46254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0.5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Gränsticka
Brunpudrad nållav
Vedtrappmossa</t>
        </is>
      </c>
      <c r="W13">
        <f>HYPERLINK("https://klasma.github.io/Logging_1904/artfynd/A 21846-2026 artfynd.xlsx", "A 21846-2026")</f>
        <v/>
      </c>
      <c r="X13">
        <f>HYPERLINK("https://klasma.github.io/Logging_1904/kartor/A 21846-2026 karta.png", "A 21846-2026")</f>
        <v/>
      </c>
      <c r="Y13">
        <f>HYPERLINK("https://klasma.github.io/Logging_1904/kartor_geotiff/A 21846-2026 georefererad karta.tif", "A 21846-2026")</f>
        <v/>
      </c>
      <c r="AA13">
        <f>HYPERLINK("https://klasma.github.io/Logging_1904/klagomål/A 21846-2026 FSC-klagomål.docx", "A 21846-2026")</f>
        <v/>
      </c>
      <c r="AB13">
        <f>HYPERLINK("https://klasma.github.io/Logging_1904/klagomålsmail/A 21846-2026 FSC-klagomål mail.docx", "A 21846-2026")</f>
        <v/>
      </c>
      <c r="AC13">
        <f>HYPERLINK("https://klasma.github.io/Logging_1904/tillsyn/A 21846-2026 tillsynsbegäran.docx", "A 21846-2026")</f>
        <v/>
      </c>
      <c r="AD13">
        <f>HYPERLINK("https://klasma.github.io/Logging_1904/tillsynsmail/A 21846-2026 tillsynsbegäran mail.docx", "A 21846-2026")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46254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46254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46254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46254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46254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46254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46254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46254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46254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46254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49630-2024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46254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HYPERLINK("https://klasma.github.io/Logging_1904/artfynd/A 49630-2024 artfynd.xlsx", "A 49630-2024")</f>
        <v/>
      </c>
      <c r="X24">
        <f>HYPERLINK("https://klasma.github.io/Logging_1904/kartor/A 49630-2024 karta.png", "A 49630-2024")</f>
        <v/>
      </c>
      <c r="Y24">
        <f>HYPERLINK("https://klasma.github.io/Logging_1904/kartor_geotiff/A 49630-2024 georefererad karta.tif", "A 49630-2024")</f>
        <v/>
      </c>
      <c r="AA24">
        <f>HYPERLINK("https://klasma.github.io/Logging_1904/klagomål/A 49630-2024 FSC-klagomål.docx", "A 49630-2024")</f>
        <v/>
      </c>
      <c r="AB24">
        <f>HYPERLINK("https://klasma.github.io/Logging_1904/klagomålsmail/A 49630-2024 FSC-klagomål mail.docx", "A 49630-2024")</f>
        <v/>
      </c>
      <c r="AC24">
        <f>HYPERLINK("https://klasma.github.io/Logging_1904/tillsyn/A 49630-2024 tillsynsbegäran.docx", "A 49630-2024")</f>
        <v/>
      </c>
      <c r="AD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45428</v>
      </c>
      <c r="E25" s="1" t="n">
        <v>46254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Järpe</t>
        </is>
      </c>
      <c r="W25">
        <f>HYPERLINK("https://klasma.github.io/Logging_1904/artfynd/A 19205-2024 artfynd.xlsx", "A 19205-2024")</f>
        <v/>
      </c>
      <c r="X25">
        <f>HYPERLINK("https://klasma.github.io/Logging_1904/kartor/A 19205-2024 karta.png", "A 19205-2024")</f>
        <v/>
      </c>
      <c r="Y25">
        <f>HYPERLINK("https://klasma.github.io/Logging_1904/kartor_geotiff/A 19205-2024 georefererad karta.tif", "A 19205-2024")</f>
        <v/>
      </c>
      <c r="AA25">
        <f>HYPERLINK("https://klasma.github.io/Logging_1904/klagomål/A 19205-2024 FSC-klagomål.docx", "A 19205-2024")</f>
        <v/>
      </c>
      <c r="AB25">
        <f>HYPERLINK("https://klasma.github.io/Logging_1904/klagomålsmail/A 19205-2024 FSC-klagomål mail.docx", "A 19205-2024")</f>
        <v/>
      </c>
      <c r="AC25">
        <f>HYPERLINK("https://klasma.github.io/Logging_1904/tillsyn/A 19205-2024 tillsynsbegäran.docx", "A 19205-2024")</f>
        <v/>
      </c>
      <c r="AD25">
        <f>HYPERLINK("https://klasma.github.io/Logging_1904/tillsynsmail/A 19205-2024 tillsynsbegäran mail.docx", "A 19205-2024")</f>
        <v/>
      </c>
      <c r="AE25">
        <f>HYPERLINK("https://klasma.github.io/Logging_1904/fåglar/A 19205-2024 prioriterade fågelarter.docx", "A 19205-2024")</f>
        <v/>
      </c>
    </row>
    <row r="26" ht="15" customHeight="1">
      <c r="A26" t="inlineStr">
        <is>
          <t>A 20559-2026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46140</v>
      </c>
      <c r="E26" s="1" t="n">
        <v>46254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0.3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HYPERLINK("https://klasma.github.io/Logging_1904/artfynd/A 20559-2026 artfynd.xlsx", "A 20559-2026")</f>
        <v/>
      </c>
      <c r="X26">
        <f>HYPERLINK("https://klasma.github.io/Logging_1904/kartor/A 20559-2026 karta.png", "A 20559-2026")</f>
        <v/>
      </c>
      <c r="Y26">
        <f>HYPERLINK("https://klasma.github.io/Logging_1904/kartor_geotiff/A 20559-2026 georefererad karta.tif", "A 20559-2026")</f>
        <v/>
      </c>
      <c r="AA26">
        <f>HYPERLINK("https://klasma.github.io/Logging_1904/klagomål/A 20559-2026 FSC-klagomål.docx", "A 20559-2026")</f>
        <v/>
      </c>
      <c r="AB26">
        <f>HYPERLINK("https://klasma.github.io/Logging_1904/klagomålsmail/A 20559-2026 FSC-klagomål mail.docx", "A 20559-2026")</f>
        <v/>
      </c>
      <c r="AC26">
        <f>HYPERLINK("https://klasma.github.io/Logging_1904/tillsyn/A 20559-2026 tillsynsbegäran.docx", "A 20559-2026")</f>
        <v/>
      </c>
      <c r="AD26">
        <f>HYPERLINK("https://klasma.github.io/Logging_1904/tillsynsmail/A 20559-2026 tillsynsbegäran mail.docx", "A 20559-2026")</f>
        <v/>
      </c>
      <c r="AE26">
        <f>HYPERLINK("https://klasma.github.io/Logging_1904/fåglar/A 20559-2026 prioriterade fågelarter.docx", "A 20559-2026")</f>
        <v/>
      </c>
    </row>
    <row r="27" ht="15" customHeight="1">
      <c r="A27" t="inlineStr">
        <is>
          <t>A 21849-2026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46150</v>
      </c>
      <c r="E27" s="1" t="n">
        <v>46254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HYPERLINK("https://klasma.github.io/Logging_1904/artfynd/A 21849-2026 artfynd.xlsx", "A 21849-2026")</f>
        <v/>
      </c>
      <c r="X27">
        <f>HYPERLINK("https://klasma.github.io/Logging_1904/kartor/A 21849-2026 karta.png", "A 21849-2026")</f>
        <v/>
      </c>
      <c r="Y27">
        <f>HYPERLINK("https://klasma.github.io/Logging_1904/kartor_geotiff/A 21849-2026 georefererad karta.tif", "A 21849-2026")</f>
        <v/>
      </c>
      <c r="Z27">
        <f>HYPERLINK("https://klasma.github.io/Logging_1904/knärot/A 21849-2026 karta knärot.png", "A 21849-2026")</f>
        <v/>
      </c>
      <c r="AA27">
        <f>HYPERLINK("https://klasma.github.io/Logging_1904/klagomål/A 21849-2026 FSC-klagomål.docx", "A 21849-2026")</f>
        <v/>
      </c>
      <c r="AB27">
        <f>HYPERLINK("https://klasma.github.io/Logging_1904/klagomålsmail/A 21849-2026 FSC-klagomål mail.docx", "A 21849-2026")</f>
        <v/>
      </c>
      <c r="AC27">
        <f>HYPERLINK("https://klasma.github.io/Logging_1904/tillsyn/A 21849-2026 tillsynsbegäran.docx", "A 21849-2026")</f>
        <v/>
      </c>
      <c r="AD27">
        <f>HYPERLINK("https://klasma.github.io/Logging_1904/tillsynsmail/A 21849-2026 tillsynsbegäran mail.docx", "A 21849-2026")</f>
        <v/>
      </c>
    </row>
    <row r="28" ht="15" customHeight="1">
      <c r="A28" t="inlineStr">
        <is>
          <t>A 24492-2026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46254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HYPERLINK("https://klasma.github.io/Logging_1904/artfynd/A 24492-2026 artfynd.xlsx", "A 24492-2026")</f>
        <v/>
      </c>
      <c r="X28">
        <f>HYPERLINK("https://klasma.github.io/Logging_1904/kartor/A 24492-2026 karta.png", "A 24492-2026")</f>
        <v/>
      </c>
      <c r="Y28">
        <f>HYPERLINK("https://klasma.github.io/Logging_1904/kartor_geotiff/A 24492-2026 georefererad karta.tif", "A 24492-2026")</f>
        <v/>
      </c>
      <c r="AA28">
        <f>HYPERLINK("https://klasma.github.io/Logging_1904/klagomål/A 24492-2026 FSC-klagomål.docx", "A 24492-2026")</f>
        <v/>
      </c>
      <c r="AB28">
        <f>HYPERLINK("https://klasma.github.io/Logging_1904/klagomålsmail/A 24492-2026 FSC-klagomål mail.docx", "A 24492-2026")</f>
        <v/>
      </c>
      <c r="AC28">
        <f>HYPERLINK("https://klasma.github.io/Logging_1904/tillsyn/A 24492-2026 tillsynsbegäran.docx", "A 24492-2026")</f>
        <v/>
      </c>
      <c r="AD28">
        <f>HYPERLINK("https://klasma.github.io/Logging_1904/tillsynsmail/A 24492-2026 tillsynsbegäran mail.docx", "A 24492-2026")</f>
        <v/>
      </c>
      <c r="AE28">
        <f>HYPERLINK("https://klasma.github.io/Logging_1904/fåglar/A 24492-2026 prioriterade fågelarter.docx", "A 24492-2026")</f>
        <v/>
      </c>
    </row>
    <row r="29" ht="15" customHeight="1">
      <c r="A29" t="inlineStr">
        <is>
          <t>A 24944-2026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46254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8.4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Garnlav</t>
        </is>
      </c>
      <c r="W29">
        <f>HYPERLINK("https://klasma.github.io/Logging_1904/artfynd/A 24944-2026 artfynd.xlsx", "A 24944-2026")</f>
        <v/>
      </c>
      <c r="X29">
        <f>HYPERLINK("https://klasma.github.io/Logging_1904/kartor/A 24944-2026 karta.png", "A 24944-2026")</f>
        <v/>
      </c>
      <c r="Y29">
        <f>HYPERLINK("https://klasma.github.io/Logging_1904/kartor_geotiff/A 24944-2026 georefererad karta.tif", "A 24944-2026")</f>
        <v/>
      </c>
      <c r="AA29">
        <f>HYPERLINK("https://klasma.github.io/Logging_1904/klagomål/A 24944-2026 FSC-klagomål.docx", "A 24944-2026")</f>
        <v/>
      </c>
      <c r="AB29">
        <f>HYPERLINK("https://klasma.github.io/Logging_1904/klagomålsmail/A 24944-2026 FSC-klagomål mail.docx", "A 24944-2026")</f>
        <v/>
      </c>
      <c r="AC29">
        <f>HYPERLINK("https://klasma.github.io/Logging_1904/tillsyn/A 24944-2026 tillsynsbegäran.docx", "A 24944-2026")</f>
        <v/>
      </c>
      <c r="AD29">
        <f>HYPERLINK("https://klasma.github.io/Logging_1904/tillsynsmail/A 24944-2026 tillsynsbegäran mail.docx", "A 24944-2026")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46254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HYPERLINK("https://klasma.github.io/Logging_1904/artfynd/A 47538-2025 artfynd.xlsx", "A 47538-2025")</f>
        <v/>
      </c>
      <c r="X30">
        <f>HYPERLINK("https://klasma.github.io/Logging_1904/kartor/A 47538-2025 karta.png", "A 47538-2025")</f>
        <v/>
      </c>
      <c r="Y30">
        <f>HYPERLINK("https://klasma.github.io/Logging_1904/kartor_geotiff/A 47538-2025 georefererad karta.tif", "A 47538-2025")</f>
        <v/>
      </c>
      <c r="AA30">
        <f>HYPERLINK("https://klasma.github.io/Logging_1904/klagomål/A 47538-2025 FSC-klagomål.docx", "A 47538-2025")</f>
        <v/>
      </c>
      <c r="AB30">
        <f>HYPERLINK("https://klasma.github.io/Logging_1904/klagomålsmail/A 47538-2025 FSC-klagomål mail.docx", "A 47538-2025")</f>
        <v/>
      </c>
      <c r="AC30">
        <f>HYPERLINK("https://klasma.github.io/Logging_1904/tillsyn/A 47538-2025 tillsynsbegäran.docx", "A 47538-2025")</f>
        <v/>
      </c>
      <c r="AD30">
        <f>HYPERLINK("https://klasma.github.io/Logging_1904/tillsynsmail/A 47538-2025 tillsynsbegäran mail.docx", "A 47538-2025")</f>
        <v/>
      </c>
    </row>
    <row r="31" ht="15" customHeight="1">
      <c r="A31" t="inlineStr">
        <is>
          <t>A 26860-2026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46254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10.3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Kungsörn</t>
        </is>
      </c>
      <c r="W31">
        <f>HYPERLINK("https://klasma.github.io/Logging_1904/artfynd/A 26860-2026 artfynd.xlsx", "A 26860-2026")</f>
        <v/>
      </c>
      <c r="X31">
        <f>HYPERLINK("https://klasma.github.io/Logging_1904/kartor/A 26860-2026 karta.png", "A 26860-2026")</f>
        <v/>
      </c>
      <c r="Y31">
        <f>HYPERLINK("https://klasma.github.io/Logging_1904/kartor_geotiff/A 26860-2026 georefererad karta.tif", "A 26860-2026")</f>
        <v/>
      </c>
      <c r="AA31">
        <f>HYPERLINK("https://klasma.github.io/Logging_1904/klagomål/A 26860-2026 FSC-klagomål.docx", "A 26860-2026")</f>
        <v/>
      </c>
      <c r="AB31">
        <f>HYPERLINK("https://klasma.github.io/Logging_1904/klagomålsmail/A 26860-2026 FSC-klagomål mail.docx", "A 26860-2026")</f>
        <v/>
      </c>
      <c r="AC31">
        <f>HYPERLINK("https://klasma.github.io/Logging_1904/tillsyn/A 26860-2026 tillsynsbegäran.docx", "A 26860-2026")</f>
        <v/>
      </c>
      <c r="AD31">
        <f>HYPERLINK("https://klasma.github.io/Logging_1904/tillsynsmail/A 26860-2026 tillsynsbegäran mail.docx", "A 26860-2026")</f>
        <v/>
      </c>
      <c r="AE31">
        <f>HYPERLINK("https://klasma.github.io/Logging_1904/fåglar/A 26860-2026 prioriterade fågelarter.docx", "A 26860-2026")</f>
        <v/>
      </c>
    </row>
    <row r="32" ht="15" customHeight="1">
      <c r="A32" t="inlineStr">
        <is>
          <t>A 27565-2024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45474</v>
      </c>
      <c r="E32" s="1" t="n">
        <v>46254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HYPERLINK("https://klasma.github.io/Logging_1904/artfynd/A 27565-2024 artfynd.xlsx", "A 27565-2024")</f>
        <v/>
      </c>
      <c r="X32">
        <f>HYPERLINK("https://klasma.github.io/Logging_1904/kartor/A 27565-2024 karta.png", "A 27565-2024")</f>
        <v/>
      </c>
      <c r="Y32">
        <f>HYPERLINK("https://klasma.github.io/Logging_1904/kartor_geotiff/A 27565-2024 georefererad karta.tif", "A 27565-2024")</f>
        <v/>
      </c>
      <c r="AA32">
        <f>HYPERLINK("https://klasma.github.io/Logging_1904/klagomål/A 27565-2024 FSC-klagomål.docx", "A 27565-2024")</f>
        <v/>
      </c>
      <c r="AB32">
        <f>HYPERLINK("https://klasma.github.io/Logging_1904/klagomålsmail/A 27565-2024 FSC-klagomål mail.docx", "A 27565-2024")</f>
        <v/>
      </c>
      <c r="AC32">
        <f>HYPERLINK("https://klasma.github.io/Logging_1904/tillsyn/A 27565-2024 tillsynsbegäran.docx", "A 27565-2024")</f>
        <v/>
      </c>
      <c r="AD32">
        <f>HYPERLINK("https://klasma.github.io/Logging_1904/tillsynsmail/A 27565-2024 tillsynsbegäran mail.docx", "A 27565-2024")</f>
        <v/>
      </c>
    </row>
    <row r="33" ht="15" customHeight="1">
      <c r="A33" t="inlineStr">
        <is>
          <t>A 57395-2025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45980</v>
      </c>
      <c r="E33" s="1" t="n">
        <v>46254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Vedticka</t>
        </is>
      </c>
      <c r="W33">
        <f>HYPERLINK("https://klasma.github.io/Logging_1904/artfynd/A 57395-2025 artfynd.xlsx", "A 57395-2025")</f>
        <v/>
      </c>
      <c r="X33">
        <f>HYPERLINK("https://klasma.github.io/Logging_1904/kartor/A 57395-2025 karta.png", "A 57395-2025")</f>
        <v/>
      </c>
      <c r="Y33">
        <f>HYPERLINK("https://klasma.github.io/Logging_1904/kartor_geotiff/A 57395-2025 georefererad karta.tif", "A 57395-2025")</f>
        <v/>
      </c>
      <c r="AA33">
        <f>HYPERLINK("https://klasma.github.io/Logging_1904/klagomål/A 57395-2025 FSC-klagomål.docx", "A 57395-2025")</f>
        <v/>
      </c>
      <c r="AB33">
        <f>HYPERLINK("https://klasma.github.io/Logging_1904/klagomålsmail/A 57395-2025 FSC-klagomål mail.docx", "A 57395-2025")</f>
        <v/>
      </c>
      <c r="AC33">
        <f>HYPERLINK("https://klasma.github.io/Logging_1904/tillsyn/A 57395-2025 tillsynsbegäran.docx", "A 57395-2025")</f>
        <v/>
      </c>
      <c r="AD33">
        <f>HYPERLINK("https://klasma.github.io/Logging_1904/tillsynsmail/A 57395-2025 tillsynsbegäran mail.docx", "A 57395-2025")</f>
        <v/>
      </c>
    </row>
    <row r="34" ht="15" customHeight="1">
      <c r="A34" t="inlineStr">
        <is>
          <t>A 30579-2026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46254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2.8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Motaggsvamp</t>
        </is>
      </c>
      <c r="W34">
        <f>HYPERLINK("https://klasma.github.io/Logging_1904/artfynd/A 30579-2026 artfynd.xlsx", "A 30579-2026")</f>
        <v/>
      </c>
      <c r="X34">
        <f>HYPERLINK("https://klasma.github.io/Logging_1904/kartor/A 30579-2026 karta.png", "A 30579-2026")</f>
        <v/>
      </c>
      <c r="Y34">
        <f>HYPERLINK("https://klasma.github.io/Logging_1904/kartor_geotiff/A 30579-2026 georefererad karta.tif", "A 30579-2026")</f>
        <v/>
      </c>
      <c r="AA34">
        <f>HYPERLINK("https://klasma.github.io/Logging_1904/klagomål/A 30579-2026 FSC-klagomål.docx", "A 30579-2026")</f>
        <v/>
      </c>
      <c r="AB34">
        <f>HYPERLINK("https://klasma.github.io/Logging_1904/klagomålsmail/A 30579-2026 FSC-klagomål mail.docx", "A 30579-2026")</f>
        <v/>
      </c>
      <c r="AC34">
        <f>HYPERLINK("https://klasma.github.io/Logging_1904/tillsyn/A 30579-2026 tillsynsbegäran.docx", "A 30579-2026")</f>
        <v/>
      </c>
      <c r="AD34">
        <f>HYPERLINK("https://klasma.github.io/Logging_1904/tillsynsmail/A 30579-2026 tillsynsbegäran mail.docx", "A 30579-2026")</f>
        <v/>
      </c>
    </row>
    <row r="35" ht="15" customHeight="1">
      <c r="A35" t="inlineStr">
        <is>
          <t>A 9491-2024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46254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HYPERLINK("https://klasma.github.io/Logging_1904/artfynd/A 9491-2024 artfynd.xlsx", "A 9491-2024")</f>
        <v/>
      </c>
      <c r="X35">
        <f>HYPERLINK("https://klasma.github.io/Logging_1904/kartor/A 9491-2024 karta.png", "A 9491-2024")</f>
        <v/>
      </c>
      <c r="Y35">
        <f>HYPERLINK("https://klasma.github.io/Logging_1904/kartor_geotiff/A 9491-2024 georefererad karta.tif", "A 9491-2024")</f>
        <v/>
      </c>
      <c r="AA35">
        <f>HYPERLINK("https://klasma.github.io/Logging_1904/klagomål/A 9491-2024 FSC-klagomål.docx", "A 9491-2024")</f>
        <v/>
      </c>
      <c r="AB35">
        <f>HYPERLINK("https://klasma.github.io/Logging_1904/klagomålsmail/A 9491-2024 FSC-klagomål mail.docx", "A 9491-2024")</f>
        <v/>
      </c>
      <c r="AC35">
        <f>HYPERLINK("https://klasma.github.io/Logging_1904/tillsyn/A 9491-2024 tillsynsbegäran.docx", "A 9491-2024")</f>
        <v/>
      </c>
      <c r="AD35">
        <f>HYPERLINK("https://klasma.github.io/Logging_1904/tillsynsmail/A 9491-2024 tillsynsbegäran mail.docx", "A 9491-2024")</f>
        <v/>
      </c>
    </row>
    <row r="36" ht="15" customHeight="1">
      <c r="A36" t="inlineStr">
        <is>
          <t>A 43413-2024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46254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Orange taggsvamp</t>
        </is>
      </c>
      <c r="W36">
        <f>HYPERLINK("https://klasma.github.io/Logging_1904/artfynd/A 43413-2024 artfynd.xlsx", "A 43413-2024")</f>
        <v/>
      </c>
      <c r="X36">
        <f>HYPERLINK("https://klasma.github.io/Logging_1904/kartor/A 43413-2024 karta.png", "A 43413-2024")</f>
        <v/>
      </c>
      <c r="Y36">
        <f>HYPERLINK("https://klasma.github.io/Logging_1904/kartor_geotiff/A 43413-2024 georefererad karta.tif", "A 43413-2024")</f>
        <v/>
      </c>
      <c r="AA36">
        <f>HYPERLINK("https://klasma.github.io/Logging_1904/klagomål/A 43413-2024 FSC-klagomål.docx", "A 43413-2024")</f>
        <v/>
      </c>
      <c r="AB36">
        <f>HYPERLINK("https://klasma.github.io/Logging_1904/klagomålsmail/A 43413-2024 FSC-klagomål mail.docx", "A 43413-2024")</f>
        <v/>
      </c>
      <c r="AC36">
        <f>HYPERLINK("https://klasma.github.io/Logging_1904/tillsyn/A 43413-2024 tillsynsbegäran.docx", "A 43413-2024")</f>
        <v/>
      </c>
      <c r="AD36">
        <f>HYPERLINK("https://klasma.github.io/Logging_1904/tillsynsmail/A 43413-2024 tillsynsbegäran mail.docx", "A 43413-2024")</f>
        <v/>
      </c>
    </row>
    <row r="37" ht="15" customHeight="1">
      <c r="A37" t="inlineStr">
        <is>
          <t>A 23893-2023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46254</v>
      </c>
      <c r="F37" t="inlineStr">
        <is>
          <t>VÄSTMANLANDS LÄN</t>
        </is>
      </c>
      <c r="G37" t="inlineStr">
        <is>
          <t>SKINNSKATTEBERG</t>
        </is>
      </c>
      <c r="I37" t="n">
        <v>1.6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Knärot</t>
        </is>
      </c>
      <c r="W37">
        <f>HYPERLINK("https://klasma.github.io/Logging_1904/artfynd/A 23893-2023 artfynd.xlsx", "A 23893-2023")</f>
        <v/>
      </c>
      <c r="X37">
        <f>HYPERLINK("https://klasma.github.io/Logging_1904/kartor/A 23893-2023 karta.png", "A 23893-2023")</f>
        <v/>
      </c>
      <c r="Y37">
        <f>HYPERLINK("https://klasma.github.io/Logging_1904/kartor_geotiff/A 23893-2023 georefererad karta.tif", "A 23893-2023")</f>
        <v/>
      </c>
      <c r="Z37">
        <f>HYPERLINK("https://klasma.github.io/Logging_1904/knärot/A 23893-2023 karta knärot.png", "A 23893-2023")</f>
        <v/>
      </c>
      <c r="AA37">
        <f>HYPERLINK("https://klasma.github.io/Logging_1904/klagomål/A 23893-2023 FSC-klagomål.docx", "A 23893-2023")</f>
        <v/>
      </c>
      <c r="AB37">
        <f>HYPERLINK("https://klasma.github.io/Logging_1904/klagomålsmail/A 23893-2023 FSC-klagomål mail.docx", "A 23893-2023")</f>
        <v/>
      </c>
      <c r="AC37">
        <f>HYPERLINK("https://klasma.github.io/Logging_1904/tillsyn/A 23893-2023 tillsynsbegäran.docx", "A 23893-2023")</f>
        <v/>
      </c>
      <c r="AD37">
        <f>HYPERLINK("https://klasma.github.io/Logging_1904/tillsynsmail/A 23893-2023 tillsynsbegäran mail.docx", "A 23893-2023")</f>
        <v/>
      </c>
    </row>
    <row r="38" ht="15" customHeight="1">
      <c r="A38" t="inlineStr">
        <is>
          <t>A 33435-2024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45519</v>
      </c>
      <c r="E38" s="1" t="n">
        <v>46254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Nattskärra</t>
        </is>
      </c>
      <c r="W38">
        <f>HYPERLINK("https://klasma.github.io/Logging_1904/artfynd/A 33435-2024 artfynd.xlsx", "A 33435-2024")</f>
        <v/>
      </c>
      <c r="X38">
        <f>HYPERLINK("https://klasma.github.io/Logging_1904/kartor/A 33435-2024 karta.png", "A 33435-2024")</f>
        <v/>
      </c>
      <c r="Y38">
        <f>HYPERLINK("https://klasma.github.io/Logging_1904/kartor_geotiff/A 33435-2024 georefererad karta.tif", "A 33435-2024")</f>
        <v/>
      </c>
      <c r="AA38">
        <f>HYPERLINK("https://klasma.github.io/Logging_1904/klagomål/A 33435-2024 FSC-klagomål.docx", "A 33435-2024")</f>
        <v/>
      </c>
      <c r="AB38">
        <f>HYPERLINK("https://klasma.github.io/Logging_1904/klagomålsmail/A 33435-2024 FSC-klagomål mail.docx", "A 33435-2024")</f>
        <v/>
      </c>
      <c r="AC38">
        <f>HYPERLINK("https://klasma.github.io/Logging_1904/tillsyn/A 33435-2024 tillsynsbegäran.docx", "A 33435-2024")</f>
        <v/>
      </c>
      <c r="AD38">
        <f>HYPERLINK("https://klasma.github.io/Logging_1904/tillsynsmail/A 33435-2024 tillsynsbegäran mail.docx", "A 33435-2024")</f>
        <v/>
      </c>
      <c r="AE38">
        <f>HYPERLINK("https://klasma.github.io/Logging_1904/fåglar/A 33435-2024 prioriterade fågelarter.docx", "A 33435-2024")</f>
        <v/>
      </c>
    </row>
    <row r="39" ht="15" customHeight="1">
      <c r="A39" t="inlineStr">
        <is>
          <t>A 12024-2023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44995</v>
      </c>
      <c r="E39" s="1" t="n">
        <v>46254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HYPERLINK("https://klasma.github.io/Logging_1904/artfynd/A 12024-2023 artfynd.xlsx", "A 12024-2023")</f>
        <v/>
      </c>
      <c r="X39">
        <f>HYPERLINK("https://klasma.github.io/Logging_1904/kartor/A 12024-2023 karta.png", "A 12024-2023")</f>
        <v/>
      </c>
      <c r="Y39">
        <f>HYPERLINK("https://klasma.github.io/Logging_1904/kartor_geotiff/A 12024-2023 georefererad karta.tif", "A 12024-2023")</f>
        <v/>
      </c>
      <c r="AA39">
        <f>HYPERLINK("https://klasma.github.io/Logging_1904/klagomål/A 12024-2023 FSC-klagomål.docx", "A 12024-2023")</f>
        <v/>
      </c>
      <c r="AB39">
        <f>HYPERLINK("https://klasma.github.io/Logging_1904/klagomålsmail/A 12024-2023 FSC-klagomål mail.docx", "A 12024-2023")</f>
        <v/>
      </c>
      <c r="AC39">
        <f>HYPERLINK("https://klasma.github.io/Logging_1904/tillsyn/A 12024-2023 tillsynsbegäran.docx", "A 12024-2023")</f>
        <v/>
      </c>
      <c r="AD39">
        <f>HYPERLINK("https://klasma.github.io/Logging_1904/tillsynsmail/A 12024-2023 tillsynsbegäran mail.docx", "A 12024-2023")</f>
        <v/>
      </c>
    </row>
    <row r="40" ht="15" customHeight="1">
      <c r="A40" t="inlineStr">
        <is>
          <t>A 9490-2024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46254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9490-2024 artfynd.xlsx", "A 9490-2024")</f>
        <v/>
      </c>
      <c r="X40">
        <f>HYPERLINK("https://klasma.github.io/Logging_1904/kartor/A 9490-2024 karta.png", "A 9490-2024")</f>
        <v/>
      </c>
      <c r="Y40">
        <f>HYPERLINK("https://klasma.github.io/Logging_1904/kartor_geotiff/A 9490-2024 georefererad karta.tif", "A 9490-2024")</f>
        <v/>
      </c>
      <c r="AA40">
        <f>HYPERLINK("https://klasma.github.io/Logging_1904/klagomål/A 9490-2024 FSC-klagomål.docx", "A 9490-2024")</f>
        <v/>
      </c>
      <c r="AB40">
        <f>HYPERLINK("https://klasma.github.io/Logging_1904/klagomålsmail/A 9490-2024 FSC-klagomål mail.docx", "A 9490-2024")</f>
        <v/>
      </c>
      <c r="AC40">
        <f>HYPERLINK("https://klasma.github.io/Logging_1904/tillsyn/A 9490-2024 tillsynsbegäran.docx", "A 9490-2024")</f>
        <v/>
      </c>
      <c r="AD40">
        <f>HYPERLINK("https://klasma.github.io/Logging_1904/tillsynsmail/A 9490-2024 tillsynsbegäran mail.docx", "A 9490-2024")</f>
        <v/>
      </c>
      <c r="AE40">
        <f>HYPERLINK("https://klasma.github.io/Logging_1904/fåglar/A 9490-2024 prioriterade fågelarter.docx", "A 9490-2024")</f>
        <v/>
      </c>
    </row>
    <row r="41" ht="15" customHeight="1">
      <c r="A41" t="inlineStr">
        <is>
          <t>A 4000-2024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46254</v>
      </c>
      <c r="F41" t="inlineStr">
        <is>
          <t>VÄSTMANLANDS LÄN</t>
        </is>
      </c>
      <c r="G41" t="inlineStr">
        <is>
          <t>SKINNSKATTEBERG</t>
        </is>
      </c>
      <c r="I41" t="n">
        <v>14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Klasefibbla</t>
        </is>
      </c>
      <c r="W41">
        <f>HYPERLINK("https://klasma.github.io/Logging_1904/artfynd/A 4000-2024 artfynd.xlsx", "A 4000-2024")</f>
        <v/>
      </c>
      <c r="X41">
        <f>HYPERLINK("https://klasma.github.io/Logging_1904/kartor/A 4000-2024 karta.png", "A 4000-2024")</f>
        <v/>
      </c>
      <c r="Y41">
        <f>HYPERLINK("https://klasma.github.io/Logging_1904/kartor_geotiff/A 4000-2024 georefererad karta.tif", "A 4000-2024")</f>
        <v/>
      </c>
      <c r="AA41">
        <f>HYPERLINK("https://klasma.github.io/Logging_1904/klagomål/A 4000-2024 FSC-klagomål.docx", "A 4000-2024")</f>
        <v/>
      </c>
      <c r="AB41">
        <f>HYPERLINK("https://klasma.github.io/Logging_1904/klagomålsmail/A 4000-2024 FSC-klagomål mail.docx", "A 4000-2024")</f>
        <v/>
      </c>
      <c r="AC41">
        <f>HYPERLINK("https://klasma.github.io/Logging_1904/tillsyn/A 4000-2024 tillsynsbegäran.docx", "A 4000-2024")</f>
        <v/>
      </c>
      <c r="AD41">
        <f>HYPERLINK("https://klasma.github.io/Logging_1904/tillsynsmail/A 4000-2024 tillsynsbegäran mail.docx", "A 4000-2024")</f>
        <v/>
      </c>
    </row>
    <row r="42" ht="15" customHeight="1">
      <c r="A42" t="inlineStr">
        <is>
          <t>A 15734-2026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46107</v>
      </c>
      <c r="E42" s="1" t="n">
        <v>46254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Koppartaggsvamp</t>
        </is>
      </c>
      <c r="W42">
        <f>HYPERLINK("https://klasma.github.io/Logging_1904/artfynd/A 15734-2026 artfynd.xlsx", "A 15734-2026")</f>
        <v/>
      </c>
      <c r="X42">
        <f>HYPERLINK("https://klasma.github.io/Logging_1904/kartor/A 15734-2026 karta.png", "A 15734-2026")</f>
        <v/>
      </c>
      <c r="Y42">
        <f>HYPERLINK("https://klasma.github.io/Logging_1904/kartor_geotiff/A 15734-2026 georefererad karta.tif", "A 15734-2026")</f>
        <v/>
      </c>
      <c r="AA42">
        <f>HYPERLINK("https://klasma.github.io/Logging_1904/klagomål/A 15734-2026 FSC-klagomål.docx", "A 15734-2026")</f>
        <v/>
      </c>
      <c r="AB42">
        <f>HYPERLINK("https://klasma.github.io/Logging_1904/klagomålsmail/A 15734-2026 FSC-klagomål mail.docx", "A 15734-2026")</f>
        <v/>
      </c>
      <c r="AC42">
        <f>HYPERLINK("https://klasma.github.io/Logging_1904/tillsyn/A 15734-2026 tillsynsbegäran.docx", "A 15734-2026")</f>
        <v/>
      </c>
      <c r="AD42">
        <f>HYPERLINK("https://klasma.github.io/Logging_1904/tillsynsmail/A 15734-2026 tillsynsbegäran mail.docx", "A 15734-2026")</f>
        <v/>
      </c>
    </row>
    <row r="43" ht="15" customHeight="1">
      <c r="A43" t="inlineStr">
        <is>
          <t>A 28312-2023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45099</v>
      </c>
      <c r="E43" s="1" t="n">
        <v>46254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HYPERLINK("https://klasma.github.io/Logging_1904/artfynd/A 28312-2023 artfynd.xlsx", "A 28312-2023")</f>
        <v/>
      </c>
      <c r="X43">
        <f>HYPERLINK("https://klasma.github.io/Logging_1904/kartor/A 28312-2023 karta.png", "A 28312-2023")</f>
        <v/>
      </c>
      <c r="Y43">
        <f>HYPERLINK("https://klasma.github.io/Logging_1904/kartor_geotiff/A 28312-2023 georefererad karta.tif", "A 28312-2023")</f>
        <v/>
      </c>
      <c r="AA43">
        <f>HYPERLINK("https://klasma.github.io/Logging_1904/klagomål/A 28312-2023 FSC-klagomål.docx", "A 28312-2023")</f>
        <v/>
      </c>
      <c r="AB43">
        <f>HYPERLINK("https://klasma.github.io/Logging_1904/klagomålsmail/A 28312-2023 FSC-klagomål mail.docx", "A 28312-2023")</f>
        <v/>
      </c>
      <c r="AC43">
        <f>HYPERLINK("https://klasma.github.io/Logging_1904/tillsyn/A 28312-2023 tillsynsbegäran.docx", "A 28312-2023")</f>
        <v/>
      </c>
      <c r="AD43">
        <f>HYPERLINK("https://klasma.github.io/Logging_1904/tillsynsmail/A 28312-2023 tillsynsbegäran mail.docx", "A 28312-2023")</f>
        <v/>
      </c>
    </row>
    <row r="44" ht="15" customHeight="1">
      <c r="A44" t="inlineStr">
        <is>
          <t>A 31006-2025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45832</v>
      </c>
      <c r="E44" s="1" t="n">
        <v>46254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HYPERLINK("https://klasma.github.io/Logging_1904/artfynd/A 31006-2025 artfynd.xlsx", "A 31006-2025")</f>
        <v/>
      </c>
      <c r="X44">
        <f>HYPERLINK("https://klasma.github.io/Logging_1904/kartor/A 31006-2025 karta.png", "A 31006-2025")</f>
        <v/>
      </c>
      <c r="Y44">
        <f>HYPERLINK("https://klasma.github.io/Logging_1904/kartor_geotiff/A 31006-2025 georefererad karta.tif", "A 31006-2025")</f>
        <v/>
      </c>
      <c r="AA44">
        <f>HYPERLINK("https://klasma.github.io/Logging_1904/klagomål/A 31006-2025 FSC-klagomål.docx", "A 31006-2025")</f>
        <v/>
      </c>
      <c r="AB44">
        <f>HYPERLINK("https://klasma.github.io/Logging_1904/klagomålsmail/A 31006-2025 FSC-klagomål mail.docx", "A 31006-2025")</f>
        <v/>
      </c>
      <c r="AC44">
        <f>HYPERLINK("https://klasma.github.io/Logging_1904/tillsyn/A 31006-2025 tillsynsbegäran.docx", "A 31006-2025")</f>
        <v/>
      </c>
      <c r="AD44">
        <f>HYPERLINK("https://klasma.github.io/Logging_1904/tillsynsmail/A 31006-2025 tillsynsbegäran mail.docx", "A 31006-2025")</f>
        <v/>
      </c>
      <c r="AE44">
        <f>HYPERLINK("https://klasma.github.io/Logging_1904/fåglar/A 31006-2025 prioriterade fågelarter.docx", "A 31006-2025")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46254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46254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46254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46254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46254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46254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46254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46254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46254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46254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46254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46254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71996-2021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46254</v>
      </c>
      <c r="F57" t="inlineStr">
        <is>
          <t>VÄSTMANLANDS LÄN</t>
        </is>
      </c>
      <c r="G57" t="inlineStr">
        <is>
          <t>SKINNSKATTEBERG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46254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46254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46254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46254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46254</v>
      </c>
      <c r="F62" t="inlineStr">
        <is>
          <t>VÄSTMANLANDS LÄN</t>
        </is>
      </c>
      <c r="G62" t="inlineStr">
        <is>
          <t>SKINNSKATTEBERG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46254</v>
      </c>
      <c r="F63" t="inlineStr">
        <is>
          <t>VÄSTMANLANDS LÄN</t>
        </is>
      </c>
      <c r="G63" t="inlineStr">
        <is>
          <t>SKINNSKATTEBERG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46254</v>
      </c>
      <c r="F64" t="inlineStr">
        <is>
          <t>VÄSTMANLANDS LÄN</t>
        </is>
      </c>
      <c r="G64" t="inlineStr">
        <is>
          <t>SKINNSKATTEBERG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46254</v>
      </c>
      <c r="F65" t="inlineStr">
        <is>
          <t>VÄSTMANLANDS LÄN</t>
        </is>
      </c>
      <c r="G65" t="inlineStr">
        <is>
          <t>SKINNSKATTEBERG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46254</v>
      </c>
      <c r="F66" t="inlineStr">
        <is>
          <t>VÄSTMANLANDS LÄN</t>
        </is>
      </c>
      <c r="G66" t="inlineStr">
        <is>
          <t>SKINNSKATTEBERG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46254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46254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46254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46254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27653-2023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45097</v>
      </c>
      <c r="E71" s="1" t="n">
        <v>46254</v>
      </c>
      <c r="F71" t="inlineStr">
        <is>
          <t>VÄSTMANLANDS LÄN</t>
        </is>
      </c>
      <c r="G71" t="inlineStr">
        <is>
          <t>SKINNSKATTEBERG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46254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46254</v>
      </c>
      <c r="F73" t="inlineStr">
        <is>
          <t>VÄSTMANLANDS LÄN</t>
        </is>
      </c>
      <c r="G73" t="inlineStr">
        <is>
          <t>SKINNSKATTEBERG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46254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46254</v>
      </c>
      <c r="F75" t="inlineStr">
        <is>
          <t>VÄSTMANLANDS LÄN</t>
        </is>
      </c>
      <c r="G75" t="inlineStr">
        <is>
          <t>SKINNSKATTEBERG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45604</v>
      </c>
      <c r="E76" s="1" t="n">
        <v>46254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18516-2024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45425</v>
      </c>
      <c r="E77" s="1" t="n">
        <v>46254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45609</v>
      </c>
      <c r="E78" s="1" t="n">
        <v>46254</v>
      </c>
      <c r="F78" t="inlineStr">
        <is>
          <t>VÄSTMANLANDS LÄN</t>
        </is>
      </c>
      <c r="G78" t="inlineStr">
        <is>
          <t>SKINNSKATTEBERG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46254</v>
      </c>
      <c r="F79" t="inlineStr">
        <is>
          <t>VÄSTMANLANDS LÄN</t>
        </is>
      </c>
      <c r="G79" t="inlineStr">
        <is>
          <t>SKINNSKATTEBERG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46254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Kyrkan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16088-2024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45406</v>
      </c>
      <c r="E81" s="1" t="n">
        <v>46254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44768</v>
      </c>
      <c r="E82" s="1" t="n">
        <v>46254</v>
      </c>
      <c r="F82" t="inlineStr">
        <is>
          <t>VÄSTMANLANDS LÄN</t>
        </is>
      </c>
      <c r="G82" t="inlineStr">
        <is>
          <t>SKINNSKATTEBERG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45058</v>
      </c>
      <c r="E83" s="1" t="n">
        <v>46254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31629-2024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45506</v>
      </c>
      <c r="E84" s="1" t="n">
        <v>46254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46254</v>
      </c>
      <c r="F85" t="inlineStr">
        <is>
          <t>VÄSTMANLANDS LÄN</t>
        </is>
      </c>
      <c r="G85" t="inlineStr">
        <is>
          <t>SKINNSKATTEBERG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45420</v>
      </c>
      <c r="E86" s="1" t="n">
        <v>46254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53145-2021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44468</v>
      </c>
      <c r="E87" s="1" t="n">
        <v>46254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45637</v>
      </c>
      <c r="E88" s="1" t="n">
        <v>46254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45375</v>
      </c>
      <c r="E89" s="1" t="n">
        <v>46254</v>
      </c>
      <c r="F89" t="inlineStr">
        <is>
          <t>VÄSTMANLANDS LÄN</t>
        </is>
      </c>
      <c r="G89" t="inlineStr">
        <is>
          <t>SKINNSKATTEBERG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45250</v>
      </c>
      <c r="E90" s="1" t="n">
        <v>46254</v>
      </c>
      <c r="F90" t="inlineStr">
        <is>
          <t>VÄSTMANLANDS LÄN</t>
        </is>
      </c>
      <c r="G90" t="inlineStr">
        <is>
          <t>SKINNSKATTEBERG</t>
        </is>
      </c>
      <c r="I90" t="n">
        <v>10.1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46254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44468</v>
      </c>
      <c r="E92" s="1" t="n">
        <v>46254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46254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46254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45434</v>
      </c>
      <c r="E95" s="1" t="n">
        <v>46254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52696-2024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46254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45162</v>
      </c>
      <c r="E97" s="1" t="n">
        <v>46254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44935</v>
      </c>
      <c r="E98" s="1" t="n">
        <v>46254</v>
      </c>
      <c r="F98" t="inlineStr">
        <is>
          <t>VÄSTMANLANDS LÄN</t>
        </is>
      </c>
      <c r="G98" t="inlineStr">
        <is>
          <t>SKINNSKATTEBERG</t>
        </is>
      </c>
      <c r="I98" t="n">
        <v>10.5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16393-2024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45407</v>
      </c>
      <c r="E99" s="1" t="n">
        <v>46254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45686</v>
      </c>
      <c r="E100" s="1" t="n">
        <v>46254</v>
      </c>
      <c r="F100" t="inlineStr">
        <is>
          <t>VÄSTMANLANDS LÄN</t>
        </is>
      </c>
      <c r="G100" t="inlineStr">
        <is>
          <t>SKINNSKATTEBERG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45571</v>
      </c>
      <c r="E101" s="1" t="n">
        <v>46254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46254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46254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46254</v>
      </c>
      <c r="F104" t="inlineStr">
        <is>
          <t>VÄSTMANLANDS LÄN</t>
        </is>
      </c>
      <c r="G104" t="inlineStr">
        <is>
          <t>SKINNSKATTEBERG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46254</v>
      </c>
      <c r="F105" t="inlineStr">
        <is>
          <t>VÄSTMANLANDS LÄN</t>
        </is>
      </c>
      <c r="G105" t="inlineStr">
        <is>
          <t>SKINNSKATTEBERG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45245</v>
      </c>
      <c r="E106" s="1" t="n">
        <v>46254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46254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44603</v>
      </c>
      <c r="E108" s="1" t="n">
        <v>46254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45198</v>
      </c>
      <c r="E109" s="1" t="n">
        <v>46254</v>
      </c>
      <c r="F109" t="inlineStr">
        <is>
          <t>VÄSTMANLANDS LÄN</t>
        </is>
      </c>
      <c r="G109" t="inlineStr">
        <is>
          <t>SKINNSKATTEBERG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46254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57747-2023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45246</v>
      </c>
      <c r="E111" s="1" t="n">
        <v>46254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44993</v>
      </c>
      <c r="E112" s="1" t="n">
        <v>46254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46254</v>
      </c>
      <c r="F113" t="inlineStr">
        <is>
          <t>VÄSTMANLANDS LÄN</t>
        </is>
      </c>
      <c r="G113" t="inlineStr">
        <is>
          <t>SKINNSKATTEBERG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46254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46254</v>
      </c>
      <c r="F115" t="inlineStr">
        <is>
          <t>VÄSTMANLANDS LÄN</t>
        </is>
      </c>
      <c r="G115" t="inlineStr">
        <is>
          <t>SKINNSKATTEBERG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46254</v>
      </c>
      <c r="F116" t="inlineStr">
        <is>
          <t>VÄSTMANLANDS LÄN</t>
        </is>
      </c>
      <c r="G116" t="inlineStr">
        <is>
          <t>SKINNSKATTEBERG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46254</v>
      </c>
      <c r="F117" t="inlineStr">
        <is>
          <t>VÄSTMANLANDS LÄN</t>
        </is>
      </c>
      <c r="G117" t="inlineStr">
        <is>
          <t>SKINNSKATTEBERG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45114</v>
      </c>
      <c r="E118" s="1" t="n">
        <v>46254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46254</v>
      </c>
      <c r="F119" t="inlineStr">
        <is>
          <t>VÄSTMANLANDS LÄN</t>
        </is>
      </c>
      <c r="G119" t="inlineStr">
        <is>
          <t>SKINNSKATTEBERG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46254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45571</v>
      </c>
      <c r="E121" s="1" t="n">
        <v>46254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45571</v>
      </c>
      <c r="E122" s="1" t="n">
        <v>46254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55210-2023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46254</v>
      </c>
      <c r="F123" t="inlineStr">
        <is>
          <t>VÄSTMANLANDS LÄN</t>
        </is>
      </c>
      <c r="G123" t="inlineStr">
        <is>
          <t>SKINNSKATTEBERG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20248-2024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45434</v>
      </c>
      <c r="E124" s="1" t="n">
        <v>46254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46254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47137-2024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46254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45410</v>
      </c>
      <c r="E127" s="1" t="n">
        <v>46254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46254</v>
      </c>
      <c r="F128" t="inlineStr">
        <is>
          <t>VÄSTMANLANDS LÄN</t>
        </is>
      </c>
      <c r="G128" t="inlineStr">
        <is>
          <t>SKINNSKATTEBERG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20556-2026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46254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20563-2026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46140</v>
      </c>
      <c r="E130" s="1" t="n">
        <v>46254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45897</v>
      </c>
      <c r="E131" s="1" t="n">
        <v>46254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40776-2025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46254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45897</v>
      </c>
      <c r="E133" s="1" t="n">
        <v>46254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46254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40783-2025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45897</v>
      </c>
      <c r="E135" s="1" t="n">
        <v>46254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40782-2025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45897</v>
      </c>
      <c r="E136" s="1" t="n">
        <v>46254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45134</v>
      </c>
      <c r="E137" s="1" t="n">
        <v>46254</v>
      </c>
      <c r="F137" t="inlineStr">
        <is>
          <t>VÄSTMANLANDS LÄN</t>
        </is>
      </c>
      <c r="G137" t="inlineStr">
        <is>
          <t>SKINNSKATTEBERG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27329-2023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46254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46254</v>
      </c>
      <c r="F139" t="inlineStr">
        <is>
          <t>VÄSTMANLANDS LÄN</t>
        </is>
      </c>
      <c r="G139" t="inlineStr">
        <is>
          <t>SKINNSKATTEBERG</t>
        </is>
      </c>
      <c r="I139" t="n">
        <v>10.4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46254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11826-2024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45376</v>
      </c>
      <c r="E141" s="1" t="n">
        <v>46254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46142</v>
      </c>
      <c r="E142" s="1" t="n">
        <v>46254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46142</v>
      </c>
      <c r="E143" s="1" t="n">
        <v>46254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46142</v>
      </c>
      <c r="E144" s="1" t="n">
        <v>46254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46254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46142</v>
      </c>
      <c r="E146" s="1" t="n">
        <v>46254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46254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46254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46254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Kyrkan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45068</v>
      </c>
      <c r="E150" s="1" t="n">
        <v>46254</v>
      </c>
      <c r="F150" t="inlineStr">
        <is>
          <t>VÄSTMANLANDS LÄN</t>
        </is>
      </c>
      <c r="G150" t="inlineStr">
        <is>
          <t>SKINNSKATTEBERG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25843-2023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45090</v>
      </c>
      <c r="E151" s="1" t="n">
        <v>46254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46254</v>
      </c>
      <c r="F152" t="inlineStr">
        <is>
          <t>VÄSTMANLANDS LÄN</t>
        </is>
      </c>
      <c r="G152" t="inlineStr">
        <is>
          <t>SKINNSKATTEBERG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46254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46254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46254</v>
      </c>
      <c r="F155" t="inlineStr">
        <is>
          <t>VÄSTMANLANDS LÄN</t>
        </is>
      </c>
      <c r="G155" t="inlineStr">
        <is>
          <t>SKINNSKATTEBERG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46254</v>
      </c>
      <c r="F156" t="inlineStr">
        <is>
          <t>VÄSTMANLANDS LÄN</t>
        </is>
      </c>
      <c r="G156" t="inlineStr">
        <is>
          <t>SKINNSKATTEBERG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46254</v>
      </c>
      <c r="F157" t="inlineStr">
        <is>
          <t>VÄSTMANLANDS LÄN</t>
        </is>
      </c>
      <c r="G157" t="inlineStr">
        <is>
          <t>SKINNSKATTEBERG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45910</v>
      </c>
      <c r="E158" s="1" t="n">
        <v>46254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22779-2026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46157</v>
      </c>
      <c r="E159" s="1" t="n">
        <v>46254</v>
      </c>
      <c r="F159" t="inlineStr">
        <is>
          <t>VÄSTMANLANDS LÄN</t>
        </is>
      </c>
      <c r="G159" t="inlineStr">
        <is>
          <t>SKINNSKATTEBERG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45910</v>
      </c>
      <c r="E160" s="1" t="n">
        <v>46254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45910</v>
      </c>
      <c r="E161" s="1" t="n">
        <v>46254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44936</v>
      </c>
      <c r="E162" s="1" t="n">
        <v>46254</v>
      </c>
      <c r="F162" t="inlineStr">
        <is>
          <t>VÄSTMANLANDS LÄN</t>
        </is>
      </c>
      <c r="G162" t="inlineStr">
        <is>
          <t>SKINNSKATTEBERG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45915</v>
      </c>
      <c r="E163" s="1" t="n">
        <v>46254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44184-2025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45915</v>
      </c>
      <c r="E164" s="1" t="n">
        <v>46254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46254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46254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41581-2025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45901</v>
      </c>
      <c r="E167" s="1" t="n">
        <v>46254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46254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46254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46254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45537</v>
      </c>
      <c r="E171" s="1" t="n">
        <v>46254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45919</v>
      </c>
      <c r="E172" s="1" t="n">
        <v>46254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46254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46254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45919</v>
      </c>
      <c r="E175" s="1" t="n">
        <v>46254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46254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46254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46170</v>
      </c>
      <c r="E178" s="1" t="n">
        <v>46254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24495-2026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46170</v>
      </c>
      <c r="E179" s="1" t="n">
        <v>46254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46254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46254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46254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55428-2021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44475</v>
      </c>
      <c r="E183" s="1" t="n">
        <v>46254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46254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52600-2021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46254</v>
      </c>
      <c r="F185" t="inlineStr">
        <is>
          <t>VÄSTMANLANDS LÄN</t>
        </is>
      </c>
      <c r="G185" t="inlineStr">
        <is>
          <t>SKINNSKATTEBERG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53183-2021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44468</v>
      </c>
      <c r="E186" s="1" t="n">
        <v>46254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46254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46254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46254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51508-2021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46254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46254</v>
      </c>
      <c r="F191" t="inlineStr">
        <is>
          <t>VÄSTMANLANDS LÄN</t>
        </is>
      </c>
      <c r="G191" t="inlineStr">
        <is>
          <t>SKINNSKATTEBERG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53142-2021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44468</v>
      </c>
      <c r="E192" s="1" t="n">
        <v>46254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46254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46254</v>
      </c>
      <c r="F194" t="inlineStr">
        <is>
          <t>VÄSTMANLANDS LÄN</t>
        </is>
      </c>
      <c r="G194" t="inlineStr">
        <is>
          <t>SKINNSKATTEBERG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46254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46254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46254</v>
      </c>
      <c r="F197" t="inlineStr">
        <is>
          <t>VÄSTMANLANDS LÄN</t>
        </is>
      </c>
      <c r="G197" t="inlineStr">
        <is>
          <t>SKINNSKATTEBERG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46254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26356-2026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46182</v>
      </c>
      <c r="E199" s="1" t="n">
        <v>46254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45604</v>
      </c>
      <c r="E200" s="1" t="n">
        <v>46254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46182</v>
      </c>
      <c r="E201" s="1" t="n">
        <v>46254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46254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46254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46254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49847-2021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44455</v>
      </c>
      <c r="E205" s="1" t="n">
        <v>46254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36288-2022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46254</v>
      </c>
      <c r="F206" t="inlineStr">
        <is>
          <t>VÄSTMANLANDS LÄN</t>
        </is>
      </c>
      <c r="G206" t="inlineStr">
        <is>
          <t>SKINNSKATTEBERG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26865-2026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46185</v>
      </c>
      <c r="E207" s="1" t="n">
        <v>46254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46254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46254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46190</v>
      </c>
      <c r="E210" s="1" t="n">
        <v>46254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51026-2025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45947</v>
      </c>
      <c r="E211" s="1" t="n">
        <v>46254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51028-2025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45947</v>
      </c>
      <c r="E212" s="1" t="n">
        <v>46254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46190</v>
      </c>
      <c r="E213" s="1" t="n">
        <v>46254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46254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51025-2025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46254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46254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46237</v>
      </c>
      <c r="E217" s="1" t="n">
        <v>46254</v>
      </c>
      <c r="F217" t="inlineStr">
        <is>
          <t>VÄSTMANLANDS LÄN</t>
        </is>
      </c>
      <c r="G217" t="inlineStr">
        <is>
          <t>SKINNSKATTEBERG</t>
        </is>
      </c>
      <c r="I217" t="n">
        <v>12.2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46237</v>
      </c>
      <c r="E218" s="1" t="n">
        <v>46254</v>
      </c>
      <c r="F218" t="inlineStr">
        <is>
          <t>VÄSTMANLANDS LÄN</t>
        </is>
      </c>
      <c r="G218" t="inlineStr">
        <is>
          <t>SKINNSKATTEBERG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46254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46254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45952</v>
      </c>
      <c r="E221" s="1" t="n">
        <v>46254</v>
      </c>
      <c r="F221" t="inlineStr">
        <is>
          <t>VÄSTMANLANDS LÄN</t>
        </is>
      </c>
      <c r="G221" t="inlineStr">
        <is>
          <t>SKINNSKATTEBERG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46254</v>
      </c>
      <c r="F222" t="inlineStr">
        <is>
          <t>VÄSTMANLANDS LÄN</t>
        </is>
      </c>
      <c r="G222" t="inlineStr">
        <is>
          <t>SKINNSKATTEBERG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52728-2025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45957</v>
      </c>
      <c r="E223" s="1" t="n">
        <v>46254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46254</v>
      </c>
      <c r="F224" t="inlineStr">
        <is>
          <t>VÄSTMANLANDS LÄN</t>
        </is>
      </c>
      <c r="G224" t="inlineStr">
        <is>
          <t>SKINNSKATTEBERG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45958</v>
      </c>
      <c r="E225" s="1" t="n">
        <v>46254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45054</v>
      </c>
      <c r="E226" s="1" t="n">
        <v>46254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46254</v>
      </c>
      <c r="F227" t="inlineStr">
        <is>
          <t>VÄSTMANLANDS LÄN</t>
        </is>
      </c>
      <c r="G227" t="inlineStr">
        <is>
          <t>SKINNSKATTEBERG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46197</v>
      </c>
      <c r="E228" s="1" t="n">
        <v>46254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46254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45393</v>
      </c>
      <c r="E230" s="1" t="n">
        <v>46254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45686</v>
      </c>
      <c r="E231" s="1" t="n">
        <v>46254</v>
      </c>
      <c r="F231" t="inlineStr">
        <is>
          <t>VÄSTMANLANDS LÄN</t>
        </is>
      </c>
      <c r="G231" t="inlineStr">
        <is>
          <t>SKINNSKATTEBERG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46254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46254</v>
      </c>
      <c r="F233" t="inlineStr">
        <is>
          <t>VÄSTMANLANDS LÄN</t>
        </is>
      </c>
      <c r="G233" t="inlineStr">
        <is>
          <t>SKINNSKATTEBERG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32859-2026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46244</v>
      </c>
      <c r="E234" s="1" t="n">
        <v>46254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8.300000000000001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55007-2025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46254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45056</v>
      </c>
      <c r="E236" s="1" t="n">
        <v>46254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29022-2026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46199</v>
      </c>
      <c r="E237" s="1" t="n">
        <v>46254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55002-2025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46254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46254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46244</v>
      </c>
      <c r="E240" s="1" t="n">
        <v>46254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46200</v>
      </c>
      <c r="E241" s="1" t="n">
        <v>46254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13713-2024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45390</v>
      </c>
      <c r="E242" s="1" t="n">
        <v>46254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46244</v>
      </c>
      <c r="E243" s="1" t="n">
        <v>46254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46244</v>
      </c>
      <c r="E244" s="1" t="n">
        <v>46254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29090-2026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46200</v>
      </c>
      <c r="E245" s="1" t="n">
        <v>46254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46254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45447</v>
      </c>
      <c r="E247" s="1" t="n">
        <v>46254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45973</v>
      </c>
      <c r="E248" s="1" t="n">
        <v>46254</v>
      </c>
      <c r="F248" t="inlineStr">
        <is>
          <t>VÄSTMANLANDS LÄN</t>
        </is>
      </c>
      <c r="G248" t="inlineStr">
        <is>
          <t>SKINNSKATTEBERG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46254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46254</v>
      </c>
      <c r="F250" t="inlineStr">
        <is>
          <t>VÄSTMANLANDS LÄN</t>
        </is>
      </c>
      <c r="G250" t="inlineStr">
        <is>
          <t>SKINNSKATTEBERG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46254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46254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29026-2026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46199</v>
      </c>
      <c r="E253" s="1" t="n">
        <v>46254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56465-2025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45975</v>
      </c>
      <c r="E254" s="1" t="n">
        <v>46254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46254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45387</v>
      </c>
      <c r="E256" s="1" t="n">
        <v>46254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46247</v>
      </c>
      <c r="E257" s="1" t="n">
        <v>46254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45063</v>
      </c>
      <c r="E258" s="1" t="n">
        <v>46254</v>
      </c>
      <c r="F258" t="inlineStr">
        <is>
          <t>VÄSTMANLANDS LÄN</t>
        </is>
      </c>
      <c r="G258" t="inlineStr">
        <is>
          <t>SKINNSKATTEBERG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45401</v>
      </c>
      <c r="E259" s="1" t="n">
        <v>46254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45156</v>
      </c>
      <c r="E260" s="1" t="n">
        <v>46254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46254</v>
      </c>
      <c r="F261" t="inlineStr">
        <is>
          <t>VÄSTMANLANDS LÄN</t>
        </is>
      </c>
      <c r="G261" t="inlineStr">
        <is>
          <t>SKINNSKATTEBERG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46248</v>
      </c>
      <c r="E262" s="1" t="n">
        <v>46254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30471-2026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46254</v>
      </c>
      <c r="F263" t="inlineStr">
        <is>
          <t>VÄSTMANLANDS LÄN</t>
        </is>
      </c>
      <c r="G263" t="inlineStr">
        <is>
          <t>SKINNSKATTEBERG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46254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40545-2023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45170</v>
      </c>
      <c r="E265" s="1" t="n">
        <v>46254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46254</v>
      </c>
      <c r="F266" t="inlineStr">
        <is>
          <t>VÄSTMANLANDS LÄN</t>
        </is>
      </c>
      <c r="G266" t="inlineStr">
        <is>
          <t>SKINNSKATTEBERG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45987</v>
      </c>
      <c r="E267" s="1" t="n">
        <v>46254</v>
      </c>
      <c r="F267" t="inlineStr">
        <is>
          <t>VÄSTMANLANDS LÄN</t>
        </is>
      </c>
      <c r="G267" t="inlineStr">
        <is>
          <t>SKINNSKATTEBERG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30467-2026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46209</v>
      </c>
      <c r="E268" s="1" t="n">
        <v>46254</v>
      </c>
      <c r="F268" t="inlineStr">
        <is>
          <t>VÄSTMANLANDS LÄN</t>
        </is>
      </c>
      <c r="G268" t="inlineStr">
        <is>
          <t>SKINNSKATTEBERG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46253</v>
      </c>
      <c r="E269" s="1" t="n">
        <v>46254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40998-2024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45558</v>
      </c>
      <c r="E270" s="1" t="n">
        <v>46254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45720</v>
      </c>
      <c r="E271" s="1" t="n">
        <v>46254</v>
      </c>
      <c r="F271" t="inlineStr">
        <is>
          <t>VÄSTMANLANDS LÄN</t>
        </is>
      </c>
      <c r="G271" t="inlineStr">
        <is>
          <t>SKINNSKATTEBERG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46254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46254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46254</v>
      </c>
      <c r="F274" t="inlineStr">
        <is>
          <t>VÄSTMANLANDS LÄN</t>
        </is>
      </c>
      <c r="G274" t="inlineStr">
        <is>
          <t>SKINNSKATTEBERG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46254</v>
      </c>
      <c r="F275" t="inlineStr">
        <is>
          <t>VÄSTMANLANDS LÄN</t>
        </is>
      </c>
      <c r="G275" t="inlineStr">
        <is>
          <t>SKINNSKATTEBERG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45082</v>
      </c>
      <c r="E276" s="1" t="n">
        <v>46254</v>
      </c>
      <c r="F276" t="inlineStr">
        <is>
          <t>VÄSTMANLANDS LÄN</t>
        </is>
      </c>
      <c r="G276" t="inlineStr">
        <is>
          <t>SKINNSKATTEBERG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46254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61181-2021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44498</v>
      </c>
      <c r="E278" s="1" t="n">
        <v>46254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45128</v>
      </c>
      <c r="E279" s="1" t="n">
        <v>46254</v>
      </c>
      <c r="F279" t="inlineStr">
        <is>
          <t>VÄSTMANLANDS LÄN</t>
        </is>
      </c>
      <c r="G279" t="inlineStr">
        <is>
          <t>SKINNSKATTEBERG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46254</v>
      </c>
      <c r="F280" t="inlineStr">
        <is>
          <t>VÄSTMANLANDS LÄN</t>
        </is>
      </c>
      <c r="G280" t="inlineStr">
        <is>
          <t>SKINNSKATTEBERG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62934-2025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46009</v>
      </c>
      <c r="E281" s="1" t="n">
        <v>46254</v>
      </c>
      <c r="F281" t="inlineStr">
        <is>
          <t>VÄSTMANLANDS LÄN</t>
        </is>
      </c>
      <c r="G281" t="inlineStr">
        <is>
          <t>SKINNSKATTEBERG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46254</v>
      </c>
      <c r="F282" t="inlineStr">
        <is>
          <t>VÄSTMANLANDS LÄN</t>
        </is>
      </c>
      <c r="G282" t="inlineStr">
        <is>
          <t>SKINNSKATTEBERG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46254</v>
      </c>
      <c r="F283" t="inlineStr">
        <is>
          <t>VÄSTMANLANDS LÄN</t>
        </is>
      </c>
      <c r="G283" t="inlineStr">
        <is>
          <t>SKINNSKATTEBERG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46254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46254</v>
      </c>
      <c r="F285" t="inlineStr">
        <is>
          <t>VÄSTMANLANDS LÄN</t>
        </is>
      </c>
      <c r="G285" t="inlineStr">
        <is>
          <t>SKINNSKATTEBERG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45617</v>
      </c>
      <c r="E286" s="1" t="n">
        <v>46254</v>
      </c>
      <c r="F286" t="inlineStr">
        <is>
          <t>VÄSTMANLANDS LÄN</t>
        </is>
      </c>
      <c r="G286" t="inlineStr">
        <is>
          <t>SKINNSKATTEBERG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46254</v>
      </c>
      <c r="F287" t="inlineStr">
        <is>
          <t>VÄSTMANLANDS LÄN</t>
        </is>
      </c>
      <c r="G287" t="inlineStr">
        <is>
          <t>SKINNSKATTEBERG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46254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7.9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45006</v>
      </c>
      <c r="E289" s="1" t="n">
        <v>46254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Allmännings- och besparingsskogar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45385</v>
      </c>
      <c r="E290" s="1" t="n">
        <v>46254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15561-2024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45401</v>
      </c>
      <c r="E291" s="1" t="n">
        <v>46254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44967</v>
      </c>
      <c r="E292" s="1" t="n">
        <v>46254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45568</v>
      </c>
      <c r="E293" s="1" t="n">
        <v>46254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46254</v>
      </c>
      <c r="F294" t="inlineStr">
        <is>
          <t>VÄSTMANLANDS LÄN</t>
        </is>
      </c>
      <c r="G294" t="inlineStr">
        <is>
          <t>SKINNSKATTEBERG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45643</v>
      </c>
      <c r="E295" s="1" t="n">
        <v>46254</v>
      </c>
      <c r="F295" t="inlineStr">
        <is>
          <t>VÄSTMANLANDS LÄN</t>
        </is>
      </c>
      <c r="G295" t="inlineStr">
        <is>
          <t>SKINNSKATTEBERG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46037</v>
      </c>
      <c r="E296" s="1" t="n">
        <v>46254</v>
      </c>
      <c r="F296" t="inlineStr">
        <is>
          <t>VÄSTMANLANDS LÄN</t>
        </is>
      </c>
      <c r="G296" t="inlineStr">
        <is>
          <t>SKINNSKATTEBERG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45435</v>
      </c>
      <c r="E297" s="1" t="n">
        <v>46254</v>
      </c>
      <c r="F297" t="inlineStr">
        <is>
          <t>VÄSTMANLANDS LÄN</t>
        </is>
      </c>
      <c r="G297" t="inlineStr">
        <is>
          <t>SKINNSKATTEBERG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44995</v>
      </c>
      <c r="E298" s="1" t="n">
        <v>46254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37210-2022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44806</v>
      </c>
      <c r="E299" s="1" t="n">
        <v>46254</v>
      </c>
      <c r="F299" t="inlineStr">
        <is>
          <t>VÄSTMANLANDS LÄN</t>
        </is>
      </c>
      <c r="G299" t="inlineStr">
        <is>
          <t>SKINNSKATTEBERG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54657-2022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44883</v>
      </c>
      <c r="E300" s="1" t="n">
        <v>46254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46254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66584-2021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44519</v>
      </c>
      <c r="E302" s="1" t="n">
        <v>46254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5704-2026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46051</v>
      </c>
      <c r="E303" s="1" t="n">
        <v>46254</v>
      </c>
      <c r="F303" t="inlineStr">
        <is>
          <t>VÄSTMANLANDS LÄN</t>
        </is>
      </c>
      <c r="G303" t="inlineStr">
        <is>
          <t>SKINNSKATTEBERG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46254</v>
      </c>
      <c r="F304" t="inlineStr">
        <is>
          <t>VÄSTMANLANDS LÄN</t>
        </is>
      </c>
      <c r="G304" t="inlineStr">
        <is>
          <t>SKINNSKATTEBERG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5693-2026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46051</v>
      </c>
      <c r="E305" s="1" t="n">
        <v>46254</v>
      </c>
      <c r="F305" t="inlineStr">
        <is>
          <t>VÄSTMANLANDS LÄN</t>
        </is>
      </c>
      <c r="G305" t="inlineStr">
        <is>
          <t>SKINNSKATTEBERG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46254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46051</v>
      </c>
      <c r="E307" s="1" t="n">
        <v>46254</v>
      </c>
      <c r="F307" t="inlineStr">
        <is>
          <t>VÄSTMANLANDS LÄN</t>
        </is>
      </c>
      <c r="G307" t="inlineStr">
        <is>
          <t>SKINNSKATTEBERG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45504</v>
      </c>
      <c r="E308" s="1" t="n">
        <v>46254</v>
      </c>
      <c r="F308" t="inlineStr">
        <is>
          <t>VÄSTMANLANDS LÄN</t>
        </is>
      </c>
      <c r="G308" t="inlineStr">
        <is>
          <t>SKINNSKATTEBERG</t>
        </is>
      </c>
      <c r="I308" t="n">
        <v>17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46254</v>
      </c>
      <c r="F309" t="inlineStr">
        <is>
          <t>VÄSTMANLANDS LÄN</t>
        </is>
      </c>
      <c r="G309" t="inlineStr">
        <is>
          <t>SKINNSKATTEBERG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45306</v>
      </c>
      <c r="E310" s="1" t="n">
        <v>46254</v>
      </c>
      <c r="F310" t="inlineStr">
        <is>
          <t>VÄSTMANLANDS LÄN</t>
        </is>
      </c>
      <c r="G310" t="inlineStr">
        <is>
          <t>SKINNSKATTEBERG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45306</v>
      </c>
      <c r="E311" s="1" t="n">
        <v>46254</v>
      </c>
      <c r="F311" t="inlineStr">
        <is>
          <t>VÄSTMANLANDS LÄN</t>
        </is>
      </c>
      <c r="G311" t="inlineStr">
        <is>
          <t>SKINNSKATTEBERG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45306</v>
      </c>
      <c r="E312" s="1" t="n">
        <v>46254</v>
      </c>
      <c r="F312" t="inlineStr">
        <is>
          <t>VÄSTMANLANDS LÄN</t>
        </is>
      </c>
      <c r="G312" t="inlineStr">
        <is>
          <t>SKINNSKATTEBERG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45170</v>
      </c>
      <c r="E313" s="1" t="n">
        <v>46254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15184-2025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45744</v>
      </c>
      <c r="E314" s="1" t="n">
        <v>46254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45174</v>
      </c>
      <c r="E315" s="1" t="n">
        <v>46254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46254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45180</v>
      </c>
      <c r="E317" s="1" t="n">
        <v>46254</v>
      </c>
      <c r="F317" t="inlineStr">
        <is>
          <t>VÄSTMANLANDS LÄN</t>
        </is>
      </c>
      <c r="G317" t="inlineStr">
        <is>
          <t>SKINNSKATTEBERG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46254</v>
      </c>
      <c r="F318" t="inlineStr">
        <is>
          <t>VÄSTMANLANDS LÄN</t>
        </is>
      </c>
      <c r="G318" t="inlineStr">
        <is>
          <t>SKINNSKATTEBERG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46254</v>
      </c>
      <c r="F319" t="inlineStr">
        <is>
          <t>VÄSTMANLANDS LÄN</t>
        </is>
      </c>
      <c r="G319" t="inlineStr">
        <is>
          <t>SKINNSKATTEBERG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22394-2022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44713</v>
      </c>
      <c r="E320" s="1" t="n">
        <v>46254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45532</v>
      </c>
      <c r="E321" s="1" t="n">
        <v>46254</v>
      </c>
      <c r="F321" t="inlineStr">
        <is>
          <t>VÄSTMANLANDS LÄN</t>
        </is>
      </c>
      <c r="G321" t="inlineStr">
        <is>
          <t>SKINNSKATTEBERG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45532</v>
      </c>
      <c r="E322" s="1" t="n">
        <v>46254</v>
      </c>
      <c r="F322" t="inlineStr">
        <is>
          <t>VÄSTMANLANDS LÄN</t>
        </is>
      </c>
      <c r="G322" t="inlineStr">
        <is>
          <t>SKINNSKATTEBERG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46254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45048</v>
      </c>
      <c r="E324" s="1" t="n">
        <v>46254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46254</v>
      </c>
      <c r="F325" t="inlineStr">
        <is>
          <t>VÄSTMANLANDS LÄN</t>
        </is>
      </c>
      <c r="G325" t="inlineStr">
        <is>
          <t>SKINNSKATTEBERG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46254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46254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46254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15955-2026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46108</v>
      </c>
      <c r="E329" s="1" t="n">
        <v>46254</v>
      </c>
      <c r="F329" t="inlineStr">
        <is>
          <t>VÄSTMANLANDS LÄN</t>
        </is>
      </c>
      <c r="G329" t="inlineStr">
        <is>
          <t>SKINNSKATTEBERG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46254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16136-2026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46108</v>
      </c>
      <c r="E331" s="1" t="n">
        <v>46254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46254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45506</v>
      </c>
      <c r="E333" s="1" t="n">
        <v>46254</v>
      </c>
      <c r="F333" t="inlineStr">
        <is>
          <t>VÄSTMANLANDS LÄN</t>
        </is>
      </c>
      <c r="G333" t="inlineStr">
        <is>
          <t>SKINNSKATTEBERG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46254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46254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46254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17098-2026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46114</v>
      </c>
      <c r="E337" s="1" t="n">
        <v>46254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46119</v>
      </c>
      <c r="E338" s="1" t="n">
        <v>46254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17933-2026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46254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40546-2023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45170</v>
      </c>
      <c r="E340" s="1" t="n">
        <v>46254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45252</v>
      </c>
      <c r="E341" s="1" t="n">
        <v>46254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45014</v>
      </c>
      <c r="E342" s="1" t="n">
        <v>46254</v>
      </c>
      <c r="F342" t="inlineStr">
        <is>
          <t>VÄSTMANLANDS LÄN</t>
        </is>
      </c>
      <c r="G342" t="inlineStr">
        <is>
          <t>SKINNSKATTEBERG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14736-2023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45014</v>
      </c>
      <c r="E343" s="1" t="n">
        <v>46254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45762</v>
      </c>
      <c r="E344" s="1" t="n">
        <v>46254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46254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45040</v>
      </c>
      <c r="E346" s="1" t="n">
        <v>46254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45592</v>
      </c>
      <c r="E347" s="1" t="n">
        <v>46254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45777</v>
      </c>
      <c r="E348" s="1" t="n">
        <v>46254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20949-2025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45777</v>
      </c>
      <c r="E349" s="1" t="n">
        <v>46254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19540-2026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46134</v>
      </c>
      <c r="E350" s="1" t="n">
        <v>46254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19541-2026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46134</v>
      </c>
      <c r="E351" s="1" t="n">
        <v>46254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19582-2026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46134</v>
      </c>
      <c r="E352" s="1" t="n">
        <v>46254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12158-2024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46254</v>
      </c>
      <c r="F353" t="inlineStr">
        <is>
          <t>VÄSTMANLANDS LÄN</t>
        </is>
      </c>
      <c r="G353" t="inlineStr">
        <is>
          <t>SKINNSKATTEBERG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37730-2024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45541</v>
      </c>
      <c r="E354" s="1" t="n">
        <v>46254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50980-2022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44867</v>
      </c>
      <c r="E355" s="1" t="n">
        <v>46254</v>
      </c>
      <c r="F355" t="inlineStr">
        <is>
          <t>VÄSTMANLANDS LÄN</t>
        </is>
      </c>
      <c r="G355" t="inlineStr">
        <is>
          <t>SKINNSKATTEBERG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22611-2024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45447</v>
      </c>
      <c r="E356" s="1" t="n">
        <v>46254</v>
      </c>
      <c r="F356" t="inlineStr">
        <is>
          <t>VÄSTMANLANDS LÄN</t>
        </is>
      </c>
      <c r="G356" t="inlineStr">
        <is>
          <t>SKINNSKATTEBERG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38783-2024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45547</v>
      </c>
      <c r="E357" s="1" t="n">
        <v>46254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45480</v>
      </c>
      <c r="E358" s="1" t="n">
        <v>46254</v>
      </c>
      <c r="F358" t="inlineStr">
        <is>
          <t>VÄSTMANLANDS LÄN</t>
        </is>
      </c>
      <c r="G358" t="inlineStr">
        <is>
          <t>SKINNSKATTEBERG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46254</v>
      </c>
      <c r="F359" t="inlineStr">
        <is>
          <t>VÄSTMANLANDS LÄN</t>
        </is>
      </c>
      <c r="G359" t="inlineStr">
        <is>
          <t>SKINNSKATTEBERG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22285-2025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45786</v>
      </c>
      <c r="E360" s="1" t="n">
        <v>46254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22079-2024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46254</v>
      </c>
      <c r="F361" t="inlineStr">
        <is>
          <t>VÄSTMANLANDS LÄN</t>
        </is>
      </c>
      <c r="G361" t="inlineStr">
        <is>
          <t>SKINNSKATTEBERG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35051-2024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45527</v>
      </c>
      <c r="E362" s="1" t="n">
        <v>46254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45476</v>
      </c>
      <c r="E363" s="1" t="n">
        <v>46254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25846-2025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45804</v>
      </c>
      <c r="E364" s="1" t="n">
        <v>46254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45480</v>
      </c>
      <c r="E365" s="1" t="n">
        <v>46254</v>
      </c>
      <c r="F365" t="inlineStr">
        <is>
          <t>VÄSTMANLANDS LÄN</t>
        </is>
      </c>
      <c r="G365" t="inlineStr">
        <is>
          <t>SKINNSKATTEBERG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28831-2025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45820</v>
      </c>
      <c r="E366" s="1" t="n">
        <v>46254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28873-2025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45820</v>
      </c>
      <c r="E367" s="1" t="n">
        <v>46254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29808-2025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45825</v>
      </c>
      <c r="E368" s="1" t="n">
        <v>46254</v>
      </c>
      <c r="F368" t="inlineStr">
        <is>
          <t>VÄSTMANLANDS LÄN</t>
        </is>
      </c>
      <c r="G368" t="inlineStr">
        <is>
          <t>SKINNSKATTEBERG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29810-2025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45825</v>
      </c>
      <c r="E369" s="1" t="n">
        <v>46254</v>
      </c>
      <c r="F369" t="inlineStr">
        <is>
          <t>VÄSTMANLANDS LÄN</t>
        </is>
      </c>
      <c r="G369" t="inlineStr">
        <is>
          <t>SKINNSKATTEBERG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46254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30439-2025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45827</v>
      </c>
      <c r="E371" s="1" t="n">
        <v>46254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45832</v>
      </c>
      <c r="E372" s="1" t="n">
        <v>46254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46254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31234-2025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45832</v>
      </c>
      <c r="E374" s="1" t="n">
        <v>46254</v>
      </c>
      <c r="F374" t="inlineStr">
        <is>
          <t>VÄSTMANLANDS LÄN</t>
        </is>
      </c>
      <c r="G374" t="inlineStr">
        <is>
          <t>SKINNSKATTEBERG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45848</v>
      </c>
      <c r="E375" s="1" t="n">
        <v>46254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35204-2025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45853</v>
      </c>
      <c r="E376" s="1" t="n">
        <v>46254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7.5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46254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35205-2025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45853</v>
      </c>
      <c r="E378" s="1" t="n">
        <v>46254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37763-2025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45880</v>
      </c>
      <c r="E379" s="1" t="n">
        <v>46254</v>
      </c>
      <c r="F379" t="inlineStr">
        <is>
          <t>VÄSTMANLANDS LÄN</t>
        </is>
      </c>
      <c r="G379" t="inlineStr">
        <is>
          <t>SKINNSKATTEBERG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46254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46254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46254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46254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46254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46254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46254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46254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46254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46254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46254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46254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2026-08-20T01:48:42Z</dcterms:created>
  <dcterms:modified xmlns:dcterms="http://purl.org/dc/terms/" xmlns:xsi="http://www.w3.org/2001/XMLSchema-instance" xsi:type="dcterms:W3CDTF">2026-08-20T01:48:42Z</dcterms:modified>
</cp:coreProperties>
</file>