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46216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6</v>
      </c>
      <c r="K2" t="n">
        <v>4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17</v>
      </c>
      <c r="T2" t="n">
        <v>24</v>
      </c>
      <c r="U2" s="2" t="inlineStr">
        <is>
          <t>Blåbrun spindling
Gyllenspindling
Dofttaggsvamp
Orange taggsvamp
Skogshare
Tretåig hackspett
Ullticka
Vedskivlav
Vitfläckig guldvinge
Grönpyrola
Plattlummer
Strimspindling
Zontaggsvamp
Mattlummer
Fläcknycklar
Grönvit nattviol
Revlummer</t>
        </is>
      </c>
      <c r="V2">
        <f>HYPERLINK("https://klasma.github.io/Logging_1904/artfynd/S 482-2024 artfynd.xlsx", "S 482-2024")</f>
        <v/>
      </c>
      <c r="W2">
        <f>HYPERLINK("https://klasma.github.io/Logging_1904/kartor/S 482-2024 karta.png", "S 482-2024")</f>
        <v/>
      </c>
      <c r="Y2">
        <f>HYPERLINK("https://klasma.github.io/Logging_1904/klagomål/S 482-2024 FSC-klagomål.docx", "S 482-2024")</f>
        <v/>
      </c>
      <c r="Z2">
        <f>HYPERLINK("https://klasma.github.io/Logging_1904/klagomålsmail/S 482-2024 FSC-klagomål mail.docx", "S 482-2024")</f>
        <v/>
      </c>
      <c r="AA2">
        <f>HYPERLINK("https://klasma.github.io/Logging_1904/tillsyn/S 482-2024 tillsynsbegäran.docx", "S 482-2024")</f>
        <v/>
      </c>
      <c r="AB2">
        <f>HYPERLINK("https://klasma.github.io/Logging_1904/tillsynsmail/S 482-2024 tillsynsbegäran mail.docx", "S 482-2024")</f>
        <v/>
      </c>
      <c r="AC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46216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V3">
        <f>HYPERLINK("https://klasma.github.io/Logging_1904/artfynd/A 23016-2024 artfynd.xlsx", "A 23016-2024")</f>
        <v/>
      </c>
      <c r="W3">
        <f>HYPERLINK("https://klasma.github.io/Logging_1904/kartor/A 23016-2024 karta.png", "A 23016-2024")</f>
        <v/>
      </c>
      <c r="Y3">
        <f>HYPERLINK("https://klasma.github.io/Logging_1904/klagomål/A 23016-2024 FSC-klagomål.docx", "A 23016-2024")</f>
        <v/>
      </c>
      <c r="Z3">
        <f>HYPERLINK("https://klasma.github.io/Logging_1904/klagomålsmail/A 23016-2024 FSC-klagomål mail.docx", "A 23016-2024")</f>
        <v/>
      </c>
      <c r="AA3">
        <f>HYPERLINK("https://klasma.github.io/Logging_1904/tillsyn/A 23016-2024 tillsynsbegäran.docx", "A 23016-2024")</f>
        <v/>
      </c>
      <c r="AB3">
        <f>HYPERLINK("https://klasma.github.io/Logging_1904/tillsynsmail/A 23016-2024 tillsynsbegäran mail.docx", "A 23016-2024")</f>
        <v/>
      </c>
      <c r="AC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46216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s="2" t="inlineStr">
        <is>
          <t>Garnlav
Vedtrappmossa
Gräsull
Korallrot
Mörk husmossa
Smal svampklubba
Spindelblomster
Vedticka
Mindre vattensalamander
Fläcknycklar
Ängsnycklar</t>
        </is>
      </c>
      <c r="V4">
        <f>HYPERLINK("https://klasma.github.io/Logging_1904/artfynd/S 3570-2025 artfynd.xlsx", "S 3570-2025")</f>
        <v/>
      </c>
      <c r="W4">
        <f>HYPERLINK("https://klasma.github.io/Logging_1904/kartor/S 3570-2025 karta.png", "S 3570-2025")</f>
        <v/>
      </c>
      <c r="Y4">
        <f>HYPERLINK("https://klasma.github.io/Logging_1904/klagomål/S 3570-2025 FSC-klagomål.docx", "S 3570-2025")</f>
        <v/>
      </c>
      <c r="Z4">
        <f>HYPERLINK("https://klasma.github.io/Logging_1904/klagomålsmail/S 3570-2025 FSC-klagomål mail.docx", "S 3570-2025")</f>
        <v/>
      </c>
      <c r="AA4">
        <f>HYPERLINK("https://klasma.github.io/Logging_1904/tillsyn/S 3570-2025 tillsynsbegäran.docx", "S 3570-2025")</f>
        <v/>
      </c>
      <c r="AB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46216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s="2" t="inlineStr">
        <is>
          <t>Aspgelélav
Lunglav
Ullticka
Bollvitmossa
Jättesvampmal
Platt fjädermossa
Blåsippa</t>
        </is>
      </c>
      <c r="V5">
        <f>HYPERLINK("https://klasma.github.io/Logging_1904/artfynd/A 65300-2021 artfynd.xlsx", "A 65300-2021")</f>
        <v/>
      </c>
      <c r="W5">
        <f>HYPERLINK("https://klasma.github.io/Logging_1904/kartor/A 65300-2021 karta.png", "A 65300-2021")</f>
        <v/>
      </c>
      <c r="Y5">
        <f>HYPERLINK("https://klasma.github.io/Logging_1904/klagomål/A 65300-2021 FSC-klagomål.docx", "A 65300-2021")</f>
        <v/>
      </c>
      <c r="Z5">
        <f>HYPERLINK("https://klasma.github.io/Logging_1904/klagomålsmail/A 65300-2021 FSC-klagomål mail.docx", "A 65300-2021")</f>
        <v/>
      </c>
      <c r="AA5">
        <f>HYPERLINK("https://klasma.github.io/Logging_1904/tillsyn/A 65300-2021 tillsynsbegäran.docx", "A 65300-2021")</f>
        <v/>
      </c>
      <c r="AB5">
        <f>HYPERLINK("https://klasma.github.io/Logging_1904/tillsynsmail/A 65300-2021 tillsynsbegäran mail.docx", "A 65300-2021")</f>
        <v/>
      </c>
    </row>
    <row r="6" ht="15" customHeight="1">
      <c r="A6" t="inlineStr">
        <is>
          <t>A 61212-2022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44908</v>
      </c>
      <c r="E6" s="1" t="n">
        <v>46216</v>
      </c>
      <c r="F6" t="inlineStr">
        <is>
          <t>VÄSTMANLANDS LÄN</t>
        </is>
      </c>
      <c r="G6" t="inlineStr">
        <is>
          <t>SKINNSKATTEBERG</t>
        </is>
      </c>
      <c r="I6" t="n">
        <v>17.4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10</v>
      </c>
      <c r="U6" s="2" t="inlineStr">
        <is>
          <t>Grangråticka
Dofttaggsvamp
Tallticka
Blåsippa
Kråka</t>
        </is>
      </c>
      <c r="V6">
        <f>HYPERLINK("https://klasma.github.io/Logging_1904/artfynd/A 61212-2022 artfynd.xlsx", "A 61212-2022")</f>
        <v/>
      </c>
      <c r="W6">
        <f>HYPERLINK("https://klasma.github.io/Logging_1904/kartor/A 61212-2022 karta.png", "A 61212-2022")</f>
        <v/>
      </c>
      <c r="Y6">
        <f>HYPERLINK("https://klasma.github.io/Logging_1904/klagomål/A 61212-2022 FSC-klagomål.docx", "A 61212-2022")</f>
        <v/>
      </c>
      <c r="Z6">
        <f>HYPERLINK("https://klasma.github.io/Logging_1904/klagomålsmail/A 61212-2022 FSC-klagomål mail.docx", "A 61212-2022")</f>
        <v/>
      </c>
      <c r="AA6">
        <f>HYPERLINK("https://klasma.github.io/Logging_1904/tillsyn/A 61212-2022 tillsynsbegäran.docx", "A 61212-2022")</f>
        <v/>
      </c>
      <c r="AB6">
        <f>HYPERLINK("https://klasma.github.io/Logging_1904/tillsynsmail/A 61212-2022 tillsynsbegäran mail.docx", "A 61212-2022")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46216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s="2" t="inlineStr">
        <is>
          <t>Brunpudrad nållav
Vedtrappmossa
Gullgröppa
Vanlig flatbagge
Timmerticka</t>
        </is>
      </c>
      <c r="V7">
        <f>HYPERLINK("https://klasma.github.io/Logging_1904/artfynd/A 21845-2026 artfynd.xlsx", "A 21845-2026")</f>
        <v/>
      </c>
      <c r="W7">
        <f>HYPERLINK("https://klasma.github.io/Logging_1904/kartor/A 21845-2026 karta.png", "A 21845-2026")</f>
        <v/>
      </c>
      <c r="Y7">
        <f>HYPERLINK("https://klasma.github.io/Logging_1904/klagomål/A 21845-2026 FSC-klagomål.docx", "A 21845-2026")</f>
        <v/>
      </c>
      <c r="Z7">
        <f>HYPERLINK("https://klasma.github.io/Logging_1904/klagomålsmail/A 21845-2026 FSC-klagomål mail.docx", "A 21845-2026")</f>
        <v/>
      </c>
      <c r="AA7">
        <f>HYPERLINK("https://klasma.github.io/Logging_1904/tillsyn/A 21845-2026 tillsynsbegäran.docx", "A 21845-2026")</f>
        <v/>
      </c>
      <c r="AB7">
        <f>HYPERLINK("https://klasma.github.io/Logging_1904/tillsynsmail/A 21845-2026 tillsynsbegäran mail.docx", "A 21845-2026")</f>
        <v/>
      </c>
    </row>
    <row r="8" ht="15" customHeight="1">
      <c r="A8" t="inlineStr">
        <is>
          <t>A 56183-2025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46216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s="2" t="inlineStr">
        <is>
          <t>Vedtrappmossa
Björksplintborre
Gulnål
Vedticka</t>
        </is>
      </c>
      <c r="V8">
        <f>HYPERLINK("https://klasma.github.io/Logging_1904/artfynd/A 56183-2025 artfynd.xlsx", "A 56183-2025")</f>
        <v/>
      </c>
      <c r="W8">
        <f>HYPERLINK("https://klasma.github.io/Logging_1904/kartor/A 56183-2025 karta.png", "A 56183-2025")</f>
        <v/>
      </c>
      <c r="Y8">
        <f>HYPERLINK("https://klasma.github.io/Logging_1904/klagomål/A 56183-2025 FSC-klagomål.docx", "A 56183-2025")</f>
        <v/>
      </c>
      <c r="Z8">
        <f>HYPERLINK("https://klasma.github.io/Logging_1904/klagomålsmail/A 56183-2025 FSC-klagomål mail.docx", "A 56183-2025")</f>
        <v/>
      </c>
      <c r="AA8">
        <f>HYPERLINK("https://klasma.github.io/Logging_1904/tillsyn/A 56183-2025 tillsynsbegäran.docx", "A 56183-2025")</f>
        <v/>
      </c>
      <c r="AB8">
        <f>HYPERLINK("https://klasma.github.io/Logging_1904/tillsynsmail/A 56183-2025 tillsynsbegäran mail.docx", "A 56183-2025")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46216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s="2" t="inlineStr">
        <is>
          <t>Knärot
Lakritsmusseron
Lammticka
Skarp dropptaggsvamp</t>
        </is>
      </c>
      <c r="V9">
        <f>HYPERLINK("https://klasma.github.io/Logging_1904/artfynd/A 36595-2024 artfynd.xlsx", "A 36595-2024")</f>
        <v/>
      </c>
      <c r="W9">
        <f>HYPERLINK("https://klasma.github.io/Logging_1904/kartor/A 36595-2024 karta.png", "A 36595-2024")</f>
        <v/>
      </c>
      <c r="X9">
        <f>HYPERLINK("https://klasma.github.io/Logging_1904/knärot/A 36595-2024 karta knärot.png", "A 36595-2024")</f>
        <v/>
      </c>
      <c r="Y9">
        <f>HYPERLINK("https://klasma.github.io/Logging_1904/klagomål/A 36595-2024 FSC-klagomål.docx", "A 36595-2024")</f>
        <v/>
      </c>
      <c r="Z9">
        <f>HYPERLINK("https://klasma.github.io/Logging_1904/klagomålsmail/A 36595-2024 FSC-klagomål mail.docx", "A 36595-2024")</f>
        <v/>
      </c>
      <c r="AA9">
        <f>HYPERLINK("https://klasma.github.io/Logging_1904/tillsyn/A 36595-2024 tillsynsbegäran.docx", "A 36595-2024")</f>
        <v/>
      </c>
      <c r="AB9">
        <f>HYPERLINK("https://klasma.github.io/Logging_1904/tillsynsmail/A 36595-2024 tillsynsbegäran mail.docx", "A 36595-2024")</f>
        <v/>
      </c>
    </row>
    <row r="10" ht="15" customHeight="1">
      <c r="A10" t="inlineStr">
        <is>
          <t>A 19656-2025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45770</v>
      </c>
      <c r="E10" s="1" t="n">
        <v>46216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3.8</v>
      </c>
      <c r="J10" t="n">
        <v>0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s="2" t="inlineStr">
        <is>
          <t>Rynkskinn
Ullticka
Brandticka</t>
        </is>
      </c>
      <c r="V10">
        <f>HYPERLINK("https://klasma.github.io/Logging_1904/artfynd/A 19656-2025 artfynd.xlsx", "A 19656-2025")</f>
        <v/>
      </c>
      <c r="W10">
        <f>HYPERLINK("https://klasma.github.io/Logging_1904/kartor/A 19656-2025 karta.png", "A 19656-2025")</f>
        <v/>
      </c>
      <c r="Y10">
        <f>HYPERLINK("https://klasma.github.io/Logging_1904/klagomål/A 19656-2025 FSC-klagomål.docx", "A 19656-2025")</f>
        <v/>
      </c>
      <c r="Z10">
        <f>HYPERLINK("https://klasma.github.io/Logging_1904/klagomålsmail/A 19656-2025 FSC-klagomål mail.docx", "A 19656-2025")</f>
        <v/>
      </c>
      <c r="AA10">
        <f>HYPERLINK("https://klasma.github.io/Logging_1904/tillsyn/A 19656-2025 tillsynsbegäran.docx", "A 19656-2025")</f>
        <v/>
      </c>
      <c r="AB10">
        <f>HYPERLINK("https://klasma.github.io/Logging_1904/tillsynsmail/A 19656-2025 tillsynsbegäran mail.docx", "A 19656-2025")</f>
        <v/>
      </c>
    </row>
    <row r="11" ht="15" customHeight="1">
      <c r="A11" t="inlineStr">
        <is>
          <t>A 13715-2024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45390</v>
      </c>
      <c r="E11" s="1" t="n">
        <v>46216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5</v>
      </c>
      <c r="U11" s="2" t="inlineStr">
        <is>
          <t>Krusfrö
Järpe
Tjäder</t>
        </is>
      </c>
      <c r="V11">
        <f>HYPERLINK("https://klasma.github.io/Logging_1904/artfynd/A 13715-2024 artfynd.xlsx", "A 13715-2024")</f>
        <v/>
      </c>
      <c r="W11">
        <f>HYPERLINK("https://klasma.github.io/Logging_1904/kartor/A 13715-2024 karta.png", "A 13715-2024")</f>
        <v/>
      </c>
      <c r="Y11">
        <f>HYPERLINK("https://klasma.github.io/Logging_1904/klagomål/A 13715-2024 FSC-klagomål.docx", "A 13715-2024")</f>
        <v/>
      </c>
      <c r="Z11">
        <f>HYPERLINK("https://klasma.github.io/Logging_1904/klagomålsmail/A 13715-2024 FSC-klagomål mail.docx", "A 13715-2024")</f>
        <v/>
      </c>
      <c r="AA11">
        <f>HYPERLINK("https://klasma.github.io/Logging_1904/tillsyn/A 13715-2024 tillsynsbegäran.docx", "A 13715-2024")</f>
        <v/>
      </c>
      <c r="AB11">
        <f>HYPERLINK("https://klasma.github.io/Logging_1904/tillsynsmail/A 13715-2024 tillsynsbegäran mail.docx", "A 13715-2024")</f>
        <v/>
      </c>
      <c r="AC11">
        <f>HYPERLINK("https://klasma.github.io/Logging_1904/fåglar/A 13715-2024 prioriterade fågelarter.docx", "A 13715-2024")</f>
        <v/>
      </c>
    </row>
    <row r="12" ht="15" customHeight="1">
      <c r="A12" t="inlineStr">
        <is>
          <t>A 58355-2025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46216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6</v>
      </c>
      <c r="U12" s="2" t="inlineStr">
        <is>
          <t>Brunpudrad nållav
Vedtrappmossa
Brandticka</t>
        </is>
      </c>
      <c r="V12">
        <f>HYPERLINK("https://klasma.github.io/Logging_1904/artfynd/A 58355-2025 artfynd.xlsx", "A 58355-2025")</f>
        <v/>
      </c>
      <c r="W12">
        <f>HYPERLINK("https://klasma.github.io/Logging_1904/kartor/A 58355-2025 karta.png", "A 58355-2025")</f>
        <v/>
      </c>
      <c r="Y12">
        <f>HYPERLINK("https://klasma.github.io/Logging_1904/klagomål/A 58355-2025 FSC-klagomål.docx", "A 58355-2025")</f>
        <v/>
      </c>
      <c r="Z12">
        <f>HYPERLINK("https://klasma.github.io/Logging_1904/klagomålsmail/A 58355-2025 FSC-klagomål mail.docx", "A 58355-2025")</f>
        <v/>
      </c>
      <c r="AA12">
        <f>HYPERLINK("https://klasma.github.io/Logging_1904/tillsyn/A 58355-2025 tillsynsbegäran.docx", "A 58355-2025")</f>
        <v/>
      </c>
      <c r="AB12">
        <f>HYPERLINK("https://klasma.github.io/Logging_1904/tillsynsmail/A 58355-2025 tillsynsbegäran mail.docx", "A 58355-2025")</f>
        <v/>
      </c>
    </row>
    <row r="13" ht="15" customHeight="1">
      <c r="A13" t="inlineStr">
        <is>
          <t>A 18515-2024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45425</v>
      </c>
      <c r="E13" s="1" t="n">
        <v>46216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Plattlummer
Fläcknycklar
Revlummer</t>
        </is>
      </c>
      <c r="V13">
        <f>HYPERLINK("https://klasma.github.io/Logging_1904/artfynd/A 18515-2024 artfynd.xlsx", "A 18515-2024")</f>
        <v/>
      </c>
      <c r="W13">
        <f>HYPERLINK("https://klasma.github.io/Logging_1904/kartor/A 18515-2024 karta.png", "A 18515-2024")</f>
        <v/>
      </c>
      <c r="Y13">
        <f>HYPERLINK("https://klasma.github.io/Logging_1904/klagomål/A 18515-2024 FSC-klagomål.docx", "A 18515-2024")</f>
        <v/>
      </c>
      <c r="Z13">
        <f>HYPERLINK("https://klasma.github.io/Logging_1904/klagomålsmail/A 18515-2024 FSC-klagomål mail.docx", "A 18515-2024")</f>
        <v/>
      </c>
      <c r="AA13">
        <f>HYPERLINK("https://klasma.github.io/Logging_1904/tillsyn/A 18515-2024 tillsynsbegäran.docx", "A 18515-2024")</f>
        <v/>
      </c>
      <c r="AB13">
        <f>HYPERLINK("https://klasma.github.io/Logging_1904/tillsynsmail/A 18515-2024 tillsynsbegäran mail.docx", "A 18515-2024")</f>
        <v/>
      </c>
    </row>
    <row r="14" ht="15" customHeight="1">
      <c r="A14" t="inlineStr">
        <is>
          <t>A 44698-2024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46216</v>
      </c>
      <c r="F14" t="inlineStr">
        <is>
          <t>VÄSTMANLANDS LÄN</t>
        </is>
      </c>
      <c r="G14" t="inlineStr">
        <is>
          <t>SKINNSKATTEBERG</t>
        </is>
      </c>
      <c r="I14" t="n">
        <v>1.3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s="2" t="inlineStr">
        <is>
          <t>Hässleklocka
Tibast
Gullviva</t>
        </is>
      </c>
      <c r="V14">
        <f>HYPERLINK("https://klasma.github.io/Logging_1904/artfynd/A 44698-2024 artfynd.xlsx", "A 44698-2024")</f>
        <v/>
      </c>
      <c r="W14">
        <f>HYPERLINK("https://klasma.github.io/Logging_1904/kartor/A 44698-2024 karta.png", "A 44698-2024")</f>
        <v/>
      </c>
      <c r="Y14">
        <f>HYPERLINK("https://klasma.github.io/Logging_1904/klagomål/A 44698-2024 FSC-klagomål.docx", "A 44698-2024")</f>
        <v/>
      </c>
      <c r="Z14">
        <f>HYPERLINK("https://klasma.github.io/Logging_1904/klagomålsmail/A 44698-2024 FSC-klagomål mail.docx", "A 44698-2024")</f>
        <v/>
      </c>
      <c r="AA14">
        <f>HYPERLINK("https://klasma.github.io/Logging_1904/tillsyn/A 44698-2024 tillsynsbegäran.docx", "A 44698-2024")</f>
        <v/>
      </c>
      <c r="AB14">
        <f>HYPERLINK("https://klasma.github.io/Logging_1904/tillsynsmail/A 44698-2024 tillsynsbegäran mail.docx", "A 44698-2024")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46216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s="2" t="inlineStr">
        <is>
          <t>Gränsticka
Brunpudrad nållav
Vedtrappmossa</t>
        </is>
      </c>
      <c r="V15">
        <f>HYPERLINK("https://klasma.github.io/Logging_1904/artfynd/A 21846-2026 artfynd.xlsx", "A 21846-2026")</f>
        <v/>
      </c>
      <c r="W15">
        <f>HYPERLINK("https://klasma.github.io/Logging_1904/kartor/A 21846-2026 karta.png", "A 21846-2026")</f>
        <v/>
      </c>
      <c r="Y15">
        <f>HYPERLINK("https://klasma.github.io/Logging_1904/klagomål/A 21846-2026 FSC-klagomål.docx", "A 21846-2026")</f>
        <v/>
      </c>
      <c r="Z15">
        <f>HYPERLINK("https://klasma.github.io/Logging_1904/klagomålsmail/A 21846-2026 FSC-klagomål mail.docx", "A 21846-2026")</f>
        <v/>
      </c>
      <c r="AA15">
        <f>HYPERLINK("https://klasma.github.io/Logging_1904/tillsyn/A 21846-2026 tillsynsbegäran.docx", "A 21846-2026")</f>
        <v/>
      </c>
      <c r="AB15">
        <f>HYPERLINK("https://klasma.github.io/Logging_1904/tillsynsmail/A 21846-2026 tillsynsbegäran mail.docx", "A 21846-2026")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46216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Ullticka
Skinnlav</t>
        </is>
      </c>
      <c r="V16">
        <f>HYPERLINK("https://klasma.github.io/Logging_1904/artfynd/A 47136-2021 artfynd.xlsx", "A 47136-2021")</f>
        <v/>
      </c>
      <c r="W16">
        <f>HYPERLINK("https://klasma.github.io/Logging_1904/kartor/A 47136-2021 karta.png", "A 47136-2021")</f>
        <v/>
      </c>
      <c r="Y16">
        <f>HYPERLINK("https://klasma.github.io/Logging_1904/klagomål/A 47136-2021 FSC-klagomål.docx", "A 47136-2021")</f>
        <v/>
      </c>
      <c r="Z16">
        <f>HYPERLINK("https://klasma.github.io/Logging_1904/klagomålsmail/A 47136-2021 FSC-klagomål mail.docx", "A 47136-2021")</f>
        <v/>
      </c>
      <c r="AA16">
        <f>HYPERLINK("https://klasma.github.io/Logging_1904/tillsyn/A 47136-2021 tillsynsbegäran.docx", "A 47136-2021")</f>
        <v/>
      </c>
      <c r="AB16">
        <f>HYPERLINK("https://klasma.github.io/Logging_1904/tillsynsmail/A 47136-2021 tillsynsbegäran mail.docx", "A 47136-2021")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46216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s="2" t="inlineStr">
        <is>
          <t>Jättemusseron
Lakritsmusseron</t>
        </is>
      </c>
      <c r="V17">
        <f>HYPERLINK("https://klasma.github.io/Logging_1904/artfynd/A 36596-2024 artfynd.xlsx", "A 36596-2024")</f>
        <v/>
      </c>
      <c r="W17">
        <f>HYPERLINK("https://klasma.github.io/Logging_1904/kartor/A 36596-2024 karta.png", "A 36596-2024")</f>
        <v/>
      </c>
      <c r="Y17">
        <f>HYPERLINK("https://klasma.github.io/Logging_1904/klagomål/A 36596-2024 FSC-klagomål.docx", "A 36596-2024")</f>
        <v/>
      </c>
      <c r="Z17">
        <f>HYPERLINK("https://klasma.github.io/Logging_1904/klagomålsmail/A 36596-2024 FSC-klagomål mail.docx", "A 36596-2024")</f>
        <v/>
      </c>
      <c r="AA17">
        <f>HYPERLINK("https://klasma.github.io/Logging_1904/tillsyn/A 36596-2024 tillsynsbegäran.docx", "A 36596-2024")</f>
        <v/>
      </c>
      <c r="AB17">
        <f>HYPERLINK("https://klasma.github.io/Logging_1904/tillsynsmail/A 36596-2024 tillsynsbegäran mail.docx", "A 36596-2024")</f>
        <v/>
      </c>
    </row>
    <row r="18" ht="15" customHeight="1">
      <c r="A18" t="inlineStr">
        <is>
          <t>A 18416-2025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46216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Stubbspretmossa
Svart trolldruva</t>
        </is>
      </c>
      <c r="V18">
        <f>HYPERLINK("https://klasma.github.io/Logging_1904/artfynd/A 18416-2025 artfynd.xlsx", "A 18416-2025")</f>
        <v/>
      </c>
      <c r="W18">
        <f>HYPERLINK("https://klasma.github.io/Logging_1904/kartor/A 18416-2025 karta.png", "A 18416-2025")</f>
        <v/>
      </c>
      <c r="Y18">
        <f>HYPERLINK("https://klasma.github.io/Logging_1904/klagomål/A 18416-2025 FSC-klagomål.docx", "A 18416-2025")</f>
        <v/>
      </c>
      <c r="Z18">
        <f>HYPERLINK("https://klasma.github.io/Logging_1904/klagomålsmail/A 18416-2025 FSC-klagomål mail.docx", "A 18416-2025")</f>
        <v/>
      </c>
      <c r="AA18">
        <f>HYPERLINK("https://klasma.github.io/Logging_1904/tillsyn/A 18416-2025 tillsynsbegäran.docx", "A 18416-2025")</f>
        <v/>
      </c>
      <c r="AB18">
        <f>HYPERLINK("https://klasma.github.io/Logging_1904/tillsynsmail/A 18416-2025 tillsynsbegäran mail.docx", "A 18416-2025")</f>
        <v/>
      </c>
    </row>
    <row r="19" ht="15" customHeight="1">
      <c r="A19" t="inlineStr">
        <is>
          <t>A 16910-2025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46216</v>
      </c>
      <c r="F19" t="inlineStr">
        <is>
          <t>VÄSTMANLANDS LÄN</t>
        </is>
      </c>
      <c r="G19" t="inlineStr">
        <is>
          <t>SKINNSKATTEBERG</t>
        </is>
      </c>
      <c r="I19" t="n">
        <v>3.2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s="2" t="inlineStr">
        <is>
          <t>Vedtrappmossa
Fläcknycklar</t>
        </is>
      </c>
      <c r="V19">
        <f>HYPERLINK("https://klasma.github.io/Logging_1904/artfynd/A 16910-2025 artfynd.xlsx", "A 16910-2025")</f>
        <v/>
      </c>
      <c r="W19">
        <f>HYPERLINK("https://klasma.github.io/Logging_1904/kartor/A 16910-2025 karta.png", "A 16910-2025")</f>
        <v/>
      </c>
      <c r="Y19">
        <f>HYPERLINK("https://klasma.github.io/Logging_1904/klagomål/A 16910-2025 FSC-klagomål.docx", "A 16910-2025")</f>
        <v/>
      </c>
      <c r="Z19">
        <f>HYPERLINK("https://klasma.github.io/Logging_1904/klagomålsmail/A 16910-2025 FSC-klagomål mail.docx", "A 16910-2025")</f>
        <v/>
      </c>
      <c r="AA19">
        <f>HYPERLINK("https://klasma.github.io/Logging_1904/tillsyn/A 16910-2025 tillsynsbegäran.docx", "A 16910-2025")</f>
        <v/>
      </c>
      <c r="AB19">
        <f>HYPERLINK("https://klasma.github.io/Logging_1904/tillsynsmail/A 16910-2025 tillsynsbegäran mail.docx", "A 16910-2025")</f>
        <v/>
      </c>
    </row>
    <row r="20" ht="15" customHeight="1">
      <c r="A20" t="inlineStr">
        <is>
          <t>A 42073-2021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44426</v>
      </c>
      <c r="E20" s="1" t="n">
        <v>46216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Fläcknycklar</t>
        </is>
      </c>
      <c r="V20">
        <f>HYPERLINK("https://klasma.github.io/Logging_1904/artfynd/A 42073-2021 artfynd.xlsx", "A 42073-2021")</f>
        <v/>
      </c>
      <c r="W20">
        <f>HYPERLINK("https://klasma.github.io/Logging_1904/kartor/A 42073-2021 karta.png", "A 42073-2021")</f>
        <v/>
      </c>
      <c r="Y20">
        <f>HYPERLINK("https://klasma.github.io/Logging_1904/klagomål/A 42073-2021 FSC-klagomål.docx", "A 42073-2021")</f>
        <v/>
      </c>
      <c r="Z20">
        <f>HYPERLINK("https://klasma.github.io/Logging_1904/klagomålsmail/A 42073-2021 FSC-klagomål mail.docx", "A 42073-2021")</f>
        <v/>
      </c>
      <c r="AA20">
        <f>HYPERLINK("https://klasma.github.io/Logging_1904/tillsyn/A 42073-2021 tillsynsbegäran.docx", "A 42073-2021")</f>
        <v/>
      </c>
      <c r="AB20">
        <f>HYPERLINK("https://klasma.github.io/Logging_1904/tillsynsmail/A 42073-2021 tillsynsbegäran mail.docx", "A 42073-2021")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46216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Skogsklocka</t>
        </is>
      </c>
      <c r="V21">
        <f>HYPERLINK("https://klasma.github.io/Logging_1904/artfynd/A 41868-2022 artfynd.xlsx", "A 41868-2022")</f>
        <v/>
      </c>
      <c r="W21">
        <f>HYPERLINK("https://klasma.github.io/Logging_1904/kartor/A 41868-2022 karta.png", "A 41868-2022")</f>
        <v/>
      </c>
      <c r="Y21">
        <f>HYPERLINK("https://klasma.github.io/Logging_1904/klagomål/A 41868-2022 FSC-klagomål.docx", "A 41868-2022")</f>
        <v/>
      </c>
      <c r="Z21">
        <f>HYPERLINK("https://klasma.github.io/Logging_1904/klagomålsmail/A 41868-2022 FSC-klagomål mail.docx", "A 41868-2022")</f>
        <v/>
      </c>
      <c r="AA21">
        <f>HYPERLINK("https://klasma.github.io/Logging_1904/tillsyn/A 41868-2022 tillsynsbegäran.docx", "A 41868-2022")</f>
        <v/>
      </c>
      <c r="AB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46216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Sparvuggla</t>
        </is>
      </c>
      <c r="V22">
        <f>HYPERLINK("https://klasma.github.io/Logging_1904/artfynd/A 12887-2024 artfynd.xlsx", "A 12887-2024")</f>
        <v/>
      </c>
      <c r="W22">
        <f>HYPERLINK("https://klasma.github.io/Logging_1904/kartor/A 12887-2024 karta.png", "A 12887-2024")</f>
        <v/>
      </c>
      <c r="Y22">
        <f>HYPERLINK("https://klasma.github.io/Logging_1904/klagomål/A 12887-2024 FSC-klagomål.docx", "A 12887-2024")</f>
        <v/>
      </c>
      <c r="Z22">
        <f>HYPERLINK("https://klasma.github.io/Logging_1904/klagomålsmail/A 12887-2024 FSC-klagomål mail.docx", "A 12887-2024")</f>
        <v/>
      </c>
      <c r="AA22">
        <f>HYPERLINK("https://klasma.github.io/Logging_1904/tillsyn/A 12887-2024 tillsynsbegäran.docx", "A 12887-2024")</f>
        <v/>
      </c>
      <c r="AB22">
        <f>HYPERLINK("https://klasma.github.io/Logging_1904/tillsynsmail/A 12887-2024 tillsynsbegäran mail.docx", "A 12887-2024")</f>
        <v/>
      </c>
      <c r="AC22">
        <f>HYPERLINK("https://klasma.github.io/Logging_1904/fåglar/A 12887-2024 prioriterade fågelarter.docx", "A 12887-2024")</f>
        <v/>
      </c>
    </row>
    <row r="23" ht="15" customHeight="1">
      <c r="A23" t="inlineStr">
        <is>
          <t>A 54296-2023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46216</v>
      </c>
      <c r="F23" t="inlineStr">
        <is>
          <t>VÄSTMANLANDS LÄN</t>
        </is>
      </c>
      <c r="G23" t="inlineStr">
        <is>
          <t>SKINNSKATTEBERG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Kopparödla</t>
        </is>
      </c>
      <c r="V23">
        <f>HYPERLINK("https://klasma.github.io/Logging_1904/artfynd/A 54296-2023 artfynd.xlsx", "A 54296-2023")</f>
        <v/>
      </c>
      <c r="W23">
        <f>HYPERLINK("https://klasma.github.io/Logging_1904/kartor/A 54296-2023 karta.png", "A 54296-2023")</f>
        <v/>
      </c>
      <c r="Y23">
        <f>HYPERLINK("https://klasma.github.io/Logging_1904/klagomål/A 54296-2023 FSC-klagomål.docx", "A 54296-2023")</f>
        <v/>
      </c>
      <c r="Z23">
        <f>HYPERLINK("https://klasma.github.io/Logging_1904/klagomålsmail/A 54296-2023 FSC-klagomål mail.docx", "A 54296-2023")</f>
        <v/>
      </c>
      <c r="AA23">
        <f>HYPERLINK("https://klasma.github.io/Logging_1904/tillsyn/A 54296-2023 tillsynsbegäran.docx", "A 54296-2023")</f>
        <v/>
      </c>
      <c r="AB23">
        <f>HYPERLINK("https://klasma.github.io/Logging_1904/tillsynsmail/A 54296-2023 tillsynsbegäran mail.docx", "A 54296-2023")</f>
        <v/>
      </c>
    </row>
    <row r="24" ht="15" customHeight="1">
      <c r="A24" t="inlineStr">
        <is>
          <t>A 31006-2025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45832</v>
      </c>
      <c r="E24" s="1" t="n">
        <v>46216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Spillkråka</t>
        </is>
      </c>
      <c r="V24">
        <f>HYPERLINK("https://klasma.github.io/Logging_1904/artfynd/A 31006-2025 artfynd.xlsx", "A 31006-2025")</f>
        <v/>
      </c>
      <c r="W24">
        <f>HYPERLINK("https://klasma.github.io/Logging_1904/kartor/A 31006-2025 karta.png", "A 31006-2025")</f>
        <v/>
      </c>
      <c r="Y24">
        <f>HYPERLINK("https://klasma.github.io/Logging_1904/klagomål/A 31006-2025 FSC-klagomål.docx", "A 31006-2025")</f>
        <v/>
      </c>
      <c r="Z24">
        <f>HYPERLINK("https://klasma.github.io/Logging_1904/klagomålsmail/A 31006-2025 FSC-klagomål mail.docx", "A 31006-2025")</f>
        <v/>
      </c>
      <c r="AA24">
        <f>HYPERLINK("https://klasma.github.io/Logging_1904/tillsyn/A 31006-2025 tillsynsbegäran.docx", "A 31006-2025")</f>
        <v/>
      </c>
      <c r="AB24">
        <f>HYPERLINK("https://klasma.github.io/Logging_1904/tillsynsmail/A 31006-2025 tillsynsbegäran mail.docx", "A 31006-2025")</f>
        <v/>
      </c>
      <c r="AC24">
        <f>HYPERLINK("https://klasma.github.io/Logging_1904/fåglar/A 31006-2025 prioriterade fågelarter.docx", "A 31006-2025")</f>
        <v/>
      </c>
    </row>
    <row r="25" ht="15" customHeight="1">
      <c r="A25" t="inlineStr">
        <is>
          <t>A 47538-2025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46216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6.6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Svinrot</t>
        </is>
      </c>
      <c r="V25">
        <f>HYPERLINK("https://klasma.github.io/Logging_1904/artfynd/A 47538-2025 artfynd.xlsx", "A 47538-2025")</f>
        <v/>
      </c>
      <c r="W25">
        <f>HYPERLINK("https://klasma.github.io/Logging_1904/kartor/A 47538-2025 karta.png", "A 47538-2025")</f>
        <v/>
      </c>
      <c r="Y25">
        <f>HYPERLINK("https://klasma.github.io/Logging_1904/klagomål/A 47538-2025 FSC-klagomål.docx", "A 47538-2025")</f>
        <v/>
      </c>
      <c r="Z25">
        <f>HYPERLINK("https://klasma.github.io/Logging_1904/klagomålsmail/A 47538-2025 FSC-klagomål mail.docx", "A 47538-2025")</f>
        <v/>
      </c>
      <c r="AA25">
        <f>HYPERLINK("https://klasma.github.io/Logging_1904/tillsyn/A 47538-2025 tillsynsbegäran.docx", "A 47538-2025")</f>
        <v/>
      </c>
      <c r="AB25">
        <f>HYPERLINK("https://klasma.github.io/Logging_1904/tillsynsmail/A 47538-2025 tillsynsbegäran mail.docx", "A 47538-2025")</f>
        <v/>
      </c>
    </row>
    <row r="26" ht="15" customHeight="1">
      <c r="A26" t="inlineStr">
        <is>
          <t>A 49630-2024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45596</v>
      </c>
      <c r="E26" s="1" t="n">
        <v>46216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7.3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HYPERLINK("https://klasma.github.io/Logging_1904/artfynd/A 49630-2024 artfynd.xlsx", "A 49630-2024")</f>
        <v/>
      </c>
      <c r="W26">
        <f>HYPERLINK("https://klasma.github.io/Logging_1904/kartor/A 49630-2024 karta.png", "A 49630-2024")</f>
        <v/>
      </c>
      <c r="Y26">
        <f>HYPERLINK("https://klasma.github.io/Logging_1904/klagomål/A 49630-2024 FSC-klagomål.docx", "A 49630-2024")</f>
        <v/>
      </c>
      <c r="Z26">
        <f>HYPERLINK("https://klasma.github.io/Logging_1904/klagomålsmail/A 49630-2024 FSC-klagomål mail.docx", "A 49630-2024")</f>
        <v/>
      </c>
      <c r="AA26">
        <f>HYPERLINK("https://klasma.github.io/Logging_1904/tillsyn/A 49630-2024 tillsynsbegäran.docx", "A 49630-2024")</f>
        <v/>
      </c>
      <c r="AB26">
        <f>HYPERLINK("https://klasma.github.io/Logging_1904/tillsynsmail/A 49630-2024 tillsynsbegäran mail.docx", "A 49630-2024")</f>
        <v/>
      </c>
    </row>
    <row r="27" ht="15" customHeight="1">
      <c r="A27" t="inlineStr">
        <is>
          <t>A 19205-2024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45428</v>
      </c>
      <c r="E27" s="1" t="n">
        <v>46216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Järpe</t>
        </is>
      </c>
      <c r="V27">
        <f>HYPERLINK("https://klasma.github.io/Logging_1904/artfynd/A 19205-2024 artfynd.xlsx", "A 19205-2024")</f>
        <v/>
      </c>
      <c r="W27">
        <f>HYPERLINK("https://klasma.github.io/Logging_1904/kartor/A 19205-2024 karta.png", "A 19205-2024")</f>
        <v/>
      </c>
      <c r="Y27">
        <f>HYPERLINK("https://klasma.github.io/Logging_1904/klagomål/A 19205-2024 FSC-klagomål.docx", "A 19205-2024")</f>
        <v/>
      </c>
      <c r="Z27">
        <f>HYPERLINK("https://klasma.github.io/Logging_1904/klagomålsmail/A 19205-2024 FSC-klagomål mail.docx", "A 19205-2024")</f>
        <v/>
      </c>
      <c r="AA27">
        <f>HYPERLINK("https://klasma.github.io/Logging_1904/tillsyn/A 19205-2024 tillsynsbegäran.docx", "A 19205-2024")</f>
        <v/>
      </c>
      <c r="AB27">
        <f>HYPERLINK("https://klasma.github.io/Logging_1904/tillsynsmail/A 19205-2024 tillsynsbegäran mail.docx", "A 19205-2024")</f>
        <v/>
      </c>
      <c r="AC27">
        <f>HYPERLINK("https://klasma.github.io/Logging_1904/fåglar/A 19205-2024 prioriterade fågelarter.docx", "A 19205-2024")</f>
        <v/>
      </c>
    </row>
    <row r="28" ht="15" customHeight="1">
      <c r="A28" t="inlineStr">
        <is>
          <t>A 57395-2025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45980</v>
      </c>
      <c r="E28" s="1" t="n">
        <v>46216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Vedticka</t>
        </is>
      </c>
      <c r="V28">
        <f>HYPERLINK("https://klasma.github.io/Logging_1904/artfynd/A 57395-2025 artfynd.xlsx", "A 57395-2025")</f>
        <v/>
      </c>
      <c r="W28">
        <f>HYPERLINK("https://klasma.github.io/Logging_1904/kartor/A 57395-2025 karta.png", "A 57395-2025")</f>
        <v/>
      </c>
      <c r="Y28">
        <f>HYPERLINK("https://klasma.github.io/Logging_1904/klagomål/A 57395-2025 FSC-klagomål.docx", "A 57395-2025")</f>
        <v/>
      </c>
      <c r="Z28">
        <f>HYPERLINK("https://klasma.github.io/Logging_1904/klagomålsmail/A 57395-2025 FSC-klagomål mail.docx", "A 57395-2025")</f>
        <v/>
      </c>
      <c r="AA28">
        <f>HYPERLINK("https://klasma.github.io/Logging_1904/tillsyn/A 57395-2025 tillsynsbegäran.docx", "A 57395-2025")</f>
        <v/>
      </c>
      <c r="AB28">
        <f>HYPERLINK("https://klasma.github.io/Logging_1904/tillsynsmail/A 57395-2025 tillsynsbegäran mail.docx", "A 57395-2025")</f>
        <v/>
      </c>
    </row>
    <row r="29" ht="15" customHeight="1">
      <c r="A29" t="inlineStr">
        <is>
          <t>A 15734-2026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46107</v>
      </c>
      <c r="E29" s="1" t="n">
        <v>46216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Koppartaggsvamp</t>
        </is>
      </c>
      <c r="V29">
        <f>HYPERLINK("https://klasma.github.io/Logging_1904/artfynd/A 15734-2026 artfynd.xlsx", "A 15734-2026")</f>
        <v/>
      </c>
      <c r="W29">
        <f>HYPERLINK("https://klasma.github.io/Logging_1904/kartor/A 15734-2026 karta.png", "A 15734-2026")</f>
        <v/>
      </c>
      <c r="Y29">
        <f>HYPERLINK("https://klasma.github.io/Logging_1904/klagomål/A 15734-2026 FSC-klagomål.docx", "A 15734-2026")</f>
        <v/>
      </c>
      <c r="Z29">
        <f>HYPERLINK("https://klasma.github.io/Logging_1904/klagomålsmail/A 15734-2026 FSC-klagomål mail.docx", "A 15734-2026")</f>
        <v/>
      </c>
      <c r="AA29">
        <f>HYPERLINK("https://klasma.github.io/Logging_1904/tillsyn/A 15734-2026 tillsynsbegäran.docx", "A 15734-2026")</f>
        <v/>
      </c>
      <c r="AB29">
        <f>HYPERLINK("https://klasma.github.io/Logging_1904/tillsynsmail/A 15734-2026 tillsynsbegäran mail.docx", "A 15734-2026")</f>
        <v/>
      </c>
    </row>
    <row r="30" ht="15" customHeight="1">
      <c r="A30" t="inlineStr">
        <is>
          <t>A 24944-2026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46216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8.4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Garnlav</t>
        </is>
      </c>
      <c r="V30">
        <f>HYPERLINK("https://klasma.github.io/Logging_1904/artfynd/A 24944-2026 artfynd.xlsx", "A 24944-2026")</f>
        <v/>
      </c>
      <c r="W30">
        <f>HYPERLINK("https://klasma.github.io/Logging_1904/kartor/A 24944-2026 karta.png", "A 24944-2026")</f>
        <v/>
      </c>
      <c r="Y30">
        <f>HYPERLINK("https://klasma.github.io/Logging_1904/klagomål/A 24944-2026 FSC-klagomål.docx", "A 24944-2026")</f>
        <v/>
      </c>
      <c r="Z30">
        <f>HYPERLINK("https://klasma.github.io/Logging_1904/klagomålsmail/A 24944-2026 FSC-klagomål mail.docx", "A 24944-2026")</f>
        <v/>
      </c>
      <c r="AA30">
        <f>HYPERLINK("https://klasma.github.io/Logging_1904/tillsyn/A 24944-2026 tillsynsbegäran.docx", "A 24944-2026")</f>
        <v/>
      </c>
      <c r="AB30">
        <f>HYPERLINK("https://klasma.github.io/Logging_1904/tillsynsmail/A 24944-2026 tillsynsbegäran mail.docx", "A 24944-2026")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46216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Mörk husmossa</t>
        </is>
      </c>
      <c r="V31">
        <f>HYPERLINK("https://klasma.github.io/Logging_1904/artfynd/A 27565-2024 artfynd.xlsx", "A 27565-2024")</f>
        <v/>
      </c>
      <c r="W31">
        <f>HYPERLINK("https://klasma.github.io/Logging_1904/kartor/A 27565-2024 karta.png", "A 27565-2024")</f>
        <v/>
      </c>
      <c r="Y31">
        <f>HYPERLINK("https://klasma.github.io/Logging_1904/klagomål/A 27565-2024 FSC-klagomål.docx", "A 27565-2024")</f>
        <v/>
      </c>
      <c r="Z31">
        <f>HYPERLINK("https://klasma.github.io/Logging_1904/klagomålsmail/A 27565-2024 FSC-klagomål mail.docx", "A 27565-2024")</f>
        <v/>
      </c>
      <c r="AA31">
        <f>HYPERLINK("https://klasma.github.io/Logging_1904/tillsyn/A 27565-2024 tillsynsbegäran.docx", "A 27565-2024")</f>
        <v/>
      </c>
      <c r="AB31">
        <f>HYPERLINK("https://klasma.github.io/Logging_1904/tillsynsmail/A 27565-2024 tillsynsbegäran mail.docx", "A 27565-2024")</f>
        <v/>
      </c>
    </row>
    <row r="32" ht="15" customHeight="1">
      <c r="A32" t="inlineStr">
        <is>
          <t>A 20559-2026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46140</v>
      </c>
      <c r="E32" s="1" t="n">
        <v>46216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0.3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Tjäder</t>
        </is>
      </c>
      <c r="V32">
        <f>HYPERLINK("https://klasma.github.io/Logging_1904/artfynd/A 20559-2026 artfynd.xlsx", "A 20559-2026")</f>
        <v/>
      </c>
      <c r="W32">
        <f>HYPERLINK("https://klasma.github.io/Logging_1904/kartor/A 20559-2026 karta.png", "A 20559-2026")</f>
        <v/>
      </c>
      <c r="Y32">
        <f>HYPERLINK("https://klasma.github.io/Logging_1904/klagomål/A 20559-2026 FSC-klagomål.docx", "A 20559-2026")</f>
        <v/>
      </c>
      <c r="Z32">
        <f>HYPERLINK("https://klasma.github.io/Logging_1904/klagomålsmail/A 20559-2026 FSC-klagomål mail.docx", "A 20559-2026")</f>
        <v/>
      </c>
      <c r="AA32">
        <f>HYPERLINK("https://klasma.github.io/Logging_1904/tillsyn/A 20559-2026 tillsynsbegäran.docx", "A 20559-2026")</f>
        <v/>
      </c>
      <c r="AB32">
        <f>HYPERLINK("https://klasma.github.io/Logging_1904/tillsynsmail/A 20559-2026 tillsynsbegäran mail.docx", "A 20559-2026")</f>
        <v/>
      </c>
      <c r="AC32">
        <f>HYPERLINK("https://klasma.github.io/Logging_1904/fåglar/A 20559-2026 prioriterade fågelarter.docx", "A 20559-2026")</f>
        <v/>
      </c>
    </row>
    <row r="33" ht="15" customHeight="1">
      <c r="A33" t="inlineStr">
        <is>
          <t>A 9491-2024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46216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Skogshare</t>
        </is>
      </c>
      <c r="V33">
        <f>HYPERLINK("https://klasma.github.io/Logging_1904/artfynd/A 9491-2024 artfynd.xlsx", "A 9491-2024")</f>
        <v/>
      </c>
      <c r="W33">
        <f>HYPERLINK("https://klasma.github.io/Logging_1904/kartor/A 9491-2024 karta.png", "A 9491-2024")</f>
        <v/>
      </c>
      <c r="Y33">
        <f>HYPERLINK("https://klasma.github.io/Logging_1904/klagomål/A 9491-2024 FSC-klagomål.docx", "A 9491-2024")</f>
        <v/>
      </c>
      <c r="Z33">
        <f>HYPERLINK("https://klasma.github.io/Logging_1904/klagomålsmail/A 9491-2024 FSC-klagomål mail.docx", "A 9491-2024")</f>
        <v/>
      </c>
      <c r="AA33">
        <f>HYPERLINK("https://klasma.github.io/Logging_1904/tillsyn/A 9491-2024 tillsynsbegäran.docx", "A 9491-2024")</f>
        <v/>
      </c>
      <c r="AB33">
        <f>HYPERLINK("https://klasma.github.io/Logging_1904/tillsynsmail/A 9491-2024 tillsynsbegäran mail.docx", "A 9491-2024")</f>
        <v/>
      </c>
    </row>
    <row r="34" ht="15" customHeight="1">
      <c r="A34" t="inlineStr">
        <is>
          <t>A 43413-2024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45568</v>
      </c>
      <c r="E34" s="1" t="n">
        <v>46216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Orange taggsvamp</t>
        </is>
      </c>
      <c r="V34">
        <f>HYPERLINK("https://klasma.github.io/Logging_1904/artfynd/A 43413-2024 artfynd.xlsx", "A 43413-2024")</f>
        <v/>
      </c>
      <c r="W34">
        <f>HYPERLINK("https://klasma.github.io/Logging_1904/kartor/A 43413-2024 karta.png", "A 43413-2024")</f>
        <v/>
      </c>
      <c r="Y34">
        <f>HYPERLINK("https://klasma.github.io/Logging_1904/klagomål/A 43413-2024 FSC-klagomål.docx", "A 43413-2024")</f>
        <v/>
      </c>
      <c r="Z34">
        <f>HYPERLINK("https://klasma.github.io/Logging_1904/klagomålsmail/A 43413-2024 FSC-klagomål mail.docx", "A 43413-2024")</f>
        <v/>
      </c>
      <c r="AA34">
        <f>HYPERLINK("https://klasma.github.io/Logging_1904/tillsyn/A 43413-2024 tillsynsbegäran.docx", "A 43413-2024")</f>
        <v/>
      </c>
      <c r="AB34">
        <f>HYPERLINK("https://klasma.github.io/Logging_1904/tillsynsmail/A 43413-2024 tillsynsbegäran mail.docx", "A 43413-2024")</f>
        <v/>
      </c>
    </row>
    <row r="35" ht="15" customHeight="1">
      <c r="A35" t="inlineStr">
        <is>
          <t>A 21849-2026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46150</v>
      </c>
      <c r="E35" s="1" t="n">
        <v>46216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12.5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Knärot</t>
        </is>
      </c>
      <c r="V35">
        <f>HYPERLINK("https://klasma.github.io/Logging_1904/artfynd/A 21849-2026 artfynd.xlsx", "A 21849-2026")</f>
        <v/>
      </c>
      <c r="W35">
        <f>HYPERLINK("https://klasma.github.io/Logging_1904/kartor/A 21849-2026 karta.png", "A 21849-2026")</f>
        <v/>
      </c>
      <c r="X35">
        <f>HYPERLINK("https://klasma.github.io/Logging_1904/knärot/A 21849-2026 karta knärot.png", "A 21849-2026")</f>
        <v/>
      </c>
      <c r="Y35">
        <f>HYPERLINK("https://klasma.github.io/Logging_1904/klagomål/A 21849-2026 FSC-klagomål.docx", "A 21849-2026")</f>
        <v/>
      </c>
      <c r="Z35">
        <f>HYPERLINK("https://klasma.github.io/Logging_1904/klagomålsmail/A 21849-2026 FSC-klagomål mail.docx", "A 21849-2026")</f>
        <v/>
      </c>
      <c r="AA35">
        <f>HYPERLINK("https://klasma.github.io/Logging_1904/tillsyn/A 21849-2026 tillsynsbegäran.docx", "A 21849-2026")</f>
        <v/>
      </c>
      <c r="AB35">
        <f>HYPERLINK("https://klasma.github.io/Logging_1904/tillsynsmail/A 21849-2026 tillsynsbegäran mail.docx", "A 21849-2026")</f>
        <v/>
      </c>
    </row>
    <row r="36" ht="15" customHeight="1">
      <c r="A36" t="inlineStr">
        <is>
          <t>A 26860-2026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46216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10.3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Kungsörn</t>
        </is>
      </c>
      <c r="V36">
        <f>HYPERLINK("https://klasma.github.io/Logging_1904/artfynd/A 26860-2026 artfynd.xlsx", "A 26860-2026")</f>
        <v/>
      </c>
      <c r="W36">
        <f>HYPERLINK("https://klasma.github.io/Logging_1904/kartor/A 26860-2026 karta.png", "A 26860-2026")</f>
        <v/>
      </c>
      <c r="Y36">
        <f>HYPERLINK("https://klasma.github.io/Logging_1904/klagomål/A 26860-2026 FSC-klagomål.docx", "A 26860-2026")</f>
        <v/>
      </c>
      <c r="Z36">
        <f>HYPERLINK("https://klasma.github.io/Logging_1904/klagomålsmail/A 26860-2026 FSC-klagomål mail.docx", "A 26860-2026")</f>
        <v/>
      </c>
      <c r="AA36">
        <f>HYPERLINK("https://klasma.github.io/Logging_1904/tillsyn/A 26860-2026 tillsynsbegäran.docx", "A 26860-2026")</f>
        <v/>
      </c>
      <c r="AB36">
        <f>HYPERLINK("https://klasma.github.io/Logging_1904/tillsynsmail/A 26860-2026 tillsynsbegäran mail.docx", "A 26860-2026")</f>
        <v/>
      </c>
      <c r="AC36">
        <f>HYPERLINK("https://klasma.github.io/Logging_1904/fåglar/A 26860-2026 prioriterade fågelarter.docx", "A 26860-2026")</f>
        <v/>
      </c>
    </row>
    <row r="37" ht="15" customHeight="1">
      <c r="A37" t="inlineStr">
        <is>
          <t>A 23893-2023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46216</v>
      </c>
      <c r="F37" t="inlineStr">
        <is>
          <t>VÄSTMANLANDS LÄN</t>
        </is>
      </c>
      <c r="G37" t="inlineStr">
        <is>
          <t>SKINNSKATTEBERG</t>
        </is>
      </c>
      <c r="I37" t="n">
        <v>1.6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s="2" t="inlineStr">
        <is>
          <t>Knärot</t>
        </is>
      </c>
      <c r="V37">
        <f>HYPERLINK("https://klasma.github.io/Logging_1904/artfynd/A 23893-2023 artfynd.xlsx", "A 23893-2023")</f>
        <v/>
      </c>
      <c r="W37">
        <f>HYPERLINK("https://klasma.github.io/Logging_1904/kartor/A 23893-2023 karta.png", "A 23893-2023")</f>
        <v/>
      </c>
      <c r="X37">
        <f>HYPERLINK("https://klasma.github.io/Logging_1904/knärot/A 23893-2023 karta knärot.png", "A 23893-2023")</f>
        <v/>
      </c>
      <c r="Y37">
        <f>HYPERLINK("https://klasma.github.io/Logging_1904/klagomål/A 23893-2023 FSC-klagomål.docx", "A 23893-2023")</f>
        <v/>
      </c>
      <c r="Z37">
        <f>HYPERLINK("https://klasma.github.io/Logging_1904/klagomålsmail/A 23893-2023 FSC-klagomål mail.docx", "A 23893-2023")</f>
        <v/>
      </c>
      <c r="AA37">
        <f>HYPERLINK("https://klasma.github.io/Logging_1904/tillsyn/A 23893-2023 tillsynsbegäran.docx", "A 23893-2023")</f>
        <v/>
      </c>
      <c r="AB37">
        <f>HYPERLINK("https://klasma.github.io/Logging_1904/tillsynsmail/A 23893-2023 tillsynsbegäran mail.docx", "A 23893-2023")</f>
        <v/>
      </c>
    </row>
    <row r="38" ht="15" customHeight="1">
      <c r="A38" t="inlineStr">
        <is>
          <t>A 33435-2024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45519</v>
      </c>
      <c r="E38" s="1" t="n">
        <v>46216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Nattskärra</t>
        </is>
      </c>
      <c r="V38">
        <f>HYPERLINK("https://klasma.github.io/Logging_1904/artfynd/A 33435-2024 artfynd.xlsx", "A 33435-2024")</f>
        <v/>
      </c>
      <c r="W38">
        <f>HYPERLINK("https://klasma.github.io/Logging_1904/kartor/A 33435-2024 karta.png", "A 33435-2024")</f>
        <v/>
      </c>
      <c r="Y38">
        <f>HYPERLINK("https://klasma.github.io/Logging_1904/klagomål/A 33435-2024 FSC-klagomål.docx", "A 33435-2024")</f>
        <v/>
      </c>
      <c r="Z38">
        <f>HYPERLINK("https://klasma.github.io/Logging_1904/klagomålsmail/A 33435-2024 FSC-klagomål mail.docx", "A 33435-2024")</f>
        <v/>
      </c>
      <c r="AA38">
        <f>HYPERLINK("https://klasma.github.io/Logging_1904/tillsyn/A 33435-2024 tillsynsbegäran.docx", "A 33435-2024")</f>
        <v/>
      </c>
      <c r="AB38">
        <f>HYPERLINK("https://klasma.github.io/Logging_1904/tillsynsmail/A 33435-2024 tillsynsbegäran mail.docx", "A 33435-2024")</f>
        <v/>
      </c>
      <c r="AC38">
        <f>HYPERLINK("https://klasma.github.io/Logging_1904/fåglar/A 33435-2024 prioriterade fågelarter.docx", "A 33435-2024")</f>
        <v/>
      </c>
    </row>
    <row r="39" ht="15" customHeight="1">
      <c r="A39" t="inlineStr">
        <is>
          <t>A 12024-2023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44995</v>
      </c>
      <c r="E39" s="1" t="n">
        <v>46216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Skogsklocka</t>
        </is>
      </c>
      <c r="V39">
        <f>HYPERLINK("https://klasma.github.io/Logging_1904/artfynd/A 12024-2023 artfynd.xlsx", "A 12024-2023")</f>
        <v/>
      </c>
      <c r="W39">
        <f>HYPERLINK("https://klasma.github.io/Logging_1904/kartor/A 12024-2023 karta.png", "A 12024-2023")</f>
        <v/>
      </c>
      <c r="Y39">
        <f>HYPERLINK("https://klasma.github.io/Logging_1904/klagomål/A 12024-2023 FSC-klagomål.docx", "A 12024-2023")</f>
        <v/>
      </c>
      <c r="Z39">
        <f>HYPERLINK("https://klasma.github.io/Logging_1904/klagomålsmail/A 12024-2023 FSC-klagomål mail.docx", "A 12024-2023")</f>
        <v/>
      </c>
      <c r="AA39">
        <f>HYPERLINK("https://klasma.github.io/Logging_1904/tillsyn/A 12024-2023 tillsynsbegäran.docx", "A 12024-2023")</f>
        <v/>
      </c>
      <c r="AB39">
        <f>HYPERLINK("https://klasma.github.io/Logging_1904/tillsynsmail/A 12024-2023 tillsynsbegäran mail.docx", "A 12024-2023")</f>
        <v/>
      </c>
    </row>
    <row r="40" ht="15" customHeight="1">
      <c r="A40" t="inlineStr">
        <is>
          <t>A 9490-2024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45359</v>
      </c>
      <c r="E40" s="1" t="n">
        <v>46216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Nattskärra</t>
        </is>
      </c>
      <c r="V40">
        <f>HYPERLINK("https://klasma.github.io/Logging_1904/artfynd/A 9490-2024 artfynd.xlsx", "A 9490-2024")</f>
        <v/>
      </c>
      <c r="W40">
        <f>HYPERLINK("https://klasma.github.io/Logging_1904/kartor/A 9490-2024 karta.png", "A 9490-2024")</f>
        <v/>
      </c>
      <c r="Y40">
        <f>HYPERLINK("https://klasma.github.io/Logging_1904/klagomål/A 9490-2024 FSC-klagomål.docx", "A 9490-2024")</f>
        <v/>
      </c>
      <c r="Z40">
        <f>HYPERLINK("https://klasma.github.io/Logging_1904/klagomålsmail/A 9490-2024 FSC-klagomål mail.docx", "A 9490-2024")</f>
        <v/>
      </c>
      <c r="AA40">
        <f>HYPERLINK("https://klasma.github.io/Logging_1904/tillsyn/A 9490-2024 tillsynsbegäran.docx", "A 9490-2024")</f>
        <v/>
      </c>
      <c r="AB40">
        <f>HYPERLINK("https://klasma.github.io/Logging_1904/tillsynsmail/A 9490-2024 tillsynsbegäran mail.docx", "A 9490-2024")</f>
        <v/>
      </c>
      <c r="AC40">
        <f>HYPERLINK("https://klasma.github.io/Logging_1904/fåglar/A 9490-2024 prioriterade fågelarter.docx", "A 9490-2024")</f>
        <v/>
      </c>
    </row>
    <row r="41" ht="15" customHeight="1">
      <c r="A41" t="inlineStr">
        <is>
          <t>A 4000-2024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46216</v>
      </c>
      <c r="F41" t="inlineStr">
        <is>
          <t>VÄSTMANLANDS LÄN</t>
        </is>
      </c>
      <c r="G41" t="inlineStr">
        <is>
          <t>SKINNSKATTEBERG</t>
        </is>
      </c>
      <c r="I41" t="n">
        <v>14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Klasefibbla</t>
        </is>
      </c>
      <c r="V41">
        <f>HYPERLINK("https://klasma.github.io/Logging_1904/artfynd/A 4000-2024 artfynd.xlsx", "A 4000-2024")</f>
        <v/>
      </c>
      <c r="W41">
        <f>HYPERLINK("https://klasma.github.io/Logging_1904/kartor/A 4000-2024 karta.png", "A 4000-2024")</f>
        <v/>
      </c>
      <c r="Y41">
        <f>HYPERLINK("https://klasma.github.io/Logging_1904/klagomål/A 4000-2024 FSC-klagomål.docx", "A 4000-2024")</f>
        <v/>
      </c>
      <c r="Z41">
        <f>HYPERLINK("https://klasma.github.io/Logging_1904/klagomålsmail/A 4000-2024 FSC-klagomål mail.docx", "A 4000-2024")</f>
        <v/>
      </c>
      <c r="AA41">
        <f>HYPERLINK("https://klasma.github.io/Logging_1904/tillsyn/A 4000-2024 tillsynsbegäran.docx", "A 4000-2024")</f>
        <v/>
      </c>
      <c r="AB41">
        <f>HYPERLINK("https://klasma.github.io/Logging_1904/tillsynsmail/A 4000-2024 tillsynsbegäran mail.docx", "A 4000-2024")</f>
        <v/>
      </c>
    </row>
    <row r="42" ht="15" customHeight="1">
      <c r="A42" t="inlineStr">
        <is>
          <t>A 30579-2026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46210</v>
      </c>
      <c r="E42" s="1" t="n">
        <v>46216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Motaggsvamp</t>
        </is>
      </c>
      <c r="V42">
        <f>HYPERLINK("https://klasma.github.io/Logging_1904/artfynd/A 30579-2026 artfynd.xlsx", "A 30579-2026")</f>
        <v/>
      </c>
      <c r="W42">
        <f>HYPERLINK("https://klasma.github.io/Logging_1904/kartor/A 30579-2026 karta.png", "A 30579-2026")</f>
        <v/>
      </c>
      <c r="Y42">
        <f>HYPERLINK("https://klasma.github.io/Logging_1904/klagomål/A 30579-2026 FSC-klagomål.docx", "A 30579-2026")</f>
        <v/>
      </c>
      <c r="Z42">
        <f>HYPERLINK("https://klasma.github.io/Logging_1904/klagomålsmail/A 30579-2026 FSC-klagomål mail.docx", "A 30579-2026")</f>
        <v/>
      </c>
      <c r="AA42">
        <f>HYPERLINK("https://klasma.github.io/Logging_1904/tillsyn/A 30579-2026 tillsynsbegäran.docx", "A 30579-2026")</f>
        <v/>
      </c>
      <c r="AB42">
        <f>HYPERLINK("https://klasma.github.io/Logging_1904/tillsynsmail/A 30579-2026 tillsynsbegäran mail.docx", "A 30579-2026")</f>
        <v/>
      </c>
    </row>
    <row r="43" ht="15" customHeight="1">
      <c r="A43" t="inlineStr">
        <is>
          <t>A 24492-2026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46216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HYPERLINK("https://klasma.github.io/Logging_1904/artfynd/A 24492-2026 artfynd.xlsx", "A 24492-2026")</f>
        <v/>
      </c>
      <c r="W43">
        <f>HYPERLINK("https://klasma.github.io/Logging_1904/kartor/A 24492-2026 karta.png", "A 24492-2026")</f>
        <v/>
      </c>
      <c r="Y43">
        <f>HYPERLINK("https://klasma.github.io/Logging_1904/klagomål/A 24492-2026 FSC-klagomål.docx", "A 24492-2026")</f>
        <v/>
      </c>
      <c r="Z43">
        <f>HYPERLINK("https://klasma.github.io/Logging_1904/klagomålsmail/A 24492-2026 FSC-klagomål mail.docx", "A 24492-2026")</f>
        <v/>
      </c>
      <c r="AA43">
        <f>HYPERLINK("https://klasma.github.io/Logging_1904/tillsyn/A 24492-2026 tillsynsbegäran.docx", "A 24492-2026")</f>
        <v/>
      </c>
      <c r="AB43">
        <f>HYPERLINK("https://klasma.github.io/Logging_1904/tillsynsmail/A 24492-2026 tillsynsbegäran mail.docx", "A 24492-2026")</f>
        <v/>
      </c>
      <c r="AC43">
        <f>HYPERLINK("https://klasma.github.io/Logging_1904/fåglar/A 24492-2026 prioriterade fågelarter.docx", "A 24492-2026")</f>
        <v/>
      </c>
    </row>
    <row r="44" ht="15" customHeight="1">
      <c r="A44" t="inlineStr">
        <is>
          <t>A 28312-2023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45099</v>
      </c>
      <c r="E44" s="1" t="n">
        <v>46216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Skrovlig taggsvamp</t>
        </is>
      </c>
      <c r="V44">
        <f>HYPERLINK("https://klasma.github.io/Logging_1904/artfynd/A 28312-2023 artfynd.xlsx", "A 28312-2023")</f>
        <v/>
      </c>
      <c r="W44">
        <f>HYPERLINK("https://klasma.github.io/Logging_1904/kartor/A 28312-2023 karta.png", "A 28312-2023")</f>
        <v/>
      </c>
      <c r="Y44">
        <f>HYPERLINK("https://klasma.github.io/Logging_1904/klagomål/A 28312-2023 FSC-klagomål.docx", "A 28312-2023")</f>
        <v/>
      </c>
      <c r="Z44">
        <f>HYPERLINK("https://klasma.github.io/Logging_1904/klagomålsmail/A 28312-2023 FSC-klagomål mail.docx", "A 28312-2023")</f>
        <v/>
      </c>
      <c r="AA44">
        <f>HYPERLINK("https://klasma.github.io/Logging_1904/tillsyn/A 28312-2023 tillsynsbegäran.docx", "A 28312-2023")</f>
        <v/>
      </c>
      <c r="AB44">
        <f>HYPERLINK("https://klasma.github.io/Logging_1904/tillsynsmail/A 28312-2023 tillsynsbegäran mail.docx", "A 28312-2023")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46216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s="2" t="inlineStr">
        <is>
          <t>Tjäder</t>
        </is>
      </c>
      <c r="V45">
        <f>HYPERLINK("https://klasma.github.io/Logging_1904/artfynd/S 3632-2024 artfynd.xlsx", "S 3632-2024")</f>
        <v/>
      </c>
      <c r="W45">
        <f>HYPERLINK("https://klasma.github.io/Logging_1904/kartor/S 3632-2024 karta.png", "S 3632-2024")</f>
        <v/>
      </c>
      <c r="Y45">
        <f>HYPERLINK("https://klasma.github.io/Logging_1904/klagomål/S 3632-2024 FSC-klagomål.docx", "S 3632-2024")</f>
        <v/>
      </c>
      <c r="Z45">
        <f>HYPERLINK("https://klasma.github.io/Logging_1904/klagomålsmail/S 3632-2024 FSC-klagomål mail.docx", "S 3632-2024")</f>
        <v/>
      </c>
      <c r="AA45">
        <f>HYPERLINK("https://klasma.github.io/Logging_1904/tillsyn/S 3632-2024 tillsynsbegäran.docx", "S 3632-2024")</f>
        <v/>
      </c>
      <c r="AB45">
        <f>HYPERLINK("https://klasma.github.io/Logging_1904/tillsynsmail/S 3632-2024 tillsynsbegäran mail.docx", "S 3632-2024")</f>
        <v/>
      </c>
      <c r="AC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46216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Spillkråka</t>
        </is>
      </c>
      <c r="V46">
        <f>HYPERLINK("https://klasma.github.io/Logging_1904/artfynd/S 1982-2025 artfynd.xlsx", "S 1982-2025")</f>
        <v/>
      </c>
      <c r="W46">
        <f>HYPERLINK("https://klasma.github.io/Logging_1904/kartor/S 1982-2025 karta.png", "S 1982-2025")</f>
        <v/>
      </c>
      <c r="Y46">
        <f>HYPERLINK("https://klasma.github.io/Logging_1904/klagomål/S 1982-2025 FSC-klagomål.docx", "S 1982-2025")</f>
        <v/>
      </c>
      <c r="Z46">
        <f>HYPERLINK("https://klasma.github.io/Logging_1904/klagomålsmail/S 1982-2025 FSC-klagomål mail.docx", "S 1982-2025")</f>
        <v/>
      </c>
      <c r="AA46">
        <f>HYPERLINK("https://klasma.github.io/Logging_1904/tillsyn/S 1982-2025 tillsynsbegäran.docx", "S 1982-2025")</f>
        <v/>
      </c>
      <c r="AB46">
        <f>HYPERLINK("https://klasma.github.io/Logging_1904/tillsynsmail/S 1982-2025 tillsynsbegäran mail.docx", "S 1982-2025")</f>
        <v/>
      </c>
      <c r="AC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46216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Koppartaggsvamp</t>
        </is>
      </c>
      <c r="V47">
        <f>HYPERLINK("https://klasma.github.io/Logging_1904/artfynd/S 870-2026 artfynd.xlsx", "S 870-2026")</f>
        <v/>
      </c>
      <c r="W47">
        <f>HYPERLINK("https://klasma.github.io/Logging_1904/kartor/S 870-2026 karta.png", "S 870-2026")</f>
        <v/>
      </c>
      <c r="Y47">
        <f>HYPERLINK("https://klasma.github.io/Logging_1904/klagomål/S 870-2026 FSC-klagomål.docx", "S 870-2026")</f>
        <v/>
      </c>
      <c r="Z47">
        <f>HYPERLINK("https://klasma.github.io/Logging_1904/klagomålsmail/S 870-2026 FSC-klagomål mail.docx", "S 870-2026")</f>
        <v/>
      </c>
      <c r="AA47">
        <f>HYPERLINK("https://klasma.github.io/Logging_1904/tillsyn/S 870-2026 tillsynsbegäran.docx", "S 870-2026")</f>
        <v/>
      </c>
      <c r="AB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46216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46216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46216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46216</v>
      </c>
      <c r="F51" t="inlineStr">
        <is>
          <t>VÄSTMANLANDS LÄN</t>
        </is>
      </c>
      <c r="G51" t="inlineStr">
        <is>
          <t>SKINNSKATTEBERG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16860-2022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44674</v>
      </c>
      <c r="E52" s="1" t="n">
        <v>46216</v>
      </c>
      <c r="F52" t="inlineStr">
        <is>
          <t>VÄSTMANLANDS LÄN</t>
        </is>
      </c>
      <c r="G52" t="inlineStr">
        <is>
          <t>SKINNSKATTEBERG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41866-2022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46216</v>
      </c>
      <c r="F53" t="inlineStr">
        <is>
          <t>VÄSTMANLANDS LÄN</t>
        </is>
      </c>
      <c r="G53" t="inlineStr">
        <is>
          <t>SKINNSKATTEBERG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69259-2021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46216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72634-2021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46216</v>
      </c>
      <c r="F55" t="inlineStr">
        <is>
          <t>VÄSTMANLANDS LÄN</t>
        </is>
      </c>
      <c r="G55" t="inlineStr">
        <is>
          <t>SKINNSKATTEBERG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27164-2022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46216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40918-2021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46216</v>
      </c>
      <c r="F57" t="inlineStr">
        <is>
          <t>VÄSTMANLANDS LÄN</t>
        </is>
      </c>
      <c r="G57" t="inlineStr">
        <is>
          <t>SKINNSKATTEBERG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40499-2022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44823</v>
      </c>
      <c r="E58" s="1" t="n">
        <v>46216</v>
      </c>
      <c r="F58" t="inlineStr">
        <is>
          <t>VÄSTMANLANDS LÄN</t>
        </is>
      </c>
      <c r="G58" t="inlineStr">
        <is>
          <t>SKINNSKATTEBERG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71996-2021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46216</v>
      </c>
      <c r="F59" t="inlineStr">
        <is>
          <t>VÄSTMANLANDS LÄN</t>
        </is>
      </c>
      <c r="G59" t="inlineStr">
        <is>
          <t>SKINNSKATTEBERG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68525-2021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46216</v>
      </c>
      <c r="F60" t="inlineStr">
        <is>
          <t>VÄSTMANLANDS LÄN</t>
        </is>
      </c>
      <c r="G60" t="inlineStr">
        <is>
          <t>SKINNSKATTEBERG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68540-2021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46216</v>
      </c>
      <c r="F61" t="inlineStr">
        <is>
          <t>VÄSTMANLANDS LÄN</t>
        </is>
      </c>
      <c r="G61" t="inlineStr">
        <is>
          <t>SKINNSKATTEBERG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66587-2021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46216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72684-2021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44545</v>
      </c>
      <c r="E63" s="1" t="n">
        <v>46216</v>
      </c>
      <c r="F63" t="inlineStr">
        <is>
          <t>VÄSTMANLANDS LÄN</t>
        </is>
      </c>
      <c r="G63" t="inlineStr">
        <is>
          <t>SKINNSKATTEBERG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40913-2021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44421</v>
      </c>
      <c r="E64" s="1" t="n">
        <v>46216</v>
      </c>
      <c r="F64" t="inlineStr">
        <is>
          <t>VÄSTMANLANDS LÄN</t>
        </is>
      </c>
      <c r="G64" t="inlineStr">
        <is>
          <t>SKINNSKATTEBERG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47653-2022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46216</v>
      </c>
      <c r="F65" t="inlineStr">
        <is>
          <t>VÄSTMANLANDS LÄN</t>
        </is>
      </c>
      <c r="G65" t="inlineStr">
        <is>
          <t>SKINNSKATTEBERG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46216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47658-2022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46216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46469-2021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46216</v>
      </c>
      <c r="F68" t="inlineStr">
        <is>
          <t>VÄSTMANLANDS LÄN</t>
        </is>
      </c>
      <c r="G68" t="inlineStr">
        <is>
          <t>SKINNSKATTEBERG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59417-2021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46216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41333-2023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45174</v>
      </c>
      <c r="E70" s="1" t="n">
        <v>46216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24793-2022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46216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16394-2024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45407</v>
      </c>
      <c r="E72" s="1" t="n">
        <v>46216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46216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27653-2023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46216</v>
      </c>
      <c r="F74" t="inlineStr">
        <is>
          <t>VÄSTMANLANDS LÄN</t>
        </is>
      </c>
      <c r="G74" t="inlineStr">
        <is>
          <t>SKINNSKATTEBERG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18417-2025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45762</v>
      </c>
      <c r="E75" s="1" t="n">
        <v>46216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20430-2024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45435</v>
      </c>
      <c r="E76" s="1" t="n">
        <v>46216</v>
      </c>
      <c r="F76" t="inlineStr">
        <is>
          <t>VÄSTMANLANDS LÄN</t>
        </is>
      </c>
      <c r="G76" t="inlineStr">
        <is>
          <t>SKINNSKATTEBERG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20816-2023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45058</v>
      </c>
      <c r="E77" s="1" t="n">
        <v>46216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55229-2023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45237</v>
      </c>
      <c r="E78" s="1" t="n">
        <v>46216</v>
      </c>
      <c r="F78" t="inlineStr">
        <is>
          <t>VÄSTMANLANDS LÄN</t>
        </is>
      </c>
      <c r="G78" t="inlineStr">
        <is>
          <t>SKINNSKATTEBERG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51472-2024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45604</v>
      </c>
      <c r="E79" s="1" t="n">
        <v>46216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18516-2024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45425</v>
      </c>
      <c r="E80" s="1" t="n">
        <v>46216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52532-2024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46216</v>
      </c>
      <c r="F81" t="inlineStr">
        <is>
          <t>VÄSTMANLANDS LÄN</t>
        </is>
      </c>
      <c r="G81" t="inlineStr">
        <is>
          <t>SKINNSKATTEBERG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30353-2023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46216</v>
      </c>
      <c r="F82" t="inlineStr">
        <is>
          <t>VÄSTMANLANDS LÄN</t>
        </is>
      </c>
      <c r="G82" t="inlineStr">
        <is>
          <t>SKINNSKATTEBERG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56921-2023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46216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Kyrkan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16088-2024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45406</v>
      </c>
      <c r="E84" s="1" t="n">
        <v>46216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30988-2022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46216</v>
      </c>
      <c r="F85" t="inlineStr">
        <is>
          <t>VÄSTMANLANDS LÄN</t>
        </is>
      </c>
      <c r="G85" t="inlineStr">
        <is>
          <t>SKINNSKATTEBERG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31629-2024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45506</v>
      </c>
      <c r="E86" s="1" t="n">
        <v>46216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60185-2022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44910</v>
      </c>
      <c r="E87" s="1" t="n">
        <v>46216</v>
      </c>
      <c r="F87" t="inlineStr">
        <is>
          <t>VÄSTMANLANDS LÄN</t>
        </is>
      </c>
      <c r="G87" t="inlineStr">
        <is>
          <t>SKINNSKATTEBERG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18161-2024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45420</v>
      </c>
      <c r="E88" s="1" t="n">
        <v>46216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53145-2021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44468</v>
      </c>
      <c r="E89" s="1" t="n">
        <v>46216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59578-2024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45637</v>
      </c>
      <c r="E90" s="1" t="n">
        <v>46216</v>
      </c>
      <c r="F90" t="inlineStr">
        <is>
          <t>VÄSTMANLANDS LÄN</t>
        </is>
      </c>
      <c r="G90" t="inlineStr">
        <is>
          <t>SKINNSKATTEBERG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50407-2023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45216</v>
      </c>
      <c r="E91" s="1" t="n">
        <v>46216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8199-2023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44974</v>
      </c>
      <c r="E92" s="1" t="n">
        <v>46216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Kyrkan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53243-2021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46216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11800-2024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45375</v>
      </c>
      <c r="E94" s="1" t="n">
        <v>46216</v>
      </c>
      <c r="F94" t="inlineStr">
        <is>
          <t>VÄSTMANLANDS LÄN</t>
        </is>
      </c>
      <c r="G94" t="inlineStr">
        <is>
          <t>SKINNSKATTEBERG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58317-2023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45250</v>
      </c>
      <c r="E95" s="1" t="n">
        <v>46216</v>
      </c>
      <c r="F95" t="inlineStr">
        <is>
          <t>VÄSTMANLANDS LÄN</t>
        </is>
      </c>
      <c r="G95" t="inlineStr">
        <is>
          <t>SKINNSKATTEBERG</t>
        </is>
      </c>
      <c r="I95" t="n">
        <v>10.1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20243-2024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45434</v>
      </c>
      <c r="E96" s="1" t="n">
        <v>46216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57984-2023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45247</v>
      </c>
      <c r="E97" s="1" t="n">
        <v>46216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38521-2023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45162</v>
      </c>
      <c r="E98" s="1" t="n">
        <v>46216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52696-2024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46216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25846-2025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45804</v>
      </c>
      <c r="E100" s="1" t="n">
        <v>46216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16393-2024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45407</v>
      </c>
      <c r="E101" s="1" t="n">
        <v>46216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45686</v>
      </c>
      <c r="E102" s="1" t="n">
        <v>46216</v>
      </c>
      <c r="F102" t="inlineStr">
        <is>
          <t>VÄSTMANLANDS LÄN</t>
        </is>
      </c>
      <c r="G102" t="inlineStr">
        <is>
          <t>SKINNSKATTEBERG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1069-2023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44935</v>
      </c>
      <c r="E103" s="1" t="n">
        <v>46216</v>
      </c>
      <c r="F103" t="inlineStr">
        <is>
          <t>VÄSTMANLANDS LÄN</t>
        </is>
      </c>
      <c r="G103" t="inlineStr">
        <is>
          <t>SKINNSKATTEBERG</t>
        </is>
      </c>
      <c r="I103" t="n">
        <v>10.5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39691-2025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45890</v>
      </c>
      <c r="E104" s="1" t="n">
        <v>46216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19655-2025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45770</v>
      </c>
      <c r="E105" s="1" t="n">
        <v>46216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28940-2024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45480</v>
      </c>
      <c r="E106" s="1" t="n">
        <v>46216</v>
      </c>
      <c r="F106" t="inlineStr">
        <is>
          <t>VÄSTMANLANDS LÄN</t>
        </is>
      </c>
      <c r="G106" t="inlineStr">
        <is>
          <t>SKINNSKATTEBERG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40788-2025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46216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43807-2024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45571</v>
      </c>
      <c r="E108" s="1" t="n">
        <v>46216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40776-2025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45897</v>
      </c>
      <c r="E109" s="1" t="n">
        <v>46216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40778-2025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45897</v>
      </c>
      <c r="E110" s="1" t="n">
        <v>46216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40784-2025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46216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40783-2025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45897</v>
      </c>
      <c r="E112" s="1" t="n">
        <v>46216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40782-2025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45897</v>
      </c>
      <c r="E113" s="1" t="n">
        <v>46216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28831-2025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45820</v>
      </c>
      <c r="E114" s="1" t="n">
        <v>46216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28873-2025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45820</v>
      </c>
      <c r="E115" s="1" t="n">
        <v>46216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29070-2025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45821</v>
      </c>
      <c r="E116" s="1" t="n">
        <v>46216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35706-2024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45532</v>
      </c>
      <c r="E117" s="1" t="n">
        <v>46216</v>
      </c>
      <c r="F117" t="inlineStr">
        <is>
          <t>VÄSTMANLANDS LÄN</t>
        </is>
      </c>
      <c r="G117" t="inlineStr">
        <is>
          <t>SKINNSKATTEBERG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29808-2025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45825</v>
      </c>
      <c r="E118" s="1" t="n">
        <v>46216</v>
      </c>
      <c r="F118" t="inlineStr">
        <is>
          <t>VÄSTMANLANDS LÄN</t>
        </is>
      </c>
      <c r="G118" t="inlineStr">
        <is>
          <t>SKINNSKATTEBERG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16089-2024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45406</v>
      </c>
      <c r="E119" s="1" t="n">
        <v>46216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29810-2025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45825</v>
      </c>
      <c r="E120" s="1" t="n">
        <v>46216</v>
      </c>
      <c r="F120" t="inlineStr">
        <is>
          <t>VÄSTMANLANDS LÄN</t>
        </is>
      </c>
      <c r="G120" t="inlineStr">
        <is>
          <t>SKINNSKATTEBERG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30436-2025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45827</v>
      </c>
      <c r="E121" s="1" t="n">
        <v>46216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30439-2025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45827</v>
      </c>
      <c r="E122" s="1" t="n">
        <v>46216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48825-2022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46216</v>
      </c>
      <c r="F123" t="inlineStr">
        <is>
          <t>VÄSTMANLANDS LÄN</t>
        </is>
      </c>
      <c r="G123" t="inlineStr">
        <is>
          <t>SKINNSKATTEBERG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31011-2025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45832</v>
      </c>
      <c r="E124" s="1" t="n">
        <v>46216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30873-2025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45832</v>
      </c>
      <c r="E125" s="1" t="n">
        <v>46216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31234-2025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45832</v>
      </c>
      <c r="E126" s="1" t="n">
        <v>46216</v>
      </c>
      <c r="F126" t="inlineStr">
        <is>
          <t>VÄSTMANLANDS LÄN</t>
        </is>
      </c>
      <c r="G126" t="inlineStr">
        <is>
          <t>SKINNSKATTEBERG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43185-2025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46216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45910</v>
      </c>
      <c r="E128" s="1" t="n">
        <v>46216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43190-2025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45910</v>
      </c>
      <c r="E129" s="1" t="n">
        <v>46216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44179-2025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45915</v>
      </c>
      <c r="E130" s="1" t="n">
        <v>46216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44184-2025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45915</v>
      </c>
      <c r="E131" s="1" t="n">
        <v>46216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41581-2025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45901</v>
      </c>
      <c r="E132" s="1" t="n">
        <v>46216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35059-2024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45527</v>
      </c>
      <c r="E133" s="1" t="n">
        <v>46216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45117-2025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46216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45121-2025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46216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45119-2025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46216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45126-2025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46216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45115-2025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46216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2609-2026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46037</v>
      </c>
      <c r="E139" s="1" t="n">
        <v>46216</v>
      </c>
      <c r="F139" t="inlineStr">
        <is>
          <t>VÄSTMANLANDS LÄN</t>
        </is>
      </c>
      <c r="G139" t="inlineStr">
        <is>
          <t>SKINNSKATTEBERG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57343-2023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45245</v>
      </c>
      <c r="E140" s="1" t="n">
        <v>46216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7103-2022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44603</v>
      </c>
      <c r="E141" s="1" t="n">
        <v>46216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Kyrkan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2606-2026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46037</v>
      </c>
      <c r="E142" s="1" t="n">
        <v>46216</v>
      </c>
      <c r="F142" t="inlineStr">
        <is>
          <t>VÄSTMANLANDS LÄN</t>
        </is>
      </c>
      <c r="G142" t="inlineStr">
        <is>
          <t>SKINNSKATTEBERG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47693-2023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45198</v>
      </c>
      <c r="E143" s="1" t="n">
        <v>46216</v>
      </c>
      <c r="F143" t="inlineStr">
        <is>
          <t>VÄSTMANLANDS LÄN</t>
        </is>
      </c>
      <c r="G143" t="inlineStr">
        <is>
          <t>SKINNSKATTEBERG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34720-2025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45848</v>
      </c>
      <c r="E144" s="1" t="n">
        <v>46216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6183-2023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44964</v>
      </c>
      <c r="E145" s="1" t="n">
        <v>46216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35204-2025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45853</v>
      </c>
      <c r="E146" s="1" t="n">
        <v>46216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40174-2024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45554</v>
      </c>
      <c r="E147" s="1" t="n">
        <v>46216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35205-2025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45853</v>
      </c>
      <c r="E148" s="1" t="n">
        <v>46216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11494-2023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44993</v>
      </c>
      <c r="E149" s="1" t="n">
        <v>46216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47541-2025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46216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47543-2025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46216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57747-2023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45246</v>
      </c>
      <c r="E152" s="1" t="n">
        <v>46216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49022-2025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46216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37763-2025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45880</v>
      </c>
      <c r="E154" s="1" t="n">
        <v>46216</v>
      </c>
      <c r="F154" t="inlineStr">
        <is>
          <t>VÄSTMANLANDS LÄN</t>
        </is>
      </c>
      <c r="G154" t="inlineStr">
        <is>
          <t>SKINNSKATTEBERG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54589-2024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45617</v>
      </c>
      <c r="E155" s="1" t="n">
        <v>46216</v>
      </c>
      <c r="F155" t="inlineStr">
        <is>
          <t>VÄSTMANLANDS LÄN</t>
        </is>
      </c>
      <c r="G155" t="inlineStr">
        <is>
          <t>SKINNSKATTEBERG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50672-2025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46216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14189-2024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45393</v>
      </c>
      <c r="E157" s="1" t="n">
        <v>46216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16647-2025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45754</v>
      </c>
      <c r="E158" s="1" t="n">
        <v>46216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51026-2025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45947</v>
      </c>
      <c r="E159" s="1" t="n">
        <v>46216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51028-2025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45947</v>
      </c>
      <c r="E160" s="1" t="n">
        <v>46216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51023-2025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45947</v>
      </c>
      <c r="E161" s="1" t="n">
        <v>46216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51025-2025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46216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47689-2023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45198</v>
      </c>
      <c r="E163" s="1" t="n">
        <v>46216</v>
      </c>
      <c r="F163" t="inlineStr">
        <is>
          <t>VÄSTMANLANDS LÄN</t>
        </is>
      </c>
      <c r="G163" t="inlineStr">
        <is>
          <t>SKINNSKATTEBERG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52018-2025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45952</v>
      </c>
      <c r="E164" s="1" t="n">
        <v>46216</v>
      </c>
      <c r="F164" t="inlineStr">
        <is>
          <t>VÄSTMANLANDS LÄN</t>
        </is>
      </c>
      <c r="G164" t="inlineStr">
        <is>
          <t>SKINNSKATTEBERG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21571-2023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45063</v>
      </c>
      <c r="E165" s="1" t="n">
        <v>46216</v>
      </c>
      <c r="F165" t="inlineStr">
        <is>
          <t>VÄSTMANLANDS LÄN</t>
        </is>
      </c>
      <c r="G165" t="inlineStr">
        <is>
          <t>SKINNSKATTEBERG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21579-2023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45063</v>
      </c>
      <c r="E166" s="1" t="n">
        <v>46216</v>
      </c>
      <c r="F166" t="inlineStr">
        <is>
          <t>VÄSTMANLANDS LÄN</t>
        </is>
      </c>
      <c r="G166" t="inlineStr">
        <is>
          <t>SKINNSKATTEBERG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52728-2025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45957</v>
      </c>
      <c r="E167" s="1" t="n">
        <v>46216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31262-2023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45114</v>
      </c>
      <c r="E168" s="1" t="n">
        <v>46216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53471-2025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45959</v>
      </c>
      <c r="E169" s="1" t="n">
        <v>46216</v>
      </c>
      <c r="F169" t="inlineStr">
        <is>
          <t>VÄSTMANLANDS LÄN</t>
        </is>
      </c>
      <c r="G169" t="inlineStr">
        <is>
          <t>SKINNSKATTEBERG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53132-2025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45958</v>
      </c>
      <c r="E170" s="1" t="n">
        <v>46216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53761-2025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45960</v>
      </c>
      <c r="E171" s="1" t="n">
        <v>46216</v>
      </c>
      <c r="F171" t="inlineStr">
        <is>
          <t>VÄSTMANLANDS LÄN</t>
        </is>
      </c>
      <c r="G171" t="inlineStr">
        <is>
          <t>SKINNSKATTEBERG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53539-2025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45960</v>
      </c>
      <c r="E172" s="1" t="n">
        <v>46216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43805-2024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45571</v>
      </c>
      <c r="E173" s="1" t="n">
        <v>46216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43806-2024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45571</v>
      </c>
      <c r="E174" s="1" t="n">
        <v>46216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55210-2023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45237</v>
      </c>
      <c r="E175" s="1" t="n">
        <v>46216</v>
      </c>
      <c r="F175" t="inlineStr">
        <is>
          <t>VÄSTMANLANDS LÄN</t>
        </is>
      </c>
      <c r="G175" t="inlineStr">
        <is>
          <t>SKINNSKATTEBERG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20248-2024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45434</v>
      </c>
      <c r="E176" s="1" t="n">
        <v>46216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54499-2025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46216</v>
      </c>
      <c r="F177" t="inlineStr">
        <is>
          <t>VÄSTMANLANDS LÄN</t>
        </is>
      </c>
      <c r="G177" t="inlineStr">
        <is>
          <t>SKINNSKATTEBERG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5704-2026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46051</v>
      </c>
      <c r="E178" s="1" t="n">
        <v>46216</v>
      </c>
      <c r="F178" t="inlineStr">
        <is>
          <t>VÄSTMANLANDS LÄN</t>
        </is>
      </c>
      <c r="G178" t="inlineStr">
        <is>
          <t>SKINNSKATTEBERG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55007-2025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46216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55002-2025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46216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8.699999999999999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55005-2025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46216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5693-2026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46051</v>
      </c>
      <c r="E182" s="1" t="n">
        <v>46216</v>
      </c>
      <c r="F182" t="inlineStr">
        <is>
          <t>VÄSTMANLANDS LÄN</t>
        </is>
      </c>
      <c r="G182" t="inlineStr">
        <is>
          <t>SKINNSKATTEBERG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5675-2026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46051</v>
      </c>
      <c r="E183" s="1" t="n">
        <v>46216</v>
      </c>
      <c r="F183" t="inlineStr">
        <is>
          <t>VÄSTMANLANDS LÄN</t>
        </is>
      </c>
      <c r="G183" t="inlineStr">
        <is>
          <t>SKINNSKATTEBERG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55952-2025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46216</v>
      </c>
      <c r="F184" t="inlineStr">
        <is>
          <t>VÄSTMANLANDS LÄN</t>
        </is>
      </c>
      <c r="G184" t="inlineStr">
        <is>
          <t>SKINNSKATTEBERG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55885-2025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46216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16729-2024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45410</v>
      </c>
      <c r="E186" s="1" t="n">
        <v>46216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55887-2025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46216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55889-2025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46216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56465-2025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45975</v>
      </c>
      <c r="E189" s="1" t="n">
        <v>46216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33900-2023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45134</v>
      </c>
      <c r="E190" s="1" t="n">
        <v>46216</v>
      </c>
      <c r="F190" t="inlineStr">
        <is>
          <t>VÄSTMANLANDS LÄN</t>
        </is>
      </c>
      <c r="G190" t="inlineStr">
        <is>
          <t>SKINNSKATTEBERG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27329-2023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45096</v>
      </c>
      <c r="E191" s="1" t="n">
        <v>46216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57282-2025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45979</v>
      </c>
      <c r="E192" s="1" t="n">
        <v>46216</v>
      </c>
      <c r="F192" t="inlineStr">
        <is>
          <t>VÄSTMANLANDS LÄN</t>
        </is>
      </c>
      <c r="G192" t="inlineStr">
        <is>
          <t>SKINNSKATTEBERG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6601-2026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46056</v>
      </c>
      <c r="E193" s="1" t="n">
        <v>46216</v>
      </c>
      <c r="F193" t="inlineStr">
        <is>
          <t>VÄSTMANLANDS LÄN</t>
        </is>
      </c>
      <c r="G193" t="inlineStr">
        <is>
          <t>SKINNSKATTEBERG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14237-2025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45740</v>
      </c>
      <c r="E194" s="1" t="n">
        <v>46216</v>
      </c>
      <c r="F194" t="inlineStr">
        <is>
          <t>VÄSTMANLANDS LÄN</t>
        </is>
      </c>
      <c r="G194" t="inlineStr">
        <is>
          <t>SKINNSKATTEBERG</t>
        </is>
      </c>
      <c r="I194" t="n">
        <v>10.4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16397-2024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45407</v>
      </c>
      <c r="E195" s="1" t="n">
        <v>46216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11826-2024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45376</v>
      </c>
      <c r="E196" s="1" t="n">
        <v>46216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19919-2025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45771</v>
      </c>
      <c r="E197" s="1" t="n">
        <v>46216</v>
      </c>
      <c r="F197" t="inlineStr">
        <is>
          <t>VÄSTMANLANDS LÄN</t>
        </is>
      </c>
      <c r="G197" t="inlineStr">
        <is>
          <t>SKINNSKATTEBERG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8218-2023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44974</v>
      </c>
      <c r="E198" s="1" t="n">
        <v>46216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Kyrkan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58882-2025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45987</v>
      </c>
      <c r="E199" s="1" t="n">
        <v>46216</v>
      </c>
      <c r="F199" t="inlineStr">
        <is>
          <t>VÄSTMANLANDS LÄN</t>
        </is>
      </c>
      <c r="G199" t="inlineStr">
        <is>
          <t>SKINNSKATTEBERG</t>
        </is>
      </c>
      <c r="I199" t="n">
        <v>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21908-2023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45068</v>
      </c>
      <c r="E200" s="1" t="n">
        <v>46216</v>
      </c>
      <c r="F200" t="inlineStr">
        <is>
          <t>VÄSTMANLANDS LÄN</t>
        </is>
      </c>
      <c r="G200" t="inlineStr">
        <is>
          <t>SKINNSKATTEBERG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25843-2023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45090</v>
      </c>
      <c r="E201" s="1" t="n">
        <v>46216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59710-2025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45992</v>
      </c>
      <c r="E202" s="1" t="n">
        <v>46216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59711-2025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45992</v>
      </c>
      <c r="E203" s="1" t="n">
        <v>46216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45329</v>
      </c>
      <c r="E204" s="1" t="n">
        <v>46216</v>
      </c>
      <c r="F204" t="inlineStr">
        <is>
          <t>VÄSTMANLANDS LÄN</t>
        </is>
      </c>
      <c r="G204" t="inlineStr">
        <is>
          <t>SKINNSKATTEBERG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58834-2022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44903</v>
      </c>
      <c r="E205" s="1" t="n">
        <v>46216</v>
      </c>
      <c r="F205" t="inlineStr">
        <is>
          <t>VÄSTMANLANDS LÄN</t>
        </is>
      </c>
      <c r="G205" t="inlineStr">
        <is>
          <t>SKINNSKATTEBERG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13676-2022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44648</v>
      </c>
      <c r="E206" s="1" t="n">
        <v>46216</v>
      </c>
      <c r="F206" t="inlineStr">
        <is>
          <t>VÄSTMANLANDS LÄN</t>
        </is>
      </c>
      <c r="G206" t="inlineStr">
        <is>
          <t>SKINNSKATTEBERG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61895-2025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46003</v>
      </c>
      <c r="E207" s="1" t="n">
        <v>46216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62934-2025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46009</v>
      </c>
      <c r="E208" s="1" t="n">
        <v>46216</v>
      </c>
      <c r="F208" t="inlineStr">
        <is>
          <t>VÄSTMANLANDS LÄN</t>
        </is>
      </c>
      <c r="G208" t="inlineStr">
        <is>
          <t>SKINNSKATTEBERG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41594-2025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46216</v>
      </c>
      <c r="F209" t="inlineStr">
        <is>
          <t>VÄSTMANLANDS LÄN</t>
        </is>
      </c>
      <c r="G209" t="inlineStr">
        <is>
          <t>SKINNSKATTEBERG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62933-2025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46009</v>
      </c>
      <c r="E210" s="1" t="n">
        <v>46216</v>
      </c>
      <c r="F210" t="inlineStr">
        <is>
          <t>VÄSTMANLANDS LÄN</t>
        </is>
      </c>
      <c r="G210" t="inlineStr">
        <is>
          <t>SKINNSKATTEBERG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1282-2023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44936</v>
      </c>
      <c r="E211" s="1" t="n">
        <v>46216</v>
      </c>
      <c r="F211" t="inlineStr">
        <is>
          <t>VÄSTMANLANDS LÄN</t>
        </is>
      </c>
      <c r="G211" t="inlineStr">
        <is>
          <t>SKINNSKATTEBERG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36597-2024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45537</v>
      </c>
      <c r="E212" s="1" t="n">
        <v>46216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42093-2023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45177</v>
      </c>
      <c r="E213" s="1" t="n">
        <v>46216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13350-2026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46216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13353-2026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46094</v>
      </c>
      <c r="E215" s="1" t="n">
        <v>46216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13355-2026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46094</v>
      </c>
      <c r="E216" s="1" t="n">
        <v>46216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55428-2021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44475</v>
      </c>
      <c r="E217" s="1" t="n">
        <v>46216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53880-2021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44469</v>
      </c>
      <c r="E218" s="1" t="n">
        <v>46216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52600-2021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44466</v>
      </c>
      <c r="E219" s="1" t="n">
        <v>46216</v>
      </c>
      <c r="F219" t="inlineStr">
        <is>
          <t>VÄSTMANLANDS LÄN</t>
        </is>
      </c>
      <c r="G219" t="inlineStr">
        <is>
          <t>SKINNSKATTEBERG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53183-2021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44468</v>
      </c>
      <c r="E220" s="1" t="n">
        <v>46216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18163-2024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45420</v>
      </c>
      <c r="E221" s="1" t="n">
        <v>46216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51508-2021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44462</v>
      </c>
      <c r="E222" s="1" t="n">
        <v>46216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35370-2024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45531</v>
      </c>
      <c r="E223" s="1" t="n">
        <v>46216</v>
      </c>
      <c r="F223" t="inlineStr">
        <is>
          <t>VÄSTMANLANDS LÄN</t>
        </is>
      </c>
      <c r="G223" t="inlineStr">
        <is>
          <t>SKINNSKATTEBERG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53142-2021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44468</v>
      </c>
      <c r="E224" s="1" t="n">
        <v>46216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15094-2026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46105</v>
      </c>
      <c r="E225" s="1" t="n">
        <v>46216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15737-2024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45404</v>
      </c>
      <c r="E226" s="1" t="n">
        <v>46216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15732-2026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46107</v>
      </c>
      <c r="E227" s="1" t="n">
        <v>46216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15955-2026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46108</v>
      </c>
      <c r="E228" s="1" t="n">
        <v>46216</v>
      </c>
      <c r="F228" t="inlineStr">
        <is>
          <t>VÄSTMANLANDS LÄN</t>
        </is>
      </c>
      <c r="G228" t="inlineStr">
        <is>
          <t>SKINNSKATTEBERG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15730-2026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46107</v>
      </c>
      <c r="E229" s="1" t="n">
        <v>46216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16136-2026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46108</v>
      </c>
      <c r="E230" s="1" t="n">
        <v>46216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15731-2026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46107</v>
      </c>
      <c r="E231" s="1" t="n">
        <v>46216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32316-2024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45512</v>
      </c>
      <c r="E232" s="1" t="n">
        <v>46216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16304-2026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46111</v>
      </c>
      <c r="E233" s="1" t="n">
        <v>46216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16299-2026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46111</v>
      </c>
      <c r="E234" s="1" t="n">
        <v>46216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16301-2026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46216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51475-2024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45604</v>
      </c>
      <c r="E236" s="1" t="n">
        <v>46216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17098-2026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46114</v>
      </c>
      <c r="E237" s="1" t="n">
        <v>46216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17344-2026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46119</v>
      </c>
      <c r="E238" s="1" t="n">
        <v>46216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16400-2024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45407</v>
      </c>
      <c r="E239" s="1" t="n">
        <v>46216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17933-2026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46122</v>
      </c>
      <c r="E240" s="1" t="n">
        <v>46216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49847-2021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44455</v>
      </c>
      <c r="E241" s="1" t="n">
        <v>46216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36288-2022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44803</v>
      </c>
      <c r="E242" s="1" t="n">
        <v>46216</v>
      </c>
      <c r="F242" t="inlineStr">
        <is>
          <t>VÄSTMANLANDS LÄN</t>
        </is>
      </c>
      <c r="G242" t="inlineStr">
        <is>
          <t>SKINNSKATTEBERG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17997-2026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46124</v>
      </c>
      <c r="E243" s="1" t="n">
        <v>46216</v>
      </c>
      <c r="F243" t="inlineStr">
        <is>
          <t>VÄSTMANLANDS LÄN</t>
        </is>
      </c>
      <c r="G243" t="inlineStr">
        <is>
          <t>SKINNSKATTEBERG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18948-2026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46129</v>
      </c>
      <c r="E244" s="1" t="n">
        <v>46216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19398-2024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45429</v>
      </c>
      <c r="E245" s="1" t="n">
        <v>46216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20074-2023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45054</v>
      </c>
      <c r="E246" s="1" t="n">
        <v>46216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20430-2023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45056</v>
      </c>
      <c r="E247" s="1" t="n">
        <v>46216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19540-2026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46134</v>
      </c>
      <c r="E248" s="1" t="n">
        <v>46216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25638-2026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46177</v>
      </c>
      <c r="E249" s="1" t="n">
        <v>46216</v>
      </c>
      <c r="F249" t="inlineStr">
        <is>
          <t>VÄSTMANLANDS LÄN</t>
        </is>
      </c>
      <c r="G249" t="inlineStr">
        <is>
          <t>SKINNSKATTEBERG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19541-2026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46134</v>
      </c>
      <c r="E250" s="1" t="n">
        <v>46216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25640-2026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46177</v>
      </c>
      <c r="E251" s="1" t="n">
        <v>46216</v>
      </c>
      <c r="F251" t="inlineStr">
        <is>
          <t>VÄSTMANLANDS LÄN</t>
        </is>
      </c>
      <c r="G251" t="inlineStr">
        <is>
          <t>SKINNSKATTEBERG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19582-2026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46134</v>
      </c>
      <c r="E252" s="1" t="n">
        <v>46216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13713-2024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45390</v>
      </c>
      <c r="E253" s="1" t="n">
        <v>46216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22591-2024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45447</v>
      </c>
      <c r="E254" s="1" t="n">
        <v>46216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29708-2024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45485</v>
      </c>
      <c r="E255" s="1" t="n">
        <v>46216</v>
      </c>
      <c r="F255" t="inlineStr">
        <is>
          <t>VÄSTMANLANDS LÄN</t>
        </is>
      </c>
      <c r="G255" t="inlineStr">
        <is>
          <t>SKINNSKATTEBERG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22611-2024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45447</v>
      </c>
      <c r="E256" s="1" t="n">
        <v>46216</v>
      </c>
      <c r="F256" t="inlineStr">
        <is>
          <t>VÄSTMANLANDS LÄN</t>
        </is>
      </c>
      <c r="G256" t="inlineStr">
        <is>
          <t>SKINNSKATTEBERG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40554-2024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45555</v>
      </c>
      <c r="E257" s="1" t="n">
        <v>46216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13385-2024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45387</v>
      </c>
      <c r="E258" s="1" t="n">
        <v>46216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19928-2026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46136</v>
      </c>
      <c r="E259" s="1" t="n">
        <v>46216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21576-2023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45063</v>
      </c>
      <c r="E260" s="1" t="n">
        <v>46216</v>
      </c>
      <c r="F260" t="inlineStr">
        <is>
          <t>VÄSTMANLANDS LÄN</t>
        </is>
      </c>
      <c r="G260" t="inlineStr">
        <is>
          <t>SKINNSKATTEBERG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15540-2024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45401</v>
      </c>
      <c r="E261" s="1" t="n">
        <v>46216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37432-2023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45156</v>
      </c>
      <c r="E262" s="1" t="n">
        <v>46216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25750-2026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46216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36248-2024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45534</v>
      </c>
      <c r="E264" s="1" t="n">
        <v>46216</v>
      </c>
      <c r="F264" t="inlineStr">
        <is>
          <t>VÄSTMANLANDS LÄN</t>
        </is>
      </c>
      <c r="G264" t="inlineStr">
        <is>
          <t>SKINNSKATTEBERG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25748-2026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46216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19939-2026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46136</v>
      </c>
      <c r="E266" s="1" t="n">
        <v>46216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54439-2024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45617</v>
      </c>
      <c r="E267" s="1" t="n">
        <v>46216</v>
      </c>
      <c r="F267" t="inlineStr">
        <is>
          <t>VÄSTMANLANDS LÄN</t>
        </is>
      </c>
      <c r="G267" t="inlineStr">
        <is>
          <t>SKINNSKATTEBERG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27328-2023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45096</v>
      </c>
      <c r="E268" s="1" t="n">
        <v>46216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19943-2026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46136</v>
      </c>
      <c r="E269" s="1" t="n">
        <v>46216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40545-2023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45170</v>
      </c>
      <c r="E270" s="1" t="n">
        <v>46216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40998-2024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45558</v>
      </c>
      <c r="E271" s="1" t="n">
        <v>46216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25753-2026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46178</v>
      </c>
      <c r="E272" s="1" t="n">
        <v>46216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47137-2024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45586</v>
      </c>
      <c r="E273" s="1" t="n">
        <v>46216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26354-2026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46182</v>
      </c>
      <c r="E274" s="1" t="n">
        <v>46216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10232-2025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45720</v>
      </c>
      <c r="E275" s="1" t="n">
        <v>46216</v>
      </c>
      <c r="F275" t="inlineStr">
        <is>
          <t>VÄSTMANLANDS LÄN</t>
        </is>
      </c>
      <c r="G275" t="inlineStr">
        <is>
          <t>SKINNSKATTEBERG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44693-2024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45574</v>
      </c>
      <c r="E276" s="1" t="n">
        <v>46216</v>
      </c>
      <c r="F276" t="inlineStr">
        <is>
          <t>VÄSTMANLANDS LÄN</t>
        </is>
      </c>
      <c r="G276" t="inlineStr">
        <is>
          <t>SKINNSKATTEBERG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20623-2026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46141</v>
      </c>
      <c r="E277" s="1" t="n">
        <v>46216</v>
      </c>
      <c r="F277" t="inlineStr">
        <is>
          <t>VÄSTMANLANDS LÄN</t>
        </is>
      </c>
      <c r="G277" t="inlineStr">
        <is>
          <t>SKINNSKATTEBERG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44694-2024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45574</v>
      </c>
      <c r="E278" s="1" t="n">
        <v>46216</v>
      </c>
      <c r="F278" t="inlineStr">
        <is>
          <t>VÄSTMANLANDS LÄN</t>
        </is>
      </c>
      <c r="G278" t="inlineStr">
        <is>
          <t>SKINNSKATTEBERG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20556-2026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46140</v>
      </c>
      <c r="E279" s="1" t="n">
        <v>46216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20563-2026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46140</v>
      </c>
      <c r="E280" s="1" t="n">
        <v>46216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38738-2021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44410</v>
      </c>
      <c r="E281" s="1" t="n">
        <v>46216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24427-2023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45082</v>
      </c>
      <c r="E282" s="1" t="n">
        <v>46216</v>
      </c>
      <c r="F282" t="inlineStr">
        <is>
          <t>VÄSTMANLANDS LÄN</t>
        </is>
      </c>
      <c r="G282" t="inlineStr">
        <is>
          <t>SKINNSKATTEBERG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61181-2021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44498</v>
      </c>
      <c r="E283" s="1" t="n">
        <v>46216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7.5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33396-2023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45128</v>
      </c>
      <c r="E284" s="1" t="n">
        <v>46216</v>
      </c>
      <c r="F284" t="inlineStr">
        <is>
          <t>VÄSTMANLANDS LÄN</t>
        </is>
      </c>
      <c r="G284" t="inlineStr">
        <is>
          <t>SKINNSKATTEBERG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26356-2026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46182</v>
      </c>
      <c r="E285" s="1" t="n">
        <v>46216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40320-2023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45169</v>
      </c>
      <c r="E286" s="1" t="n">
        <v>46216</v>
      </c>
      <c r="F286" t="inlineStr">
        <is>
          <t>VÄSTMANLANDS LÄN</t>
        </is>
      </c>
      <c r="G286" t="inlineStr">
        <is>
          <t>SKINNSKATTEBERG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20848-2026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46142</v>
      </c>
      <c r="E287" s="1" t="n">
        <v>46216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20840-2026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46142</v>
      </c>
      <c r="E288" s="1" t="n">
        <v>46216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40179-2024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45554</v>
      </c>
      <c r="E289" s="1" t="n">
        <v>46216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24884-2023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45085</v>
      </c>
      <c r="E290" s="1" t="n">
        <v>46216</v>
      </c>
      <c r="F290" t="inlineStr">
        <is>
          <t>VÄSTMANLANDS LÄN</t>
        </is>
      </c>
      <c r="G290" t="inlineStr">
        <is>
          <t>SKINNSKATTEBERG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20850-2026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46142</v>
      </c>
      <c r="E291" s="1" t="n">
        <v>46216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20852-2026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46142</v>
      </c>
      <c r="E292" s="1" t="n">
        <v>46216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26862-2026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46185</v>
      </c>
      <c r="E293" s="1" t="n">
        <v>46216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20856-2026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46216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20854-2026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46142</v>
      </c>
      <c r="E295" s="1" t="n">
        <v>46216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20853-2026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46142</v>
      </c>
      <c r="E296" s="1" t="n">
        <v>46216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54501-2024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45617</v>
      </c>
      <c r="E297" s="1" t="n">
        <v>46216</v>
      </c>
      <c r="F297" t="inlineStr">
        <is>
          <t>VÄSTMANLANDS LÄN</t>
        </is>
      </c>
      <c r="G297" t="inlineStr">
        <is>
          <t>SKINNSKATTEBERG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6298-2023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44965</v>
      </c>
      <c r="E298" s="1" t="n">
        <v>46216</v>
      </c>
      <c r="F298" t="inlineStr">
        <is>
          <t>VÄSTMANLANDS LÄN</t>
        </is>
      </c>
      <c r="G298" t="inlineStr">
        <is>
          <t>SKINNSKATTEBERG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31260-2023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45114</v>
      </c>
      <c r="E299" s="1" t="n">
        <v>46216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7.9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13553-2023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45006</v>
      </c>
      <c r="E300" s="1" t="n">
        <v>46216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Allmännings- och besparingsskogar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12888-2024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45385</v>
      </c>
      <c r="E301" s="1" t="n">
        <v>46216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27919-2026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46191</v>
      </c>
      <c r="E302" s="1" t="n">
        <v>46216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27637-2026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46190</v>
      </c>
      <c r="E303" s="1" t="n">
        <v>46216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15561-2024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45401</v>
      </c>
      <c r="E304" s="1" t="n">
        <v>46216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27921-2026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46191</v>
      </c>
      <c r="E305" s="1" t="n">
        <v>46216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6943-2023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44967</v>
      </c>
      <c r="E306" s="1" t="n">
        <v>46216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27634-2026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46216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43400-2024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45568</v>
      </c>
      <c r="E308" s="1" t="n">
        <v>46216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27639-2026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46190</v>
      </c>
      <c r="E309" s="1" t="n">
        <v>46216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60355-2024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45643</v>
      </c>
      <c r="E310" s="1" t="n">
        <v>46216</v>
      </c>
      <c r="F310" t="inlineStr">
        <is>
          <t>VÄSTMANLANDS LÄN</t>
        </is>
      </c>
      <c r="G310" t="inlineStr">
        <is>
          <t>SKINNSKATTEBERG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20379-2024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45435</v>
      </c>
      <c r="E311" s="1" t="n">
        <v>46216</v>
      </c>
      <c r="F311" t="inlineStr">
        <is>
          <t>VÄSTMANLANDS LÄN</t>
        </is>
      </c>
      <c r="G311" t="inlineStr">
        <is>
          <t>SKINNSKATTEBERG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11992-2023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44995</v>
      </c>
      <c r="E312" s="1" t="n">
        <v>46216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37210-2022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44806</v>
      </c>
      <c r="E313" s="1" t="n">
        <v>46216</v>
      </c>
      <c r="F313" t="inlineStr">
        <is>
          <t>VÄSTMANLANDS LÄN</t>
        </is>
      </c>
      <c r="G313" t="inlineStr">
        <is>
          <t>SKINNSKATTEBERG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54657-2022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44883</v>
      </c>
      <c r="E314" s="1" t="n">
        <v>46216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28161-2026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46195</v>
      </c>
      <c r="E315" s="1" t="n">
        <v>46216</v>
      </c>
      <c r="F315" t="inlineStr">
        <is>
          <t>VÄSTMANLANDS LÄN</t>
        </is>
      </c>
      <c r="G315" t="inlineStr">
        <is>
          <t>SKINNSKATTEBERG</t>
        </is>
      </c>
      <c r="I315" t="n">
        <v>8.5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21847-2026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46150</v>
      </c>
      <c r="E316" s="1" t="n">
        <v>46216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21848-2026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46150</v>
      </c>
      <c r="E317" s="1" t="n">
        <v>46216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40167-2024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45554</v>
      </c>
      <c r="E318" s="1" t="n">
        <v>46216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66584-2021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44519</v>
      </c>
      <c r="E319" s="1" t="n">
        <v>46216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28456-2026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46197</v>
      </c>
      <c r="E320" s="1" t="n">
        <v>46216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26866-2026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46185</v>
      </c>
      <c r="E321" s="1" t="n">
        <v>46216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37342-2023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45156</v>
      </c>
      <c r="E322" s="1" t="n">
        <v>46216</v>
      </c>
      <c r="F322" t="inlineStr">
        <is>
          <t>VÄSTMANLANDS LÄN</t>
        </is>
      </c>
      <c r="G322" t="inlineStr">
        <is>
          <t>SKINNSKATTEBERG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58987-2023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45252</v>
      </c>
      <c r="E323" s="1" t="n">
        <v>46216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31302-2024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45504</v>
      </c>
      <c r="E324" s="1" t="n">
        <v>46216</v>
      </c>
      <c r="F324" t="inlineStr">
        <is>
          <t>VÄSTMANLANDS LÄN</t>
        </is>
      </c>
      <c r="G324" t="inlineStr">
        <is>
          <t>SKINNSKATTEBERG</t>
        </is>
      </c>
      <c r="I324" t="n">
        <v>17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22260-2026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46154</v>
      </c>
      <c r="E325" s="1" t="n">
        <v>46216</v>
      </c>
      <c r="F325" t="inlineStr">
        <is>
          <t>VÄSTMANLANDS LÄN</t>
        </is>
      </c>
      <c r="G325" t="inlineStr">
        <is>
          <t>SKINNSKATTEBERG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26865-2026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46185</v>
      </c>
      <c r="E326" s="1" t="n">
        <v>46216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28458-2026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46197</v>
      </c>
      <c r="E327" s="1" t="n">
        <v>46216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28463-2026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46197</v>
      </c>
      <c r="E328" s="1" t="n">
        <v>46216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1611-2024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45306</v>
      </c>
      <c r="E329" s="1" t="n">
        <v>46216</v>
      </c>
      <c r="F329" t="inlineStr">
        <is>
          <t>VÄSTMANLANDS LÄN</t>
        </is>
      </c>
      <c r="G329" t="inlineStr">
        <is>
          <t>SKINNSKATTEBERG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1619-2024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45306</v>
      </c>
      <c r="E330" s="1" t="n">
        <v>46216</v>
      </c>
      <c r="F330" t="inlineStr">
        <is>
          <t>VÄSTMANLANDS LÄN</t>
        </is>
      </c>
      <c r="G330" t="inlineStr">
        <is>
          <t>SKINNSKATTEBERG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1620-2024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45306</v>
      </c>
      <c r="E331" s="1" t="n">
        <v>46216</v>
      </c>
      <c r="F331" t="inlineStr">
        <is>
          <t>VÄSTMANLANDS LÄN</t>
        </is>
      </c>
      <c r="G331" t="inlineStr">
        <is>
          <t>SKINNSKATTEBERG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22779-2026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46157</v>
      </c>
      <c r="E332" s="1" t="n">
        <v>46216</v>
      </c>
      <c r="F332" t="inlineStr">
        <is>
          <t>VÄSTMANLANDS LÄN</t>
        </is>
      </c>
      <c r="G332" t="inlineStr">
        <is>
          <t>SKINNSKATTEBERG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29022-2026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46199</v>
      </c>
      <c r="E333" s="1" t="n">
        <v>46216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29021-2026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46199</v>
      </c>
      <c r="E334" s="1" t="n">
        <v>46216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29026-2026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46199</v>
      </c>
      <c r="E335" s="1" t="n">
        <v>46216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40497-2023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45170</v>
      </c>
      <c r="E336" s="1" t="n">
        <v>46216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15184-2025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45744</v>
      </c>
      <c r="E337" s="1" t="n">
        <v>46216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29091-2026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46200</v>
      </c>
      <c r="E338" s="1" t="n">
        <v>46216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29090-2026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46200</v>
      </c>
      <c r="E339" s="1" t="n">
        <v>46216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41332-2023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45174</v>
      </c>
      <c r="E340" s="1" t="n">
        <v>46216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23565-2026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46216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23566-2026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46216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40549-2024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45555</v>
      </c>
      <c r="E343" s="1" t="n">
        <v>46216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42425-2023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45180</v>
      </c>
      <c r="E344" s="1" t="n">
        <v>46216</v>
      </c>
      <c r="F344" t="inlineStr">
        <is>
          <t>VÄSTMANLANDS LÄN</t>
        </is>
      </c>
      <c r="G344" t="inlineStr">
        <is>
          <t>SKINNSKATTEBERG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61424-2023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45264</v>
      </c>
      <c r="E345" s="1" t="n">
        <v>46216</v>
      </c>
      <c r="F345" t="inlineStr">
        <is>
          <t>VÄSTMANLANDS LÄN</t>
        </is>
      </c>
      <c r="G345" t="inlineStr">
        <is>
          <t>SKINNSKATTEBERG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33789-2024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45520</v>
      </c>
      <c r="E346" s="1" t="n">
        <v>46216</v>
      </c>
      <c r="F346" t="inlineStr">
        <is>
          <t>VÄSTMANLANDS LÄN</t>
        </is>
      </c>
      <c r="G346" t="inlineStr">
        <is>
          <t>SKINNSKATTEBERG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22394-2022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44713</v>
      </c>
      <c r="E347" s="1" t="n">
        <v>46216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23560-2026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46163</v>
      </c>
      <c r="E348" s="1" t="n">
        <v>46216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23561-2026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46163</v>
      </c>
      <c r="E349" s="1" t="n">
        <v>46216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23567-2026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46163</v>
      </c>
      <c r="E350" s="1" t="n">
        <v>46216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35831-2024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45532</v>
      </c>
      <c r="E351" s="1" t="n">
        <v>46216</v>
      </c>
      <c r="F351" t="inlineStr">
        <is>
          <t>VÄSTMANLANDS LÄN</t>
        </is>
      </c>
      <c r="G351" t="inlineStr">
        <is>
          <t>SKINNSKATTEBERG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35834-2024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45532</v>
      </c>
      <c r="E352" s="1" t="n">
        <v>46216</v>
      </c>
      <c r="F352" t="inlineStr">
        <is>
          <t>VÄSTMANLANDS LÄN</t>
        </is>
      </c>
      <c r="G352" t="inlineStr">
        <is>
          <t>SKINNSKATTEBERG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40176-2024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45554</v>
      </c>
      <c r="E353" s="1" t="n">
        <v>46216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19093-2023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45048</v>
      </c>
      <c r="E354" s="1" t="n">
        <v>46216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35683-2024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45532</v>
      </c>
      <c r="E355" s="1" t="n">
        <v>46216</v>
      </c>
      <c r="F355" t="inlineStr">
        <is>
          <t>VÄSTMANLANDS LÄN</t>
        </is>
      </c>
      <c r="G355" t="inlineStr">
        <is>
          <t>SKINNSKATTEBERG</t>
        </is>
      </c>
      <c r="I355" t="n">
        <v>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31268-2023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45114</v>
      </c>
      <c r="E356" s="1" t="n">
        <v>46216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24199-2026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46168</v>
      </c>
      <c r="E357" s="1" t="n">
        <v>46216</v>
      </c>
      <c r="F357" t="inlineStr">
        <is>
          <t>VÄSTMANLANDS LÄN</t>
        </is>
      </c>
      <c r="G357" t="inlineStr">
        <is>
          <t>SKINNSKATTEBERG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30471-2026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46210</v>
      </c>
      <c r="E358" s="1" t="n">
        <v>46216</v>
      </c>
      <c r="F358" t="inlineStr">
        <is>
          <t>VÄSTMANLANDS LÄN</t>
        </is>
      </c>
      <c r="G358" t="inlineStr">
        <is>
          <t>SKINNSKATTEBERG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31617-2024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45506</v>
      </c>
      <c r="E359" s="1" t="n">
        <v>46216</v>
      </c>
      <c r="F359" t="inlineStr">
        <is>
          <t>VÄSTMANLANDS LÄN</t>
        </is>
      </c>
      <c r="G359" t="inlineStr">
        <is>
          <t>SKINNSKATTEBERG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4379-2025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45686</v>
      </c>
      <c r="E360" s="1" t="n">
        <v>46216</v>
      </c>
      <c r="F360" t="inlineStr">
        <is>
          <t>VÄSTMANLANDS LÄN</t>
        </is>
      </c>
      <c r="G360" t="inlineStr">
        <is>
          <t>SKINNSKATTEBERG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24491-2026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46170</v>
      </c>
      <c r="E361" s="1" t="n">
        <v>46216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24494-2026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46170</v>
      </c>
      <c r="E362" s="1" t="n">
        <v>46216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24495-2026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46170</v>
      </c>
      <c r="E363" s="1" t="n">
        <v>46216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24489-2026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46216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24493-2026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46216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40546-2023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45170</v>
      </c>
      <c r="E366" s="1" t="n">
        <v>46216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30467-2026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46209</v>
      </c>
      <c r="E367" s="1" t="n">
        <v>46216</v>
      </c>
      <c r="F367" t="inlineStr">
        <is>
          <t>VÄSTMANLANDS LÄN</t>
        </is>
      </c>
      <c r="G367" t="inlineStr">
        <is>
          <t>SKINNSKATTEBERG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58979-2023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45252</v>
      </c>
      <c r="E368" s="1" t="n">
        <v>46216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14719-2023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45014</v>
      </c>
      <c r="E369" s="1" t="n">
        <v>46216</v>
      </c>
      <c r="F369" t="inlineStr">
        <is>
          <t>VÄSTMANLANDS LÄN</t>
        </is>
      </c>
      <c r="G369" t="inlineStr">
        <is>
          <t>SKINNSKATTEBERG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14736-2023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45014</v>
      </c>
      <c r="E370" s="1" t="n">
        <v>46216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18409-2025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45762</v>
      </c>
      <c r="E371" s="1" t="n">
        <v>46216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18109-2023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45040</v>
      </c>
      <c r="E372" s="1" t="n">
        <v>46216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40901-2021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44421</v>
      </c>
      <c r="E373" s="1" t="n">
        <v>46216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48492-2024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45592</v>
      </c>
      <c r="E374" s="1" t="n">
        <v>46216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20947-2025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45777</v>
      </c>
      <c r="E375" s="1" t="n">
        <v>46216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20949-2025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45777</v>
      </c>
      <c r="E376" s="1" t="n">
        <v>46216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12158-2024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45377</v>
      </c>
      <c r="E377" s="1" t="n">
        <v>46216</v>
      </c>
      <c r="F377" t="inlineStr">
        <is>
          <t>VÄSTMANLANDS LÄN</t>
        </is>
      </c>
      <c r="G377" t="inlineStr">
        <is>
          <t>SKINNSKATTEBERG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37730-2024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46216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50980-2022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44867</v>
      </c>
      <c r="E379" s="1" t="n">
        <v>46216</v>
      </c>
      <c r="F379" t="inlineStr">
        <is>
          <t>VÄSTMANLANDS LÄN</t>
        </is>
      </c>
      <c r="G379" t="inlineStr">
        <is>
          <t>SKINNSKATTEBERG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22280-2025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45786</v>
      </c>
      <c r="E380" s="1" t="n">
        <v>46216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38783-2024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45547</v>
      </c>
      <c r="E381" s="1" t="n">
        <v>46216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28941-2024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45480</v>
      </c>
      <c r="E382" s="1" t="n">
        <v>46216</v>
      </c>
      <c r="F382" t="inlineStr">
        <is>
          <t>VÄSTMANLANDS LÄN</t>
        </is>
      </c>
      <c r="G382" t="inlineStr">
        <is>
          <t>SKINNSKATTEBERG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22285-2025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45786</v>
      </c>
      <c r="E383" s="1" t="n">
        <v>46216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22079-2024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45443</v>
      </c>
      <c r="E384" s="1" t="n">
        <v>46216</v>
      </c>
      <c r="F384" t="inlineStr">
        <is>
          <t>VÄSTMANLANDS LÄN</t>
        </is>
      </c>
      <c r="G384" t="inlineStr">
        <is>
          <t>SKINNSKATTEBERG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35051-2024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45527</v>
      </c>
      <c r="E385" s="1" t="n">
        <v>46216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28058-2024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45476</v>
      </c>
      <c r="E386" s="1" t="n">
        <v>46216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46216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46216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46216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46216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46216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46216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46216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46216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46216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1678-2026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46182</v>
      </c>
      <c r="E396" s="1" t="n">
        <v>46216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1325-2026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46147</v>
      </c>
      <c r="E397" s="1" t="n">
        <v>46216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65.3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>
      <c r="A398" t="inlineStr">
        <is>
          <t>S 1868-2026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46199</v>
      </c>
      <c r="E398" s="1" t="n">
        <v>46216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2026-07-13T14:48:38Z</dcterms:created>
  <dcterms:modified xmlns:dcterms="http://purl.org/dc/terms/" xmlns:xsi="http://www.w3.org/2001/XMLSchema-instance" xsi:type="dcterms:W3CDTF">2026-07-13T14:48:39Z</dcterms:modified>
</cp:coreProperties>
</file>