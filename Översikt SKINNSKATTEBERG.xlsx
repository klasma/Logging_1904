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46255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46255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46255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46255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46255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46255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46255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46255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46255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46255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46255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46255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46255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46255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46255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46255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46255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46255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46255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46255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46255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46255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46255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46255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46255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9490-2024 artfynd.xlsx", "A 9490-2024")</f>
        <v/>
      </c>
      <c r="X28">
        <f>HYPERLINK("https://klasma.github.io/Logging_1904/kartor/A 9490-2024 karta.png", "A 9490-2024")</f>
        <v/>
      </c>
      <c r="Y28">
        <f>HYPERLINK("https://klasma.github.io/Logging_1904/kartor_geotiff/A 9490-2024 georefererad karta.tif", "A 9490-2024")</f>
        <v/>
      </c>
      <c r="AA28">
        <f>HYPERLINK("https://klasma.github.io/Logging_1904/klagomål/A 9490-2024 FSC-klagomål.docx", "A 9490-2024")</f>
        <v/>
      </c>
      <c r="AB28">
        <f>HYPERLINK("https://klasma.github.io/Logging_1904/klagomålsmail/A 9490-2024 FSC-klagomål mail.docx", "A 9490-2024")</f>
        <v/>
      </c>
      <c r="AC28">
        <f>HYPERLINK("https://klasma.github.io/Logging_1904/tillsyn/A 9490-2024 tillsynsbegäran.docx", "A 9490-2024")</f>
        <v/>
      </c>
      <c r="AD28">
        <f>HYPERLINK("https://klasma.github.io/Logging_1904/tillsynsmail/A 9490-2024 tillsynsbegäran mail.docx", "A 9490-2024")</f>
        <v/>
      </c>
      <c r="AE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46255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46255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HYPERLINK("https://klasma.github.io/Logging_1904/artfynd/A 47538-2025 artfynd.xlsx", "A 47538-2025")</f>
        <v/>
      </c>
      <c r="X30">
        <f>HYPERLINK("https://klasma.github.io/Logging_1904/kartor/A 47538-2025 karta.png", "A 47538-2025")</f>
        <v/>
      </c>
      <c r="Y30">
        <f>HYPERLINK("https://klasma.github.io/Logging_1904/kartor_geotiff/A 47538-2025 georefererad karta.tif", "A 47538-2025")</f>
        <v/>
      </c>
      <c r="AA30">
        <f>HYPERLINK("https://klasma.github.io/Logging_1904/klagomål/A 47538-2025 FSC-klagomål.docx", "A 47538-2025")</f>
        <v/>
      </c>
      <c r="AB30">
        <f>HYPERLINK("https://klasma.github.io/Logging_1904/klagomålsmail/A 47538-2025 FSC-klagomål mail.docx", "A 47538-2025")</f>
        <v/>
      </c>
      <c r="AC30">
        <f>HYPERLINK("https://klasma.github.io/Logging_1904/tillsyn/A 47538-2025 tillsynsbegäran.docx", "A 47538-2025")</f>
        <v/>
      </c>
      <c r="AD30">
        <f>HYPERLINK("https://klasma.github.io/Logging_1904/tillsynsmail/A 47538-2025 tillsynsbegäran mail.docx", "A 47538-2025")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46255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15734-2026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46107</v>
      </c>
      <c r="E32" s="1" t="n">
        <v>46255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Koppartaggsvamp</t>
        </is>
      </c>
      <c r="W32">
        <f>HYPERLINK("https://klasma.github.io/Logging_1904/artfynd/A 15734-2026 artfynd.xlsx", "A 15734-2026")</f>
        <v/>
      </c>
      <c r="X32">
        <f>HYPERLINK("https://klasma.github.io/Logging_1904/kartor/A 15734-2026 karta.png", "A 15734-2026")</f>
        <v/>
      </c>
      <c r="Y32">
        <f>HYPERLINK("https://klasma.github.io/Logging_1904/kartor_geotiff/A 15734-2026 georefererad karta.tif", "A 15734-2026")</f>
        <v/>
      </c>
      <c r="AA32">
        <f>HYPERLINK("https://klasma.github.io/Logging_1904/klagomål/A 15734-2026 FSC-klagomål.docx", "A 15734-2026")</f>
        <v/>
      </c>
      <c r="AB32">
        <f>HYPERLINK("https://klasma.github.io/Logging_1904/klagomålsmail/A 15734-2026 FSC-klagomål mail.docx", "A 15734-2026")</f>
        <v/>
      </c>
      <c r="AC32">
        <f>HYPERLINK("https://klasma.github.io/Logging_1904/tillsyn/A 15734-2026 tillsynsbegäran.docx", "A 15734-2026")</f>
        <v/>
      </c>
      <c r="AD32">
        <f>HYPERLINK("https://klasma.github.io/Logging_1904/tillsynsmail/A 15734-2026 tillsynsbegäran mail.docx", "A 15734-2026")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46255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46255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46255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46255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46255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Järpe</t>
        </is>
      </c>
      <c r="W37">
        <f>HYPERLINK("https://klasma.github.io/Logging_1904/artfynd/A 19205-2024 artfynd.xlsx", "A 19205-2024")</f>
        <v/>
      </c>
      <c r="X37">
        <f>HYPERLINK("https://klasma.github.io/Logging_1904/kartor/A 19205-2024 karta.png", "A 19205-2024")</f>
        <v/>
      </c>
      <c r="Y37">
        <f>HYPERLINK("https://klasma.github.io/Logging_1904/kartor_geotiff/A 19205-2024 georefererad karta.tif", "A 19205-2024")</f>
        <v/>
      </c>
      <c r="AA37">
        <f>HYPERLINK("https://klasma.github.io/Logging_1904/klagomål/A 19205-2024 FSC-klagomål.docx", "A 19205-2024")</f>
        <v/>
      </c>
      <c r="AB37">
        <f>HYPERLINK("https://klasma.github.io/Logging_1904/klagomålsmail/A 19205-2024 FSC-klagomål mail.docx", "A 19205-2024")</f>
        <v/>
      </c>
      <c r="AC37">
        <f>HYPERLINK("https://klasma.github.io/Logging_1904/tillsyn/A 19205-2024 tillsynsbegäran.docx", "A 19205-2024")</f>
        <v/>
      </c>
      <c r="AD37">
        <f>HYPERLINK("https://klasma.github.io/Logging_1904/tillsynsmail/A 19205-2024 tillsynsbegäran mail.docx", "A 19205-2024")</f>
        <v/>
      </c>
      <c r="AE37">
        <f>HYPERLINK("https://klasma.github.io/Logging_1904/fåglar/A 19205-2024 prioriterade fågelarter.docx", "A 19205-2024")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46255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20559-2026 artfynd.xlsx", "A 20559-2026")</f>
        <v/>
      </c>
      <c r="X38">
        <f>HYPERLINK("https://klasma.github.io/Logging_1904/kartor/A 20559-2026 karta.png", "A 20559-2026")</f>
        <v/>
      </c>
      <c r="Y38">
        <f>HYPERLINK("https://klasma.github.io/Logging_1904/kartor_geotiff/A 20559-2026 georefererad karta.tif", "A 20559-2026")</f>
        <v/>
      </c>
      <c r="AA38">
        <f>HYPERLINK("https://klasma.github.io/Logging_1904/klagomål/A 20559-2026 FSC-klagomål.docx", "A 20559-2026")</f>
        <v/>
      </c>
      <c r="AB38">
        <f>HYPERLINK("https://klasma.github.io/Logging_1904/klagomålsmail/A 20559-2026 FSC-klagomål mail.docx", "A 20559-2026")</f>
        <v/>
      </c>
      <c r="AC38">
        <f>HYPERLINK("https://klasma.github.io/Logging_1904/tillsyn/A 20559-2026 tillsynsbegäran.docx", "A 20559-2026")</f>
        <v/>
      </c>
      <c r="AD38">
        <f>HYPERLINK("https://klasma.github.io/Logging_1904/tillsynsmail/A 20559-2026 tillsynsbegäran mail.docx", "A 20559-2026")</f>
        <v/>
      </c>
      <c r="AE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46255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28312-2023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46255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HYPERLINK("https://klasma.github.io/Logging_1904/artfynd/A 28312-2023 artfynd.xlsx", "A 28312-2023")</f>
        <v/>
      </c>
      <c r="X41">
        <f>HYPERLINK("https://klasma.github.io/Logging_1904/kartor/A 28312-2023 karta.png", "A 28312-2023")</f>
        <v/>
      </c>
      <c r="Y41">
        <f>HYPERLINK("https://klasma.github.io/Logging_1904/kartor_geotiff/A 28312-2023 georefererad karta.tif", "A 28312-2023")</f>
        <v/>
      </c>
      <c r="AA41">
        <f>HYPERLINK("https://klasma.github.io/Logging_1904/klagomål/A 28312-2023 FSC-klagomål.docx", "A 28312-2023")</f>
        <v/>
      </c>
      <c r="AB41">
        <f>HYPERLINK("https://klasma.github.io/Logging_1904/klagomålsmail/A 28312-2023 FSC-klagomål mail.docx", "A 28312-2023")</f>
        <v/>
      </c>
      <c r="AC41">
        <f>HYPERLINK("https://klasma.github.io/Logging_1904/tillsyn/A 28312-2023 tillsynsbegäran.docx", "A 28312-2023")</f>
        <v/>
      </c>
      <c r="AD41">
        <f>HYPERLINK("https://klasma.github.io/Logging_1904/tillsynsmail/A 28312-2023 tillsynsbegäran mail.docx", "A 28312-2023")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46255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34303-2026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46255</v>
      </c>
      <c r="F44" t="inlineStr">
        <is>
          <t>VÄSTMANLANDS LÄN</t>
        </is>
      </c>
      <c r="G44" t="inlineStr">
        <is>
          <t>SKINNSKATTEBERG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HYPERLINK("https://klasma.github.io/Logging_1904/artfynd/A 34303-2026 artfynd.xlsx", "A 34303-2026")</f>
        <v/>
      </c>
      <c r="X44">
        <f>HYPERLINK("https://klasma.github.io/Logging_1904/kartor/A 34303-2026 karta.png", "A 34303-2026")</f>
        <v/>
      </c>
      <c r="Y44">
        <f>HYPERLINK("https://klasma.github.io/Logging_1904/kartor_geotiff/A 34303-2026 georefererad karta.tif", "A 34303-2026")</f>
        <v/>
      </c>
      <c r="AA44">
        <f>HYPERLINK("https://klasma.github.io/Logging_1904/klagomål/A 34303-2026 FSC-klagomål.docx", "A 34303-2026")</f>
        <v/>
      </c>
      <c r="AB44">
        <f>HYPERLINK("https://klasma.github.io/Logging_1904/klagomålsmail/A 34303-2026 FSC-klagomål mail.docx", "A 34303-2026")</f>
        <v/>
      </c>
      <c r="AC44">
        <f>HYPERLINK("https://klasma.github.io/Logging_1904/tillsyn/A 34303-2026 tillsynsbegäran.docx", "A 34303-2026")</f>
        <v/>
      </c>
      <c r="AD44">
        <f>HYPERLINK("https://klasma.github.io/Logging_1904/tillsynsmail/A 34303-2026 tillsynsbegäran mail.docx", "A 34303-2026")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46255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S 3632-2024</t>
        </is>
      </c>
      <c r="B46" t="inlineStr">
        <is>
          <t>samrådsanmälan</t>
        </is>
      </c>
      <c r="C46" t="inlineStr">
        <is>
          <t>Skogsgödsling</t>
        </is>
      </c>
      <c r="D46" s="1" t="n">
        <v>45548</v>
      </c>
      <c r="E46" s="1" t="n">
        <v>46255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196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Tjäder</t>
        </is>
      </c>
      <c r="W46">
        <f>HYPERLINK("https://klasma.github.io/Logging_1904/artfynd/S 3632-2024 artfynd.xlsx", "S 3632-2024")</f>
        <v/>
      </c>
      <c r="X46">
        <f>HYPERLINK("https://klasma.github.io/Logging_1904/kartor/S 3632-2024 karta.png", "S 3632-2024")</f>
        <v/>
      </c>
      <c r="Y46">
        <f>HYPERLINK("https://klasma.github.io/Logging_1904/kartor_geotiff/S 3632-2024 georefererad karta.tif", "S 3632-2024")</f>
        <v/>
      </c>
      <c r="AA46">
        <f>HYPERLINK("https://klasma.github.io/Logging_1904/klagomål/S 3632-2024 FSC-klagomål.docx", "S 3632-2024")</f>
        <v/>
      </c>
      <c r="AB46">
        <f>HYPERLINK("https://klasma.github.io/Logging_1904/klagomålsmail/S 3632-2024 FSC-klagomål mail.docx", "S 3632-2024")</f>
        <v/>
      </c>
      <c r="AC46">
        <f>HYPERLINK("https://klasma.github.io/Logging_1904/tillsyn/S 3632-2024 tillsynsbegäran.docx", "S 3632-2024")</f>
        <v/>
      </c>
      <c r="AD46">
        <f>HYPERLINK("https://klasma.github.io/Logging_1904/tillsynsmail/S 3632-2024 tillsynsbegäran mail.docx", "S 3632-2024")</f>
        <v/>
      </c>
      <c r="AE46">
        <f>HYPERLINK("https://klasma.github.io/Logging_1904/fåglar/S 3632-2024 prioriterade fågelarter.docx", "S 3632-2024")</f>
        <v/>
      </c>
    </row>
    <row r="47" ht="15" customHeight="1">
      <c r="A47" t="inlineStr">
        <is>
          <t>S 1982-2025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45832</v>
      </c>
      <c r="E47" s="1" t="n">
        <v>46255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HYPERLINK("https://klasma.github.io/Logging_1904/artfynd/S 1982-2025 artfynd.xlsx", "S 1982-2025")</f>
        <v/>
      </c>
      <c r="X47">
        <f>HYPERLINK("https://klasma.github.io/Logging_1904/kartor/S 1982-2025 karta.png", "S 1982-2025")</f>
        <v/>
      </c>
      <c r="Y47">
        <f>HYPERLINK("https://klasma.github.io/Logging_1904/kartor_geotiff/S 1982-2025 georefererad karta.tif", "S 1982-2025")</f>
        <v/>
      </c>
      <c r="AA47">
        <f>HYPERLINK("https://klasma.github.io/Logging_1904/klagomål/S 1982-2025 FSC-klagomål.docx", "S 1982-2025")</f>
        <v/>
      </c>
      <c r="AB47">
        <f>HYPERLINK("https://klasma.github.io/Logging_1904/klagomålsmail/S 1982-2025 FSC-klagomål mail.docx", "S 1982-2025")</f>
        <v/>
      </c>
      <c r="AC47">
        <f>HYPERLINK("https://klasma.github.io/Logging_1904/tillsyn/S 1982-2025 tillsynsbegäran.docx", "S 1982-2025")</f>
        <v/>
      </c>
      <c r="AD47">
        <f>HYPERLINK("https://klasma.github.io/Logging_1904/tillsynsmail/S 1982-2025 tillsynsbegäran mail.docx", "S 1982-2025")</f>
        <v/>
      </c>
      <c r="AE47">
        <f>HYPERLINK("https://klasma.github.io/Logging_1904/fåglar/S 1982-2025 prioriterade fågelarter.docx", "S 1982-2025")</f>
        <v/>
      </c>
    </row>
    <row r="48" ht="15" customHeight="1">
      <c r="A48" t="inlineStr">
        <is>
          <t>S 870-2026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46107</v>
      </c>
      <c r="E48" s="1" t="n">
        <v>46255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Koppartaggsvamp</t>
        </is>
      </c>
      <c r="W48">
        <f>HYPERLINK("https://klasma.github.io/Logging_1904/artfynd/S 870-2026 artfynd.xlsx", "S 870-2026")</f>
        <v/>
      </c>
      <c r="X48">
        <f>HYPERLINK("https://klasma.github.io/Logging_1904/kartor/S 870-2026 karta.png", "S 870-2026")</f>
        <v/>
      </c>
      <c r="Y48">
        <f>HYPERLINK("https://klasma.github.io/Logging_1904/kartor_geotiff/S 870-2026 georefererad karta.tif", "S 870-2026")</f>
        <v/>
      </c>
      <c r="AA48">
        <f>HYPERLINK("https://klasma.github.io/Logging_1904/klagomål/S 870-2026 FSC-klagomål.docx", "S 870-2026")</f>
        <v/>
      </c>
      <c r="AB48">
        <f>HYPERLINK("https://klasma.github.io/Logging_1904/klagomålsmail/S 870-2026 FSC-klagomål mail.docx", "S 870-2026")</f>
        <v/>
      </c>
      <c r="AC48">
        <f>HYPERLINK("https://klasma.github.io/Logging_1904/tillsyn/S 870-2026 tillsynsbegäran.docx", "S 870-2026")</f>
        <v/>
      </c>
      <c r="AD48">
        <f>HYPERLINK("https://klasma.github.io/Logging_1904/tillsynsmail/S 870-2026 tillsynsbegäran mail.docx", "S 870-2026")</f>
        <v/>
      </c>
    </row>
    <row r="49" ht="15" customHeight="1">
      <c r="A49" t="inlineStr">
        <is>
          <t>A 33600-2022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44789</v>
      </c>
      <c r="E49" s="1" t="n">
        <v>46255</v>
      </c>
      <c r="F49" t="inlineStr">
        <is>
          <t>VÄSTMANLANDS LÄN</t>
        </is>
      </c>
      <c r="G49" t="inlineStr">
        <is>
          <t>SKINNSKATTEBERG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44545</v>
      </c>
      <c r="E50" s="1" t="n">
        <v>46255</v>
      </c>
      <c r="F50" t="inlineStr">
        <is>
          <t>VÄSTMANLANDS LÄN</t>
        </is>
      </c>
      <c r="G50" t="inlineStr">
        <is>
          <t>SKINNSKATTEBERG</t>
        </is>
      </c>
      <c r="I50" t="n">
        <v>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53454-2022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44879</v>
      </c>
      <c r="E51" s="1" t="n">
        <v>46255</v>
      </c>
      <c r="F51" t="inlineStr">
        <is>
          <t>VÄSTMANLANDS LÄN</t>
        </is>
      </c>
      <c r="G51" t="inlineStr">
        <is>
          <t>SKINNSKATTEBERG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46255</v>
      </c>
      <c r="F52" t="inlineStr">
        <is>
          <t>VÄSTMANLANDS LÄN</t>
        </is>
      </c>
      <c r="G52" t="inlineStr">
        <is>
          <t>SKINNSKATTEBERG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16860-2022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44674</v>
      </c>
      <c r="E53" s="1" t="n">
        <v>46255</v>
      </c>
      <c r="F53" t="inlineStr">
        <is>
          <t>VÄSTMANLANDS LÄN</t>
        </is>
      </c>
      <c r="G53" t="inlineStr">
        <is>
          <t>SKINNSKATTEBERG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46255</v>
      </c>
      <c r="F54" t="inlineStr">
        <is>
          <t>VÄSTMANLANDS LÄN</t>
        </is>
      </c>
      <c r="G54" t="inlineStr">
        <is>
          <t>SKINNSKATTEBERG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69259-2021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46255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44545</v>
      </c>
      <c r="E56" s="1" t="n">
        <v>46255</v>
      </c>
      <c r="F56" t="inlineStr">
        <is>
          <t>VÄSTMANLANDS LÄN</t>
        </is>
      </c>
      <c r="G56" t="inlineStr">
        <is>
          <t>SKINNSKATTEBERG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46255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46255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46255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46255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46255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46255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46255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46255</v>
      </c>
      <c r="F64" t="inlineStr">
        <is>
          <t>VÄSTMANLANDS LÄN</t>
        </is>
      </c>
      <c r="G64" t="inlineStr">
        <is>
          <t>SKINNSKATTEBERG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46255</v>
      </c>
      <c r="F65" t="inlineStr">
        <is>
          <t>VÄSTMANLANDS LÄN</t>
        </is>
      </c>
      <c r="G65" t="inlineStr">
        <is>
          <t>SKINNSKATTEBERG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46255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46255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46255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46255</v>
      </c>
      <c r="F69" t="inlineStr">
        <is>
          <t>VÄSTMANLANDS LÄN</t>
        </is>
      </c>
      <c r="G69" t="inlineStr">
        <is>
          <t>SKINNSKATTEBERG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46255</v>
      </c>
      <c r="F70" t="inlineStr">
        <is>
          <t>VÄSTMANLANDS LÄN</t>
        </is>
      </c>
      <c r="G70" t="inlineStr">
        <is>
          <t>SKINNSKATTEBERG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46255</v>
      </c>
      <c r="F71" t="inlineStr">
        <is>
          <t>VÄSTMANLANDS LÄN</t>
        </is>
      </c>
      <c r="G71" t="inlineStr">
        <is>
          <t>SKINNSKATTEBERG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46255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45082</v>
      </c>
      <c r="E73" s="1" t="n">
        <v>46255</v>
      </c>
      <c r="F73" t="inlineStr">
        <is>
          <t>VÄSTMANLANDS LÄN</t>
        </is>
      </c>
      <c r="G73" t="inlineStr">
        <is>
          <t>SKINNSKATTEBERG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46255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20248-2024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45434</v>
      </c>
      <c r="E75" s="1" t="n">
        <v>46255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16393-2024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45407</v>
      </c>
      <c r="E76" s="1" t="n">
        <v>46255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45407</v>
      </c>
      <c r="E77" s="1" t="n">
        <v>46255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46255</v>
      </c>
      <c r="F78" t="inlineStr">
        <is>
          <t>VÄSTMANLANDS LÄN</t>
        </is>
      </c>
      <c r="G78" t="inlineStr">
        <is>
          <t>SKINNSKATTEBERG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46255</v>
      </c>
      <c r="F79" t="inlineStr">
        <is>
          <t>VÄSTMANLANDS LÄN</t>
        </is>
      </c>
      <c r="G79" t="inlineStr">
        <is>
          <t>SKINNSKATTEBERG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16729-2024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45410</v>
      </c>
      <c r="E80" s="1" t="n">
        <v>46255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45447</v>
      </c>
      <c r="E81" s="1" t="n">
        <v>46255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46255</v>
      </c>
      <c r="F82" t="inlineStr">
        <is>
          <t>VÄSTMANLANDS LÄN</t>
        </is>
      </c>
      <c r="G82" t="inlineStr">
        <is>
          <t>SKINNSKATTEBERG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46255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46255</v>
      </c>
      <c r="F84" t="inlineStr">
        <is>
          <t>VÄSTMANLANDS LÄN</t>
        </is>
      </c>
      <c r="G84" t="inlineStr">
        <is>
          <t>SKINNSKATTEBERG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46255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46255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46255</v>
      </c>
      <c r="F87" t="inlineStr">
        <is>
          <t>VÄSTMANLANDS LÄN</t>
        </is>
      </c>
      <c r="G87" t="inlineStr">
        <is>
          <t>SKINNSKATTEBERG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46255</v>
      </c>
      <c r="F88" t="inlineStr">
        <is>
          <t>VÄSTMANLANDS LÄN</t>
        </is>
      </c>
      <c r="G88" t="inlineStr">
        <is>
          <t>SKINNSKATTEBERG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55428-2021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44475</v>
      </c>
      <c r="E89" s="1" t="n">
        <v>46255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45054</v>
      </c>
      <c r="E90" s="1" t="n">
        <v>46255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46255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46255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45504</v>
      </c>
      <c r="E93" s="1" t="n">
        <v>46255</v>
      </c>
      <c r="F93" t="inlineStr">
        <is>
          <t>VÄSTMANLANDS LÄN</t>
        </is>
      </c>
      <c r="G93" t="inlineStr">
        <is>
          <t>SKINNSKATTEBERG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46255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45555</v>
      </c>
      <c r="E95" s="1" t="n">
        <v>46255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28873-2025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45820</v>
      </c>
      <c r="E96" s="1" t="n">
        <v>46255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28831-2025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45820</v>
      </c>
      <c r="E97" s="1" t="n">
        <v>46255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29808-2025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45825</v>
      </c>
      <c r="E98" s="1" t="n">
        <v>46255</v>
      </c>
      <c r="F98" t="inlineStr">
        <is>
          <t>VÄSTMANLANDS LÄN</t>
        </is>
      </c>
      <c r="G98" t="inlineStr">
        <is>
          <t>SKINNSKATTEBERG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45825</v>
      </c>
      <c r="E99" s="1" t="n">
        <v>46255</v>
      </c>
      <c r="F99" t="inlineStr">
        <is>
          <t>VÄSTMANLANDS LÄN</t>
        </is>
      </c>
      <c r="G99" t="inlineStr">
        <is>
          <t>SKINNSKATTEBERG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45506</v>
      </c>
      <c r="E100" s="1" t="n">
        <v>46255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30436-2025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45827</v>
      </c>
      <c r="E101" s="1" t="n">
        <v>46255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30439-2025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45827</v>
      </c>
      <c r="E102" s="1" t="n">
        <v>46255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46255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45554</v>
      </c>
      <c r="E104" s="1" t="n">
        <v>46255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44967</v>
      </c>
      <c r="E105" s="1" t="n">
        <v>46255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46255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45832</v>
      </c>
      <c r="E107" s="1" t="n">
        <v>46255</v>
      </c>
      <c r="F107" t="inlineStr">
        <is>
          <t>VÄSTMANLANDS LÄN</t>
        </is>
      </c>
      <c r="G107" t="inlineStr">
        <is>
          <t>SKINNSKATTEBERG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46255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46255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Kyrkan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46255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45848</v>
      </c>
      <c r="E111" s="1" t="n">
        <v>46255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45156</v>
      </c>
      <c r="E112" s="1" t="n">
        <v>46255</v>
      </c>
      <c r="F112" t="inlineStr">
        <is>
          <t>VÄSTMANLANDS LÄN</t>
        </is>
      </c>
      <c r="G112" t="inlineStr">
        <is>
          <t>SKINNSKATTEBERG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46255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45853</v>
      </c>
      <c r="E114" s="1" t="n">
        <v>46255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35205-2025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45853</v>
      </c>
      <c r="E115" s="1" t="n">
        <v>46255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46255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46255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40783-2025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45897</v>
      </c>
      <c r="E118" s="1" t="n">
        <v>46255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46255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46255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46255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40776-2025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45897</v>
      </c>
      <c r="E122" s="1" t="n">
        <v>46255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46255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15184-2025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45744</v>
      </c>
      <c r="E124" s="1" t="n">
        <v>46255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46255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46255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45609</v>
      </c>
      <c r="E127" s="1" t="n">
        <v>46255</v>
      </c>
      <c r="F127" t="inlineStr">
        <is>
          <t>VÄSTMANLANDS LÄN</t>
        </is>
      </c>
      <c r="G127" t="inlineStr">
        <is>
          <t>SKINNSKATTEBERG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46255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46255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45604</v>
      </c>
      <c r="E130" s="1" t="n">
        <v>46255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45880</v>
      </c>
      <c r="E131" s="1" t="n">
        <v>46255</v>
      </c>
      <c r="F131" t="inlineStr">
        <is>
          <t>VÄSTMANLANDS LÄN</t>
        </is>
      </c>
      <c r="G131" t="inlineStr">
        <is>
          <t>SKINNSKATTEBERG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46255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46255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46255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46255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46255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46255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46255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46255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45610</v>
      </c>
      <c r="E140" s="1" t="n">
        <v>46255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46255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46255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46255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46255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46255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44768</v>
      </c>
      <c r="E146" s="1" t="n">
        <v>46255</v>
      </c>
      <c r="F146" t="inlineStr">
        <is>
          <t>VÄSTMANLANDS LÄN</t>
        </is>
      </c>
      <c r="G146" t="inlineStr">
        <is>
          <t>SKINNSKATTEBERG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46255</v>
      </c>
      <c r="F147" t="inlineStr">
        <is>
          <t>VÄSTMANLANDS LÄN</t>
        </is>
      </c>
      <c r="G147" t="inlineStr">
        <is>
          <t>SKINNSKATTEBERG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46255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45947</v>
      </c>
      <c r="E149" s="1" t="n">
        <v>46255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45754</v>
      </c>
      <c r="E150" s="1" t="n">
        <v>46255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46255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46255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45947</v>
      </c>
      <c r="E153" s="1" t="n">
        <v>46255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46255</v>
      </c>
      <c r="F154" t="inlineStr">
        <is>
          <t>VÄSTMANLANDS LÄN</t>
        </is>
      </c>
      <c r="G154" t="inlineStr">
        <is>
          <t>SKINNSKATTEBERG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46255</v>
      </c>
      <c r="F155" t="inlineStr">
        <is>
          <t>VÄSTMANLANDS LÄN</t>
        </is>
      </c>
      <c r="G155" t="inlineStr">
        <is>
          <t>SKINNSKATTEBERG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45485</v>
      </c>
      <c r="E156" s="1" t="n">
        <v>46255</v>
      </c>
      <c r="F156" t="inlineStr">
        <is>
          <t>VÄSTMANLANDS LÄN</t>
        </is>
      </c>
      <c r="G156" t="inlineStr">
        <is>
          <t>SKINNSKATTEBERG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46255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46255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46255</v>
      </c>
      <c r="F159" t="inlineStr">
        <is>
          <t>VÄSTMANLANDS LÄN</t>
        </is>
      </c>
      <c r="G159" t="inlineStr">
        <is>
          <t>SKINNSKATTEBERG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46255</v>
      </c>
      <c r="F160" t="inlineStr">
        <is>
          <t>VÄSTMANLANDS LÄN</t>
        </is>
      </c>
      <c r="G160" t="inlineStr">
        <is>
          <t>SKINNSKATTEBERG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46255</v>
      </c>
      <c r="F161" t="inlineStr">
        <is>
          <t>VÄSTMANLANDS LÄN</t>
        </is>
      </c>
      <c r="G161" t="inlineStr">
        <is>
          <t>SKINNSKATTEBERG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46255</v>
      </c>
      <c r="F162" t="inlineStr">
        <is>
          <t>VÄSTMANLANDS LÄN</t>
        </is>
      </c>
      <c r="G162" t="inlineStr">
        <is>
          <t>SKINNSKATTEBERG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46255</v>
      </c>
      <c r="F163" t="inlineStr">
        <is>
          <t>VÄSTMANLANDS LÄN</t>
        </is>
      </c>
      <c r="G163" t="inlineStr">
        <is>
          <t>SKINNSKATTEBERG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46255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46255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46255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46255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46255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46255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46255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53183-2021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44468</v>
      </c>
      <c r="E171" s="1" t="n">
        <v>46255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46255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46255</v>
      </c>
      <c r="F173" t="inlineStr">
        <is>
          <t>VÄSTMANLANDS LÄN</t>
        </is>
      </c>
      <c r="G173" t="inlineStr">
        <is>
          <t>SKINNSKATTEBERG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52600-2021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44466</v>
      </c>
      <c r="E174" s="1" t="n">
        <v>46255</v>
      </c>
      <c r="F174" t="inlineStr">
        <is>
          <t>VÄSTMANLANDS LÄN</t>
        </is>
      </c>
      <c r="G174" t="inlineStr">
        <is>
          <t>SKINNSKATTEBERG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45406</v>
      </c>
      <c r="E175" s="1" t="n">
        <v>46255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45264</v>
      </c>
      <c r="E176" s="1" t="n">
        <v>46255</v>
      </c>
      <c r="F176" t="inlineStr">
        <is>
          <t>VÄSTMANLANDS LÄN</t>
        </is>
      </c>
      <c r="G176" t="inlineStr">
        <is>
          <t>SKINNSKATTEBERG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46255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46255</v>
      </c>
      <c r="F178" t="inlineStr">
        <is>
          <t>VÄSTMANLANDS LÄN</t>
        </is>
      </c>
      <c r="G178" t="inlineStr">
        <is>
          <t>SKINNSKATTEBERG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45063</v>
      </c>
      <c r="E179" s="1" t="n">
        <v>46255</v>
      </c>
      <c r="F179" t="inlineStr">
        <is>
          <t>VÄSTMANLANDS LÄN</t>
        </is>
      </c>
      <c r="G179" t="inlineStr">
        <is>
          <t>SKINNSKATTEBERG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46255</v>
      </c>
      <c r="F180" t="inlineStr">
        <is>
          <t>VÄSTMANLANDS LÄN</t>
        </is>
      </c>
      <c r="G180" t="inlineStr">
        <is>
          <t>SKINNSKATTEBERG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46255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46255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46107</v>
      </c>
      <c r="E183" s="1" t="n">
        <v>46255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46107</v>
      </c>
      <c r="E184" s="1" t="n">
        <v>46255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15731-2026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46107</v>
      </c>
      <c r="E185" s="1" t="n">
        <v>46255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46255</v>
      </c>
      <c r="F186" t="inlineStr">
        <is>
          <t>VÄSTMANLANDS LÄN</t>
        </is>
      </c>
      <c r="G186" t="inlineStr">
        <is>
          <t>SKINNSKATTEBERG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16136-2026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46108</v>
      </c>
      <c r="E187" s="1" t="n">
        <v>46255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46255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15955-2026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46108</v>
      </c>
      <c r="E189" s="1" t="n">
        <v>46255</v>
      </c>
      <c r="F189" t="inlineStr">
        <is>
          <t>VÄSTMANLANDS LÄN</t>
        </is>
      </c>
      <c r="G189" t="inlineStr">
        <is>
          <t>SKINNSKATTEBERG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45128</v>
      </c>
      <c r="E190" s="1" t="n">
        <v>46255</v>
      </c>
      <c r="F190" t="inlineStr">
        <is>
          <t>VÄSTMANLANDS LÄN</t>
        </is>
      </c>
      <c r="G190" t="inlineStr">
        <is>
          <t>SKINNSKATTEBERG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46255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46255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46255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46255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46255</v>
      </c>
      <c r="F195" t="inlineStr">
        <is>
          <t>VÄSTMANLANDS LÄN</t>
        </is>
      </c>
      <c r="G195" t="inlineStr">
        <is>
          <t>SKINNSKATTEBERG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45375</v>
      </c>
      <c r="E196" s="1" t="n">
        <v>46255</v>
      </c>
      <c r="F196" t="inlineStr">
        <is>
          <t>VÄSTMANLANDS LÄN</t>
        </is>
      </c>
      <c r="G196" t="inlineStr">
        <is>
          <t>SKINNSKATTEBERG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46255</v>
      </c>
      <c r="F197" t="inlineStr">
        <is>
          <t>VÄSTMANLANDS LÄN</t>
        </is>
      </c>
      <c r="G197" t="inlineStr">
        <is>
          <t>SKINNSKATTEBERG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46255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46255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46255</v>
      </c>
      <c r="F200" t="inlineStr">
        <is>
          <t>VÄSTMANLANDS LÄN</t>
        </is>
      </c>
      <c r="G200" t="inlineStr">
        <is>
          <t>SKINNSKATTEBERG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46255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46255</v>
      </c>
      <c r="F202" t="inlineStr">
        <is>
          <t>VÄSTMANLANDS LÄN</t>
        </is>
      </c>
      <c r="G202" t="inlineStr">
        <is>
          <t>SKINNSKATTEBERG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46255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46255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45434</v>
      </c>
      <c r="E205" s="1" t="n">
        <v>46255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46122</v>
      </c>
      <c r="E206" s="1" t="n">
        <v>46255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46255</v>
      </c>
      <c r="F207" t="inlineStr">
        <is>
          <t>VÄSTMANLANDS LÄN</t>
        </is>
      </c>
      <c r="G207" t="inlineStr">
        <is>
          <t>SKINNSKATTEBERG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46255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45429</v>
      </c>
      <c r="E209" s="1" t="n">
        <v>46255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46255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66584-2021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44519</v>
      </c>
      <c r="E211" s="1" t="n">
        <v>46255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19582-2026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46134</v>
      </c>
      <c r="E212" s="1" t="n">
        <v>46255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46255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19541-2026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46134</v>
      </c>
      <c r="E214" s="1" t="n">
        <v>46255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19540-2026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46134</v>
      </c>
      <c r="E215" s="1" t="n">
        <v>46255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46255</v>
      </c>
      <c r="F216" t="inlineStr">
        <is>
          <t>VÄSTMANLANDS LÄN</t>
        </is>
      </c>
      <c r="G216" t="inlineStr">
        <is>
          <t>SKINNSKATTEBERG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5704-2026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46051</v>
      </c>
      <c r="E217" s="1" t="n">
        <v>46255</v>
      </c>
      <c r="F217" t="inlineStr">
        <is>
          <t>VÄSTMANLANDS LÄN</t>
        </is>
      </c>
      <c r="G217" t="inlineStr">
        <is>
          <t>SKINNSKATTEBERG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45401</v>
      </c>
      <c r="E218" s="1" t="n">
        <v>46255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18161-2024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45420</v>
      </c>
      <c r="E219" s="1" t="n">
        <v>46255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5693-2026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46051</v>
      </c>
      <c r="E220" s="1" t="n">
        <v>46255</v>
      </c>
      <c r="F220" t="inlineStr">
        <is>
          <t>VÄSTMANLANDS LÄN</t>
        </is>
      </c>
      <c r="G220" t="inlineStr">
        <is>
          <t>SKINNSKATTEBERG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5675-2026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46051</v>
      </c>
      <c r="E221" s="1" t="n">
        <v>46255</v>
      </c>
      <c r="F221" t="inlineStr">
        <is>
          <t>VÄSTMANLANDS LÄN</t>
        </is>
      </c>
      <c r="G221" t="inlineStr">
        <is>
          <t>SKINNSKATTEBERG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45014</v>
      </c>
      <c r="E222" s="1" t="n">
        <v>46255</v>
      </c>
      <c r="F222" t="inlineStr">
        <is>
          <t>VÄSTMANLANDS LÄN</t>
        </is>
      </c>
      <c r="G222" t="inlineStr">
        <is>
          <t>SKINNSKATTEBERG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14736-2023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45014</v>
      </c>
      <c r="E223" s="1" t="n">
        <v>46255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46255</v>
      </c>
      <c r="F224" t="inlineStr">
        <is>
          <t>VÄSTMANLANDS LÄN</t>
        </is>
      </c>
      <c r="G224" t="inlineStr">
        <is>
          <t>SKINNSKATTEBERG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46255</v>
      </c>
      <c r="F225" t="inlineStr">
        <is>
          <t>VÄSTMANLANDS LÄN</t>
        </is>
      </c>
      <c r="G225" t="inlineStr">
        <is>
          <t>SKINNSKATTEBERG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19943-2026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46136</v>
      </c>
      <c r="E226" s="1" t="n">
        <v>46255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46255</v>
      </c>
      <c r="F227" t="inlineStr">
        <is>
          <t>VÄSTMANLANDS LÄN</t>
        </is>
      </c>
      <c r="G227" t="inlineStr">
        <is>
          <t>SKINNSKATTEBERG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46255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45170</v>
      </c>
      <c r="E229" s="1" t="n">
        <v>46255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45534</v>
      </c>
      <c r="E230" s="1" t="n">
        <v>46255</v>
      </c>
      <c r="F230" t="inlineStr">
        <is>
          <t>VÄSTMANLANDS LÄN</t>
        </is>
      </c>
      <c r="G230" t="inlineStr">
        <is>
          <t>SKINNSKATTEBERG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46140</v>
      </c>
      <c r="E231" s="1" t="n">
        <v>46255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20563-2026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46140</v>
      </c>
      <c r="E232" s="1" t="n">
        <v>46255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46255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45447</v>
      </c>
      <c r="E234" s="1" t="n">
        <v>46255</v>
      </c>
      <c r="F234" t="inlineStr">
        <is>
          <t>VÄSTMANLANDS LÄN</t>
        </is>
      </c>
      <c r="G234" t="inlineStr">
        <is>
          <t>SKINNSKATTEBERG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45770</v>
      </c>
      <c r="E235" s="1" t="n">
        <v>46255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45174</v>
      </c>
      <c r="E236" s="1" t="n">
        <v>46255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46255</v>
      </c>
      <c r="F237" t="inlineStr">
        <is>
          <t>VÄSTMANLANDS LÄN</t>
        </is>
      </c>
      <c r="G237" t="inlineStr">
        <is>
          <t>SKINNSKATTEBERG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46255</v>
      </c>
      <c r="F238" t="inlineStr">
        <is>
          <t>VÄSTMANLANDS LÄN</t>
        </is>
      </c>
      <c r="G238" t="inlineStr">
        <is>
          <t>SKINNSKATTEBERG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46255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44728</v>
      </c>
      <c r="E240" s="1" t="n">
        <v>46255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46255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46255</v>
      </c>
      <c r="F242" t="inlineStr">
        <is>
          <t>VÄSTMANLANDS LÄN</t>
        </is>
      </c>
      <c r="G242" t="inlineStr">
        <is>
          <t>SKINNSKATTEBERG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46255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46255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46255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46255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46255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46255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46255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45096</v>
      </c>
      <c r="E250" s="1" t="n">
        <v>46255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46255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46255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45169</v>
      </c>
      <c r="E253" s="1" t="n">
        <v>46255</v>
      </c>
      <c r="F253" t="inlineStr">
        <is>
          <t>VÄSTMANLANDS LÄN</t>
        </is>
      </c>
      <c r="G253" t="inlineStr">
        <is>
          <t>SKINNSKATTEBERG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46255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46255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46150</v>
      </c>
      <c r="E256" s="1" t="n">
        <v>46255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45170</v>
      </c>
      <c r="E257" s="1" t="n">
        <v>46255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45306</v>
      </c>
      <c r="E258" s="1" t="n">
        <v>46255</v>
      </c>
      <c r="F258" t="inlineStr">
        <is>
          <t>VÄSTMANLANDS LÄN</t>
        </is>
      </c>
      <c r="G258" t="inlineStr">
        <is>
          <t>SKINNSKATTEBERG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45306</v>
      </c>
      <c r="E259" s="1" t="n">
        <v>46255</v>
      </c>
      <c r="F259" t="inlineStr">
        <is>
          <t>VÄSTMANLANDS LÄN</t>
        </is>
      </c>
      <c r="G259" t="inlineStr">
        <is>
          <t>SKINNSKATTEBERG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45306</v>
      </c>
      <c r="E260" s="1" t="n">
        <v>46255</v>
      </c>
      <c r="F260" t="inlineStr">
        <is>
          <t>VÄSTMANLANDS LÄN</t>
        </is>
      </c>
      <c r="G260" t="inlineStr">
        <is>
          <t>SKINNSKATTEBERG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46255</v>
      </c>
      <c r="F261" t="inlineStr">
        <is>
          <t>VÄSTMANLANDS LÄN</t>
        </is>
      </c>
      <c r="G261" t="inlineStr">
        <is>
          <t>SKINNSKATTEBERG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46255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46255</v>
      </c>
      <c r="F263" t="inlineStr">
        <is>
          <t>VÄSTMANLANDS LÄN</t>
        </is>
      </c>
      <c r="G263" t="inlineStr">
        <is>
          <t>SKINNSKATTEBERG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22779-2026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46157</v>
      </c>
      <c r="E264" s="1" t="n">
        <v>46255</v>
      </c>
      <c r="F264" t="inlineStr">
        <is>
          <t>VÄSTMANLANDS LÄN</t>
        </is>
      </c>
      <c r="G264" t="inlineStr">
        <is>
          <t>SKINNSKATTEBERG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61181-2021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46255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46255</v>
      </c>
      <c r="F266" t="inlineStr">
        <is>
          <t>VÄSTMANLANDS LÄN</t>
        </is>
      </c>
      <c r="G266" t="inlineStr">
        <is>
          <t>SKINNSKATTEBERG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46255</v>
      </c>
      <c r="F267" t="inlineStr">
        <is>
          <t>VÄSTMANLANDS LÄN</t>
        </is>
      </c>
      <c r="G267" t="inlineStr">
        <is>
          <t>SKINNSKATTEBERG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51508-2021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44462</v>
      </c>
      <c r="E268" s="1" t="n">
        <v>46255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46255</v>
      </c>
      <c r="F269" t="inlineStr">
        <is>
          <t>VÄSTMANLANDS LÄN</t>
        </is>
      </c>
      <c r="G269" t="inlineStr">
        <is>
          <t>SKINNSKATTEBERG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46255</v>
      </c>
      <c r="F270" t="inlineStr">
        <is>
          <t>VÄSTMANLANDS LÄN</t>
        </is>
      </c>
      <c r="G270" t="inlineStr">
        <is>
          <t>SKINNSKATTEBERG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46255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23566-2026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46255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46255</v>
      </c>
      <c r="F273" t="inlineStr">
        <is>
          <t>VÄSTMANLANDS LÄN</t>
        </is>
      </c>
      <c r="G273" t="inlineStr">
        <is>
          <t>SKINNSKATTEBERG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46255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46255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46255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44859</v>
      </c>
      <c r="E277" s="1" t="n">
        <v>46255</v>
      </c>
      <c r="F277" t="inlineStr">
        <is>
          <t>VÄSTMANLANDS LÄN</t>
        </is>
      </c>
      <c r="G277" t="inlineStr">
        <is>
          <t>SKINNSKATTEBERG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53142-2021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44468</v>
      </c>
      <c r="E278" s="1" t="n">
        <v>46255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53145-2021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44468</v>
      </c>
      <c r="E279" s="1" t="n">
        <v>46255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46255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46255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45040</v>
      </c>
      <c r="E282" s="1" t="n">
        <v>46255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46255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46255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11826-2024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45376</v>
      </c>
      <c r="E285" s="1" t="n">
        <v>46255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46255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46255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45048</v>
      </c>
      <c r="E288" s="1" t="n">
        <v>46255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46255</v>
      </c>
      <c r="F289" t="inlineStr">
        <is>
          <t>VÄSTMANLANDS LÄN</t>
        </is>
      </c>
      <c r="G289" t="inlineStr">
        <is>
          <t>SKINNSKATTEBERG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57747-2023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45246</v>
      </c>
      <c r="E290" s="1" t="n">
        <v>46255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46255</v>
      </c>
      <c r="F291" t="inlineStr">
        <is>
          <t>VÄSTMANLANDS LÄN</t>
        </is>
      </c>
      <c r="G291" t="inlineStr">
        <is>
          <t>SKINNSKATTEBERG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46255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Kyrkan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46255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46255</v>
      </c>
      <c r="F294" t="inlineStr">
        <is>
          <t>VÄSTMANLANDS LÄN</t>
        </is>
      </c>
      <c r="G294" t="inlineStr">
        <is>
          <t>SKINNSKATTEBERG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46178</v>
      </c>
      <c r="E295" s="1" t="n">
        <v>46255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46255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46178</v>
      </c>
      <c r="E297" s="1" t="n">
        <v>46255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46255</v>
      </c>
      <c r="F298" t="inlineStr">
        <is>
          <t>VÄSTMANLANDS LÄN</t>
        </is>
      </c>
      <c r="G298" t="inlineStr">
        <is>
          <t>SKINNSKATTEBERG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26356-2026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46182</v>
      </c>
      <c r="E299" s="1" t="n">
        <v>46255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45252</v>
      </c>
      <c r="E300" s="1" t="n">
        <v>46255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46255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46255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46255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46255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46255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44964</v>
      </c>
      <c r="E306" s="1" t="n">
        <v>46255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46255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13713-2024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45390</v>
      </c>
      <c r="E308" s="1" t="n">
        <v>46255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53880-2021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44469</v>
      </c>
      <c r="E309" s="1" t="n">
        <v>46255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25843-2023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45090</v>
      </c>
      <c r="E310" s="1" t="n">
        <v>46255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46255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46255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46255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46255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46255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46255</v>
      </c>
      <c r="F316" t="inlineStr">
        <is>
          <t>VÄSTMANLANDS LÄN</t>
        </is>
      </c>
      <c r="G316" t="inlineStr">
        <is>
          <t>SKINNSKATTEBERG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46255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45006</v>
      </c>
      <c r="E318" s="1" t="n">
        <v>46255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Allmännings- och besparingsskogar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46255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45056</v>
      </c>
      <c r="E320" s="1" t="n">
        <v>46255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45520</v>
      </c>
      <c r="E321" s="1" t="n">
        <v>46255</v>
      </c>
      <c r="F321" t="inlineStr">
        <is>
          <t>VÄSTMANLANDS LÄN</t>
        </is>
      </c>
      <c r="G321" t="inlineStr">
        <is>
          <t>SKINNSKATTEBERG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32217-2026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46237</v>
      </c>
      <c r="E322" s="1" t="n">
        <v>46255</v>
      </c>
      <c r="F322" t="inlineStr">
        <is>
          <t>VÄSTMANLANDS LÄN</t>
        </is>
      </c>
      <c r="G322" t="inlineStr">
        <is>
          <t>SKINNSKATTEBERG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54657-2022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44883</v>
      </c>
      <c r="E323" s="1" t="n">
        <v>46255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36288-2022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44803</v>
      </c>
      <c r="E324" s="1" t="n">
        <v>46255</v>
      </c>
      <c r="F324" t="inlineStr">
        <is>
          <t>VÄSTMANLANDS LÄN</t>
        </is>
      </c>
      <c r="G324" t="inlineStr">
        <is>
          <t>SKINNSKATTEBERG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46255</v>
      </c>
      <c r="F325" t="inlineStr">
        <is>
          <t>VÄSTMANLANDS LÄN</t>
        </is>
      </c>
      <c r="G325" t="inlineStr">
        <is>
          <t>SKINNSKATTEBERG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60185-2022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46255</v>
      </c>
      <c r="F326" t="inlineStr">
        <is>
          <t>VÄSTMANLANDS LÄN</t>
        </is>
      </c>
      <c r="G326" t="inlineStr">
        <is>
          <t>SKINNSKATTEBERG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45134</v>
      </c>
      <c r="E327" s="1" t="n">
        <v>46255</v>
      </c>
      <c r="F327" t="inlineStr">
        <is>
          <t>VÄSTMANLANDS LÄN</t>
        </is>
      </c>
      <c r="G327" t="inlineStr">
        <is>
          <t>SKINNSKATTEBERG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15561-2024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45401</v>
      </c>
      <c r="E328" s="1" t="n">
        <v>46255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46255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46255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46255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46255</v>
      </c>
      <c r="F332" t="inlineStr">
        <is>
          <t>VÄSTMANLANDS LÄN</t>
        </is>
      </c>
      <c r="G332" t="inlineStr">
        <is>
          <t>SKINNSKATTEBERG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46255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48492-2024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45592</v>
      </c>
      <c r="E334" s="1" t="n">
        <v>46255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45571</v>
      </c>
      <c r="E335" s="1" t="n">
        <v>46255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43806-2024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45571</v>
      </c>
      <c r="E336" s="1" t="n">
        <v>46255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45617</v>
      </c>
      <c r="E337" s="1" t="n">
        <v>46255</v>
      </c>
      <c r="F337" t="inlineStr">
        <is>
          <t>VÄSTMANLANDS LÄN</t>
        </is>
      </c>
      <c r="G337" t="inlineStr">
        <is>
          <t>SKINNSKATTEBERG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46255</v>
      </c>
      <c r="F338" t="inlineStr">
        <is>
          <t>VÄSTMANLANDS LÄN</t>
        </is>
      </c>
      <c r="G338" t="inlineStr">
        <is>
          <t>SKINNSKATTEBERG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46197</v>
      </c>
      <c r="E339" s="1" t="n">
        <v>46255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45393</v>
      </c>
      <c r="E340" s="1" t="n">
        <v>46255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45506</v>
      </c>
      <c r="E341" s="1" t="n">
        <v>46255</v>
      </c>
      <c r="F341" t="inlineStr">
        <is>
          <t>VÄSTMANLANDS LÄN</t>
        </is>
      </c>
      <c r="G341" t="inlineStr">
        <is>
          <t>SKINNSKATTEBERG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40545-2023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45170</v>
      </c>
      <c r="E342" s="1" t="n">
        <v>46255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46200</v>
      </c>
      <c r="E343" s="1" t="n">
        <v>46255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46255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45604</v>
      </c>
      <c r="E345" s="1" t="n">
        <v>46255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46200</v>
      </c>
      <c r="E346" s="1" t="n">
        <v>46255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46255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46255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46255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46255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46244</v>
      </c>
      <c r="E351" s="1" t="n">
        <v>46255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44935</v>
      </c>
      <c r="E352" s="1" t="n">
        <v>46255</v>
      </c>
      <c r="F352" t="inlineStr">
        <is>
          <t>VÄSTMANLANDS LÄN</t>
        </is>
      </c>
      <c r="G352" t="inlineStr">
        <is>
          <t>SKINNSKATTEBERG</t>
        </is>
      </c>
      <c r="I352" t="n">
        <v>10.5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46255</v>
      </c>
      <c r="F353" t="inlineStr">
        <is>
          <t>VÄSTMANLANDS LÄN</t>
        </is>
      </c>
      <c r="G353" t="inlineStr">
        <is>
          <t>SKINNSKATTEBERG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37432-2023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46255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46247</v>
      </c>
      <c r="E355" s="1" t="n">
        <v>46255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33553-2026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46248</v>
      </c>
      <c r="E356" s="1" t="n">
        <v>46255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29026-2026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46199</v>
      </c>
      <c r="E357" s="1" t="n">
        <v>46255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45385</v>
      </c>
      <c r="E358" s="1" t="n">
        <v>46255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45571</v>
      </c>
      <c r="E359" s="1" t="n">
        <v>46255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45740</v>
      </c>
      <c r="E360" s="1" t="n">
        <v>46255</v>
      </c>
      <c r="F360" t="inlineStr">
        <is>
          <t>VÄSTMANLANDS LÄN</t>
        </is>
      </c>
      <c r="G360" t="inlineStr">
        <is>
          <t>SKINNSKATTEBERG</t>
        </is>
      </c>
      <c r="I360" t="n">
        <v>10.4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45096</v>
      </c>
      <c r="E361" s="1" t="n">
        <v>46255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45554</v>
      </c>
      <c r="E362" s="1" t="n">
        <v>46255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45617</v>
      </c>
      <c r="E363" s="1" t="n">
        <v>46255</v>
      </c>
      <c r="F363" t="inlineStr">
        <is>
          <t>VÄSTMANLANDS LÄN</t>
        </is>
      </c>
      <c r="G363" t="inlineStr">
        <is>
          <t>SKINNSKATTEBERG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46255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45777</v>
      </c>
      <c r="E365" s="1" t="n">
        <v>46255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46255</v>
      </c>
      <c r="F366" t="inlineStr">
        <is>
          <t>VÄSTMANLANDS LÄN</t>
        </is>
      </c>
      <c r="G366" t="inlineStr">
        <is>
          <t>SKINNSKATTEBERG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50980-2022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44867</v>
      </c>
      <c r="E367" s="1" t="n">
        <v>46255</v>
      </c>
      <c r="F367" t="inlineStr">
        <is>
          <t>VÄSTMANLANDS LÄN</t>
        </is>
      </c>
      <c r="G367" t="inlineStr">
        <is>
          <t>SKINNSKATTEBERG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46253</v>
      </c>
      <c r="E368" s="1" t="n">
        <v>46255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46237</v>
      </c>
      <c r="E369" s="1" t="n">
        <v>46255</v>
      </c>
      <c r="F369" t="inlineStr">
        <is>
          <t>VÄSTMANLANDS LÄN</t>
        </is>
      </c>
      <c r="G369" t="inlineStr">
        <is>
          <t>SKINNSKATTEBERG</t>
        </is>
      </c>
      <c r="I369" t="n">
        <v>12.2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46255</v>
      </c>
      <c r="F370" t="inlineStr">
        <is>
          <t>VÄSTMANLANDS LÄN</t>
        </is>
      </c>
      <c r="G370" t="inlineStr">
        <is>
          <t>SKINNSKATTEBERG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46255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45547</v>
      </c>
      <c r="E372" s="1" t="n">
        <v>46255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45480</v>
      </c>
      <c r="E373" s="1" t="n">
        <v>46255</v>
      </c>
      <c r="F373" t="inlineStr">
        <is>
          <t>VÄSTMANLANDS LÄN</t>
        </is>
      </c>
      <c r="G373" t="inlineStr">
        <is>
          <t>SKINNSKATTEBERG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22285-2025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45786</v>
      </c>
      <c r="E374" s="1" t="n">
        <v>46255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46255</v>
      </c>
      <c r="F375" t="inlineStr">
        <is>
          <t>VÄSTMANLANDS LÄN</t>
        </is>
      </c>
      <c r="G375" t="inlineStr">
        <is>
          <t>SKINNSKATTEBERG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45476</v>
      </c>
      <c r="E376" s="1" t="n">
        <v>46255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45527</v>
      </c>
      <c r="E377" s="1" t="n">
        <v>46255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25846-2025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45804</v>
      </c>
      <c r="E378" s="1" t="n">
        <v>46255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45480</v>
      </c>
      <c r="E379" s="1" t="n">
        <v>46255</v>
      </c>
      <c r="F379" t="inlineStr">
        <is>
          <t>VÄSTMANLANDS LÄN</t>
        </is>
      </c>
      <c r="G379" t="inlineStr">
        <is>
          <t>SKINNSKATTEBERG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46255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46255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46255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46255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46255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46255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2026-08-21T01:53:19Z</dcterms:created>
  <dcterms:modified xmlns:dcterms="http://purl.org/dc/terms/" xmlns:xsi="http://www.w3.org/2001/XMLSchema-instance" xsi:type="dcterms:W3CDTF">2026-08-21T01:53:19Z</dcterms:modified>
</cp:coreProperties>
</file>