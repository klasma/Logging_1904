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46284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46284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46284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46284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46284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46284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46284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46284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46284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46284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46284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46284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34303-2026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46254</v>
      </c>
      <c r="E17" s="1" t="n">
        <v>46284</v>
      </c>
      <c r="F17" t="inlineStr">
        <is>
          <t>VÄSTMANLANDS LÄN</t>
        </is>
      </c>
      <c r="G17" t="inlineStr">
        <is>
          <t>SKINNSKATTEBERG</t>
        </is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2</v>
      </c>
      <c r="V17" s="2" t="inlineStr">
        <is>
          <t>Skogsalm
Tibast
Brudborste</t>
        </is>
      </c>
      <c r="W17">
        <f>HYPERLINK("https://klasma.github.io/Logging_1904/artfynd/A 34303-2026 artfynd.xlsx", "A 34303-2026")</f>
        <v/>
      </c>
      <c r="X17">
        <f>HYPERLINK("https://klasma.github.io/Logging_1904/kartor/A 34303-2026 karta.png", "A 34303-2026")</f>
        <v/>
      </c>
      <c r="Y17">
        <f>HYPERLINK("https://klasma.github.io/Logging_1904/kartor_geotiff/A 34303-2026 georefererad karta.tif", "A 34303-2026")</f>
        <v/>
      </c>
      <c r="AA17">
        <f>HYPERLINK("https://klasma.github.io/Logging_1904/klagomål/A 34303-2026 FSC-klagomål.docx", "A 34303-2026")</f>
        <v/>
      </c>
      <c r="AB17">
        <f>HYPERLINK("https://klasma.github.io/Logging_1904/klagomålsmail/A 34303-2026 FSC-klagomål mail.docx", "A 34303-2026")</f>
        <v/>
      </c>
      <c r="AC17">
        <f>HYPERLINK("https://klasma.github.io/Logging_1904/tillsyn/A 34303-2026 tillsynsbegäran.docx", "A 34303-2026")</f>
        <v/>
      </c>
      <c r="AD17">
        <f>HYPERLINK("https://klasma.github.io/Logging_1904/tillsynsmail/A 34303-2026 tillsynsbegäran mail.docx", "A 34303-2026")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46284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46284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46284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46284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46284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46284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57747-2023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45246</v>
      </c>
      <c r="E24" s="1" t="n">
        <v>46284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Myopa fasciata</t>
        </is>
      </c>
      <c r="W24">
        <f>HYPERLINK("https://klasma.github.io/Logging_1904/artfynd/A 57747-2023 artfynd.xlsx", "A 57747-2023")</f>
        <v/>
      </c>
      <c r="X24">
        <f>HYPERLINK("https://klasma.github.io/Logging_1904/kartor/A 57747-2023 karta.png", "A 57747-2023")</f>
        <v/>
      </c>
      <c r="Y24">
        <f>HYPERLINK("https://klasma.github.io/Logging_1904/kartor_geotiff/A 57747-2023 georefererad karta.tif", "A 57747-2023")</f>
        <v/>
      </c>
      <c r="AA24">
        <f>HYPERLINK("https://klasma.github.io/Logging_1904/klagomål/A 57747-2023 FSC-klagomål.docx", "A 57747-2023")</f>
        <v/>
      </c>
      <c r="AB24">
        <f>HYPERLINK("https://klasma.github.io/Logging_1904/klagomålsmail/A 57747-2023 FSC-klagomål mail.docx", "A 57747-2023")</f>
        <v/>
      </c>
      <c r="AC24">
        <f>HYPERLINK("https://klasma.github.io/Logging_1904/tillsyn/A 57747-2023 tillsynsbegäran.docx", "A 57747-2023")</f>
        <v/>
      </c>
      <c r="AD24">
        <f>HYPERLINK("https://klasma.github.io/Logging_1904/tillsynsmail/A 57747-2023 tillsynsbegäran mail.docx", "A 57747-2023")</f>
        <v/>
      </c>
    </row>
    <row r="25" ht="15" customHeight="1">
      <c r="A25" t="inlineStr">
        <is>
          <t>A 49630-2024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46284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HYPERLINK("https://klasma.github.io/Logging_1904/artfynd/A 49630-2024 artfynd.xlsx", "A 49630-2024")</f>
        <v/>
      </c>
      <c r="X25">
        <f>HYPERLINK("https://klasma.github.io/Logging_1904/kartor/A 49630-2024 karta.png", "A 49630-2024")</f>
        <v/>
      </c>
      <c r="Y25">
        <f>HYPERLINK("https://klasma.github.io/Logging_1904/kartor_geotiff/A 49630-2024 georefererad karta.tif", "A 49630-2024")</f>
        <v/>
      </c>
      <c r="AA25">
        <f>HYPERLINK("https://klasma.github.io/Logging_1904/klagomål/A 49630-2024 FSC-klagomål.docx", "A 49630-2024")</f>
        <v/>
      </c>
      <c r="AB25">
        <f>HYPERLINK("https://klasma.github.io/Logging_1904/klagomålsmail/A 49630-2024 FSC-klagomål mail.docx", "A 49630-2024")</f>
        <v/>
      </c>
      <c r="AC25">
        <f>HYPERLINK("https://klasma.github.io/Logging_1904/tillsyn/A 49630-2024 tillsynsbegäran.docx", "A 49630-2024")</f>
        <v/>
      </c>
      <c r="AD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46284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Järpe</t>
        </is>
      </c>
      <c r="W26">
        <f>HYPERLINK("https://klasma.github.io/Logging_1904/artfynd/A 19205-2024 artfynd.xlsx", "A 19205-2024")</f>
        <v/>
      </c>
      <c r="X26">
        <f>HYPERLINK("https://klasma.github.io/Logging_1904/kartor/A 19205-2024 karta.png", "A 19205-2024")</f>
        <v/>
      </c>
      <c r="Y26">
        <f>HYPERLINK("https://klasma.github.io/Logging_1904/kartor_geotiff/A 19205-2024 georefererad karta.tif", "A 19205-2024")</f>
        <v/>
      </c>
      <c r="AA26">
        <f>HYPERLINK("https://klasma.github.io/Logging_1904/klagomål/A 19205-2024 FSC-klagomål.docx", "A 19205-2024")</f>
        <v/>
      </c>
      <c r="AB26">
        <f>HYPERLINK("https://klasma.github.io/Logging_1904/klagomålsmail/A 19205-2024 FSC-klagomål mail.docx", "A 19205-2024")</f>
        <v/>
      </c>
      <c r="AC26">
        <f>HYPERLINK("https://klasma.github.io/Logging_1904/tillsyn/A 19205-2024 tillsynsbegäran.docx", "A 19205-2024")</f>
        <v/>
      </c>
      <c r="AD26">
        <f>HYPERLINK("https://klasma.github.io/Logging_1904/tillsynsmail/A 19205-2024 tillsynsbegäran mail.docx", "A 19205-2024")</f>
        <v/>
      </c>
      <c r="AE26">
        <f>HYPERLINK("https://klasma.github.io/Logging_1904/fåglar/A 19205-2024 prioriterade fågelarter.docx", "A 19205-2024")</f>
        <v/>
      </c>
    </row>
    <row r="27" ht="15" customHeight="1">
      <c r="A27" t="inlineStr">
        <is>
          <t>A 20559-2026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46140</v>
      </c>
      <c r="E27" s="1" t="n">
        <v>46284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0.3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HYPERLINK("https://klasma.github.io/Logging_1904/artfynd/A 20559-2026 artfynd.xlsx", "A 20559-2026")</f>
        <v/>
      </c>
      <c r="X27">
        <f>HYPERLINK("https://klasma.github.io/Logging_1904/kartor/A 20559-2026 karta.png", "A 20559-2026")</f>
        <v/>
      </c>
      <c r="Y27">
        <f>HYPERLINK("https://klasma.github.io/Logging_1904/kartor_geotiff/A 20559-2026 georefererad karta.tif", "A 20559-2026")</f>
        <v/>
      </c>
      <c r="AA27">
        <f>HYPERLINK("https://klasma.github.io/Logging_1904/klagomål/A 20559-2026 FSC-klagomål.docx", "A 20559-2026")</f>
        <v/>
      </c>
      <c r="AB27">
        <f>HYPERLINK("https://klasma.github.io/Logging_1904/klagomålsmail/A 20559-2026 FSC-klagomål mail.docx", "A 20559-2026")</f>
        <v/>
      </c>
      <c r="AC27">
        <f>HYPERLINK("https://klasma.github.io/Logging_1904/tillsyn/A 20559-2026 tillsynsbegäran.docx", "A 20559-2026")</f>
        <v/>
      </c>
      <c r="AD27">
        <f>HYPERLINK("https://klasma.github.io/Logging_1904/tillsynsmail/A 20559-2026 tillsynsbegäran mail.docx", "A 20559-2026")</f>
        <v/>
      </c>
      <c r="AE27">
        <f>HYPERLINK("https://klasma.github.io/Logging_1904/fåglar/A 20559-2026 prioriterade fågelarter.docx", "A 20559-2026")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46284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21849-2026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46150</v>
      </c>
      <c r="E29" s="1" t="n">
        <v>46284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HYPERLINK("https://klasma.github.io/Logging_1904/artfynd/A 21849-2026 artfynd.xlsx", "A 21849-2026")</f>
        <v/>
      </c>
      <c r="X29">
        <f>HYPERLINK("https://klasma.github.io/Logging_1904/kartor/A 21849-2026 karta.png", "A 21849-2026")</f>
        <v/>
      </c>
      <c r="Y29">
        <f>HYPERLINK("https://klasma.github.io/Logging_1904/kartor_geotiff/A 21849-2026 georefererad karta.tif", "A 21849-2026")</f>
        <v/>
      </c>
      <c r="Z29">
        <f>HYPERLINK("https://klasma.github.io/Logging_1904/knärot/A 21849-2026 karta knärot.png", "A 21849-2026")</f>
        <v/>
      </c>
      <c r="AA29">
        <f>HYPERLINK("https://klasma.github.io/Logging_1904/klagomål/A 21849-2026 FSC-klagomål.docx", "A 21849-2026")</f>
        <v/>
      </c>
      <c r="AB29">
        <f>HYPERLINK("https://klasma.github.io/Logging_1904/klagomålsmail/A 21849-2026 FSC-klagomål mail.docx", "A 21849-2026")</f>
        <v/>
      </c>
      <c r="AC29">
        <f>HYPERLINK("https://klasma.github.io/Logging_1904/tillsyn/A 21849-2026 tillsynsbegäran.docx", "A 21849-2026")</f>
        <v/>
      </c>
      <c r="AD29">
        <f>HYPERLINK("https://klasma.github.io/Logging_1904/tillsynsmail/A 21849-2026 tillsynsbegäran mail.docx", "A 21849-2026")</f>
        <v/>
      </c>
    </row>
    <row r="30" ht="15" customHeight="1">
      <c r="A30" t="inlineStr">
        <is>
          <t>A 57395-2025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46284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Vedticka</t>
        </is>
      </c>
      <c r="W30">
        <f>HYPERLINK("https://klasma.github.io/Logging_1904/artfynd/A 57395-2025 artfynd.xlsx", "A 57395-2025")</f>
        <v/>
      </c>
      <c r="X30">
        <f>HYPERLINK("https://klasma.github.io/Logging_1904/kartor/A 57395-2025 karta.png", "A 57395-2025")</f>
        <v/>
      </c>
      <c r="Y30">
        <f>HYPERLINK("https://klasma.github.io/Logging_1904/kartor_geotiff/A 57395-2025 georefererad karta.tif", "A 57395-2025")</f>
        <v/>
      </c>
      <c r="AA30">
        <f>HYPERLINK("https://klasma.github.io/Logging_1904/klagomål/A 57395-2025 FSC-klagomål.docx", "A 57395-2025")</f>
        <v/>
      </c>
      <c r="AB30">
        <f>HYPERLINK("https://klasma.github.io/Logging_1904/klagomålsmail/A 57395-2025 FSC-klagomål mail.docx", "A 57395-2025")</f>
        <v/>
      </c>
      <c r="AC30">
        <f>HYPERLINK("https://klasma.github.io/Logging_1904/tillsyn/A 57395-2025 tillsynsbegäran.docx", "A 57395-2025")</f>
        <v/>
      </c>
      <c r="AD30">
        <f>HYPERLINK("https://klasma.github.io/Logging_1904/tillsynsmail/A 57395-2025 tillsynsbegäran mail.docx", "A 57395-2025")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46284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24492-2026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46170</v>
      </c>
      <c r="E32" s="1" t="n">
        <v>46284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24492-2026 artfynd.xlsx", "A 24492-2026")</f>
        <v/>
      </c>
      <c r="X32">
        <f>HYPERLINK("https://klasma.github.io/Logging_1904/kartor/A 24492-2026 karta.png", "A 24492-2026")</f>
        <v/>
      </c>
      <c r="Y32">
        <f>HYPERLINK("https://klasma.github.io/Logging_1904/kartor_geotiff/A 24492-2026 georefererad karta.tif", "A 24492-2026")</f>
        <v/>
      </c>
      <c r="AA32">
        <f>HYPERLINK("https://klasma.github.io/Logging_1904/klagomål/A 24492-2026 FSC-klagomål.docx", "A 24492-2026")</f>
        <v/>
      </c>
      <c r="AB32">
        <f>HYPERLINK("https://klasma.github.io/Logging_1904/klagomålsmail/A 24492-2026 FSC-klagomål mail.docx", "A 24492-2026")</f>
        <v/>
      </c>
      <c r="AC32">
        <f>HYPERLINK("https://klasma.github.io/Logging_1904/tillsyn/A 24492-2026 tillsynsbegäran.docx", "A 24492-2026")</f>
        <v/>
      </c>
      <c r="AD32">
        <f>HYPERLINK("https://klasma.github.io/Logging_1904/tillsynsmail/A 24492-2026 tillsynsbegäran mail.docx", "A 24492-2026")</f>
        <v/>
      </c>
      <c r="AE32">
        <f>HYPERLINK("https://klasma.github.io/Logging_1904/fåglar/A 24492-2026 prioriterade fågelarter.docx", "A 24492-2026")</f>
        <v/>
      </c>
    </row>
    <row r="33" ht="15" customHeight="1">
      <c r="A33" t="inlineStr">
        <is>
          <t>A 24944-2026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46284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8.4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Garnlav</t>
        </is>
      </c>
      <c r="W33">
        <f>HYPERLINK("https://klasma.github.io/Logging_1904/artfynd/A 24944-2026 artfynd.xlsx", "A 24944-2026")</f>
        <v/>
      </c>
      <c r="X33">
        <f>HYPERLINK("https://klasma.github.io/Logging_1904/kartor/A 24944-2026 karta.png", "A 24944-2026")</f>
        <v/>
      </c>
      <c r="Y33">
        <f>HYPERLINK("https://klasma.github.io/Logging_1904/kartor_geotiff/A 24944-2026 georefererad karta.tif", "A 24944-2026")</f>
        <v/>
      </c>
      <c r="AA33">
        <f>HYPERLINK("https://klasma.github.io/Logging_1904/klagomål/A 24944-2026 FSC-klagomål.docx", "A 24944-2026")</f>
        <v/>
      </c>
      <c r="AB33">
        <f>HYPERLINK("https://klasma.github.io/Logging_1904/klagomålsmail/A 24944-2026 FSC-klagomål mail.docx", "A 24944-2026")</f>
        <v/>
      </c>
      <c r="AC33">
        <f>HYPERLINK("https://klasma.github.io/Logging_1904/tillsyn/A 24944-2026 tillsynsbegäran.docx", "A 24944-2026")</f>
        <v/>
      </c>
      <c r="AD33">
        <f>HYPERLINK("https://klasma.github.io/Logging_1904/tillsynsmail/A 24944-2026 tillsynsbegäran mail.docx", "A 24944-2026")</f>
        <v/>
      </c>
    </row>
    <row r="34" ht="15" customHeight="1">
      <c r="A34" t="inlineStr">
        <is>
          <t>A 26860-2026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46284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10.3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Kungsörn</t>
        </is>
      </c>
      <c r="W34">
        <f>HYPERLINK("https://klasma.github.io/Logging_1904/artfynd/A 26860-2026 artfynd.xlsx", "A 26860-2026")</f>
        <v/>
      </c>
      <c r="X34">
        <f>HYPERLINK("https://klasma.github.io/Logging_1904/kartor/A 26860-2026 karta.png", "A 26860-2026")</f>
        <v/>
      </c>
      <c r="Y34">
        <f>HYPERLINK("https://klasma.github.io/Logging_1904/kartor_geotiff/A 26860-2026 georefererad karta.tif", "A 26860-2026")</f>
        <v/>
      </c>
      <c r="AA34">
        <f>HYPERLINK("https://klasma.github.io/Logging_1904/klagomål/A 26860-2026 FSC-klagomål.docx", "A 26860-2026")</f>
        <v/>
      </c>
      <c r="AB34">
        <f>HYPERLINK("https://klasma.github.io/Logging_1904/klagomålsmail/A 26860-2026 FSC-klagomål mail.docx", "A 26860-2026")</f>
        <v/>
      </c>
      <c r="AC34">
        <f>HYPERLINK("https://klasma.github.io/Logging_1904/tillsyn/A 26860-2026 tillsynsbegäran.docx", "A 26860-2026")</f>
        <v/>
      </c>
      <c r="AD34">
        <f>HYPERLINK("https://klasma.github.io/Logging_1904/tillsynsmail/A 26860-2026 tillsynsbegäran mail.docx", "A 26860-2026")</f>
        <v/>
      </c>
      <c r="AE34">
        <f>HYPERLINK("https://klasma.github.io/Logging_1904/fåglar/A 26860-2026 prioriterade fågelarter.docx", "A 26860-2026")</f>
        <v/>
      </c>
    </row>
    <row r="35" ht="15" customHeight="1">
      <c r="A35" t="inlineStr">
        <is>
          <t>A 9491-2024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46284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HYPERLINK("https://klasma.github.io/Logging_1904/artfynd/A 9491-2024 artfynd.xlsx", "A 9491-2024")</f>
        <v/>
      </c>
      <c r="X35">
        <f>HYPERLINK("https://klasma.github.io/Logging_1904/kartor/A 9491-2024 karta.png", "A 9491-2024")</f>
        <v/>
      </c>
      <c r="Y35">
        <f>HYPERLINK("https://klasma.github.io/Logging_1904/kartor_geotiff/A 9491-2024 georefererad karta.tif", "A 9491-2024")</f>
        <v/>
      </c>
      <c r="AA35">
        <f>HYPERLINK("https://klasma.github.io/Logging_1904/klagomål/A 9491-2024 FSC-klagomål.docx", "A 9491-2024")</f>
        <v/>
      </c>
      <c r="AB35">
        <f>HYPERLINK("https://klasma.github.io/Logging_1904/klagomålsmail/A 9491-2024 FSC-klagomål mail.docx", "A 9491-2024")</f>
        <v/>
      </c>
      <c r="AC35">
        <f>HYPERLINK("https://klasma.github.io/Logging_1904/tillsyn/A 9491-2024 tillsynsbegäran.docx", "A 9491-2024")</f>
        <v/>
      </c>
      <c r="AD35">
        <f>HYPERLINK("https://klasma.github.io/Logging_1904/tillsynsmail/A 9491-2024 tillsynsbegäran mail.docx", "A 9491-2024")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46284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43413-2024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46284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Orange taggsvamp</t>
        </is>
      </c>
      <c r="W37">
        <f>HYPERLINK("https://klasma.github.io/Logging_1904/artfynd/A 43413-2024 artfynd.xlsx", "A 43413-2024")</f>
        <v/>
      </c>
      <c r="X37">
        <f>HYPERLINK("https://klasma.github.io/Logging_1904/kartor/A 43413-2024 karta.png", "A 43413-2024")</f>
        <v/>
      </c>
      <c r="Y37">
        <f>HYPERLINK("https://klasma.github.io/Logging_1904/kartor_geotiff/A 43413-2024 georefererad karta.tif", "A 43413-2024")</f>
        <v/>
      </c>
      <c r="AA37">
        <f>HYPERLINK("https://klasma.github.io/Logging_1904/klagomål/A 43413-2024 FSC-klagomål.docx", "A 43413-2024")</f>
        <v/>
      </c>
      <c r="AB37">
        <f>HYPERLINK("https://klasma.github.io/Logging_1904/klagomålsmail/A 43413-2024 FSC-klagomål mail.docx", "A 43413-2024")</f>
        <v/>
      </c>
      <c r="AC37">
        <f>HYPERLINK("https://klasma.github.io/Logging_1904/tillsyn/A 43413-2024 tillsynsbegäran.docx", "A 43413-2024")</f>
        <v/>
      </c>
      <c r="AD37">
        <f>HYPERLINK("https://klasma.github.io/Logging_1904/tillsynsmail/A 43413-2024 tillsynsbegäran mail.docx", "A 43413-2024")</f>
        <v/>
      </c>
    </row>
    <row r="38" ht="15" customHeight="1">
      <c r="A38" t="inlineStr">
        <is>
          <t>A 23893-2023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46284</v>
      </c>
      <c r="F38" t="inlineStr">
        <is>
          <t>VÄSTMANLANDS LÄN</t>
        </is>
      </c>
      <c r="G38" t="inlineStr">
        <is>
          <t>SKINNSKATTEBERG</t>
        </is>
      </c>
      <c r="I38" t="n">
        <v>1.6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Knärot</t>
        </is>
      </c>
      <c r="W38">
        <f>HYPERLINK("https://klasma.github.io/Logging_1904/artfynd/A 23893-2023 artfynd.xlsx", "A 23893-2023")</f>
        <v/>
      </c>
      <c r="X38">
        <f>HYPERLINK("https://klasma.github.io/Logging_1904/kartor/A 23893-2023 karta.png", "A 23893-2023")</f>
        <v/>
      </c>
      <c r="Y38">
        <f>HYPERLINK("https://klasma.github.io/Logging_1904/kartor_geotiff/A 23893-2023 georefererad karta.tif", "A 23893-2023")</f>
        <v/>
      </c>
      <c r="Z38">
        <f>HYPERLINK("https://klasma.github.io/Logging_1904/knärot/A 23893-2023 karta knärot.png", "A 23893-2023")</f>
        <v/>
      </c>
      <c r="AA38">
        <f>HYPERLINK("https://klasma.github.io/Logging_1904/klagomål/A 23893-2023 FSC-klagomål.docx", "A 23893-2023")</f>
        <v/>
      </c>
      <c r="AB38">
        <f>HYPERLINK("https://klasma.github.io/Logging_1904/klagomålsmail/A 23893-2023 FSC-klagomål mail.docx", "A 23893-2023")</f>
        <v/>
      </c>
      <c r="AC38">
        <f>HYPERLINK("https://klasma.github.io/Logging_1904/tillsyn/A 23893-2023 tillsynsbegäran.docx", "A 23893-2023")</f>
        <v/>
      </c>
      <c r="AD38">
        <f>HYPERLINK("https://klasma.github.io/Logging_1904/tillsynsmail/A 23893-2023 tillsynsbegäran mail.docx", "A 23893-2023")</f>
        <v/>
      </c>
    </row>
    <row r="39" ht="15" customHeight="1">
      <c r="A39" t="inlineStr">
        <is>
          <t>A 33435-2024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46284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33435-2024 artfynd.xlsx", "A 33435-2024")</f>
        <v/>
      </c>
      <c r="X39">
        <f>HYPERLINK("https://klasma.github.io/Logging_1904/kartor/A 33435-2024 karta.png", "A 33435-2024")</f>
        <v/>
      </c>
      <c r="Y39">
        <f>HYPERLINK("https://klasma.github.io/Logging_1904/kartor_geotiff/A 33435-2024 georefererad karta.tif", "A 33435-2024")</f>
        <v/>
      </c>
      <c r="AA39">
        <f>HYPERLINK("https://klasma.github.io/Logging_1904/klagomål/A 33435-2024 FSC-klagomål.docx", "A 33435-2024")</f>
        <v/>
      </c>
      <c r="AB39">
        <f>HYPERLINK("https://klasma.github.io/Logging_1904/klagomålsmail/A 33435-2024 FSC-klagomål mail.docx", "A 33435-2024")</f>
        <v/>
      </c>
      <c r="AC39">
        <f>HYPERLINK("https://klasma.github.io/Logging_1904/tillsyn/A 33435-2024 tillsynsbegäran.docx", "A 33435-2024")</f>
        <v/>
      </c>
      <c r="AD39">
        <f>HYPERLINK("https://klasma.github.io/Logging_1904/tillsynsmail/A 33435-2024 tillsynsbegäran mail.docx", "A 33435-2024")</f>
        <v/>
      </c>
      <c r="AE39">
        <f>HYPERLINK("https://klasma.github.io/Logging_1904/fåglar/A 33435-2024 prioriterade fågelarter.docx", "A 33435-2024")</f>
        <v/>
      </c>
    </row>
    <row r="40" ht="15" customHeight="1">
      <c r="A40" t="inlineStr">
        <is>
          <t>A 12024-2023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44995</v>
      </c>
      <c r="E40" s="1" t="n">
        <v>46284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HYPERLINK("https://klasma.github.io/Logging_1904/artfynd/A 12024-2023 artfynd.xlsx", "A 12024-2023")</f>
        <v/>
      </c>
      <c r="X40">
        <f>HYPERLINK("https://klasma.github.io/Logging_1904/kartor/A 12024-2023 karta.png", "A 12024-2023")</f>
        <v/>
      </c>
      <c r="Y40">
        <f>HYPERLINK("https://klasma.github.io/Logging_1904/kartor_geotiff/A 12024-2023 georefererad karta.tif", "A 12024-2023")</f>
        <v/>
      </c>
      <c r="AA40">
        <f>HYPERLINK("https://klasma.github.io/Logging_1904/klagomål/A 12024-2023 FSC-klagomål.docx", "A 12024-2023")</f>
        <v/>
      </c>
      <c r="AB40">
        <f>HYPERLINK("https://klasma.github.io/Logging_1904/klagomålsmail/A 12024-2023 FSC-klagomål mail.docx", "A 12024-2023")</f>
        <v/>
      </c>
      <c r="AC40">
        <f>HYPERLINK("https://klasma.github.io/Logging_1904/tillsyn/A 12024-2023 tillsynsbegäran.docx", "A 12024-2023")</f>
        <v/>
      </c>
      <c r="AD40">
        <f>HYPERLINK("https://klasma.github.io/Logging_1904/tillsynsmail/A 12024-2023 tillsynsbegäran mail.docx", "A 12024-2023")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46284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46284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46284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35371-2026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46284</v>
      </c>
      <c r="F44" t="inlineStr">
        <is>
          <t>VÄSTMANLANDS LÄN</t>
        </is>
      </c>
      <c r="G44" t="inlineStr">
        <is>
          <t>SKINNSKATTEBERG</t>
        </is>
      </c>
      <c r="I44" t="n">
        <v>1.3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HYPERLINK("https://klasma.github.io/Logging_1904/artfynd/A 35371-2026 artfynd.xlsx", "A 35371-2026")</f>
        <v/>
      </c>
      <c r="X44">
        <f>HYPERLINK("https://klasma.github.io/Logging_1904/kartor/A 35371-2026 karta.png", "A 35371-2026")</f>
        <v/>
      </c>
      <c r="Y44">
        <f>HYPERLINK("https://klasma.github.io/Logging_1904/kartor_geotiff/A 35371-2026 georefererad karta.tif", "A 35371-2026")</f>
        <v/>
      </c>
      <c r="AA44">
        <f>HYPERLINK("https://klasma.github.io/Logging_1904/klagomål/A 35371-2026 FSC-klagomål.docx", "A 35371-2026")</f>
        <v/>
      </c>
      <c r="AB44">
        <f>HYPERLINK("https://klasma.github.io/Logging_1904/klagomålsmail/A 35371-2026 FSC-klagomål mail.docx", "A 35371-2026")</f>
        <v/>
      </c>
      <c r="AC44">
        <f>HYPERLINK("https://klasma.github.io/Logging_1904/tillsyn/A 35371-2026 tillsynsbegäran.docx", "A 35371-2026")</f>
        <v/>
      </c>
      <c r="AD44">
        <f>HYPERLINK("https://klasma.github.io/Logging_1904/tillsynsmail/A 35371-2026 tillsynsbegäran mail.docx", "A 35371-2026")</f>
        <v/>
      </c>
      <c r="AE44">
        <f>HYPERLINK("https://klasma.github.io/Logging_1904/fåglar/A 35371-2026 prioriterade fågelarter.docx", "A 35371-2026")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46284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36263-2026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46284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Lopplummer (aggregat)</t>
        </is>
      </c>
      <c r="W46">
        <f>HYPERLINK("https://klasma.github.io/Logging_1904/artfynd/A 36263-2026 artfynd.xlsx", "A 36263-2026")</f>
        <v/>
      </c>
      <c r="X46">
        <f>HYPERLINK("https://klasma.github.io/Logging_1904/kartor/A 36263-2026 karta.png", "A 36263-2026")</f>
        <v/>
      </c>
      <c r="Y46">
        <f>HYPERLINK("https://klasma.github.io/Logging_1904/kartor_geotiff/A 36263-2026 georefererad karta.tif", "A 36263-2026")</f>
        <v/>
      </c>
      <c r="AA46">
        <f>HYPERLINK("https://klasma.github.io/Logging_1904/klagomål/A 36263-2026 FSC-klagomål.docx", "A 36263-2026")</f>
        <v/>
      </c>
      <c r="AB46">
        <f>HYPERLINK("https://klasma.github.io/Logging_1904/klagomålsmail/A 36263-2026 FSC-klagomål mail.docx", "A 36263-2026")</f>
        <v/>
      </c>
      <c r="AC46">
        <f>HYPERLINK("https://klasma.github.io/Logging_1904/tillsyn/A 36263-2026 tillsynsbegäran.docx", "A 36263-2026")</f>
        <v/>
      </c>
      <c r="AD46">
        <f>HYPERLINK("https://klasma.github.io/Logging_1904/tillsynsmail/A 36263-2026 tillsynsbegäran mail.docx", "A 36263-2026")</f>
        <v/>
      </c>
    </row>
    <row r="47" ht="15" customHeight="1">
      <c r="A47" t="inlineStr">
        <is>
          <t>A 37900-2026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46284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9.199999999999999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HYPERLINK("https://klasma.github.io/Logging_1904/artfynd/A 37900-2026 artfynd.xlsx", "A 37900-2026")</f>
        <v/>
      </c>
      <c r="X47">
        <f>HYPERLINK("https://klasma.github.io/Logging_1904/kartor/A 37900-2026 karta.png", "A 37900-2026")</f>
        <v/>
      </c>
      <c r="Y47">
        <f>HYPERLINK("https://klasma.github.io/Logging_1904/kartor_geotiff/A 37900-2026 georefererad karta.tif", "A 37900-2026")</f>
        <v/>
      </c>
      <c r="AA47">
        <f>HYPERLINK("https://klasma.github.io/Logging_1904/klagomål/A 37900-2026 FSC-klagomål.docx", "A 37900-2026")</f>
        <v/>
      </c>
      <c r="AB47">
        <f>HYPERLINK("https://klasma.github.io/Logging_1904/klagomålsmail/A 37900-2026 FSC-klagomål mail.docx", "A 37900-2026")</f>
        <v/>
      </c>
      <c r="AC47">
        <f>HYPERLINK("https://klasma.github.io/Logging_1904/tillsyn/A 37900-2026 tillsynsbegäran.docx", "A 37900-2026")</f>
        <v/>
      </c>
      <c r="AD47">
        <f>HYPERLINK("https://klasma.github.io/Logging_1904/tillsynsmail/A 37900-2026 tillsynsbegäran mail.docx", "A 37900-2026")</f>
        <v/>
      </c>
      <c r="AE47">
        <f>HYPERLINK("https://klasma.github.io/Logging_1904/fåglar/A 37900-2026 prioriterade fågelarter.docx", "A 37900-2026")</f>
        <v/>
      </c>
    </row>
    <row r="48" ht="15" customHeight="1">
      <c r="A48" t="inlineStr">
        <is>
          <t>A 31006-2025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45832</v>
      </c>
      <c r="E48" s="1" t="n">
        <v>46284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HYPERLINK("https://klasma.github.io/Logging_1904/artfynd/A 31006-2025 artfynd.xlsx", "A 31006-2025")</f>
        <v/>
      </c>
      <c r="X48">
        <f>HYPERLINK("https://klasma.github.io/Logging_1904/kartor/A 31006-2025 karta.png", "A 31006-2025")</f>
        <v/>
      </c>
      <c r="Y48">
        <f>HYPERLINK("https://klasma.github.io/Logging_1904/kartor_geotiff/A 31006-2025 georefererad karta.tif", "A 31006-2025")</f>
        <v/>
      </c>
      <c r="AA48">
        <f>HYPERLINK("https://klasma.github.io/Logging_1904/klagomål/A 31006-2025 FSC-klagomål.docx", "A 31006-2025")</f>
        <v/>
      </c>
      <c r="AB48">
        <f>HYPERLINK("https://klasma.github.io/Logging_1904/klagomålsmail/A 31006-2025 FSC-klagomål mail.docx", "A 31006-2025")</f>
        <v/>
      </c>
      <c r="AC48">
        <f>HYPERLINK("https://klasma.github.io/Logging_1904/tillsyn/A 31006-2025 tillsynsbegäran.docx", "A 31006-2025")</f>
        <v/>
      </c>
      <c r="AD48">
        <f>HYPERLINK("https://klasma.github.io/Logging_1904/tillsynsmail/A 31006-2025 tillsynsbegäran mail.docx", "A 31006-2025")</f>
        <v/>
      </c>
      <c r="AE48">
        <f>HYPERLINK("https://klasma.github.io/Logging_1904/fåglar/A 31006-2025 prioriterade fågelarter.docx", "A 31006-2025")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46284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46284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46284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46284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46284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46284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46284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46284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46284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46284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46284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46284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46284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46284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46284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46284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46284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46284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46284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46284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46284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46284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46284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46284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46284</v>
      </c>
      <c r="F73" t="inlineStr">
        <is>
          <t>VÄSTMANLANDS LÄN</t>
        </is>
      </c>
      <c r="G73" t="inlineStr">
        <is>
          <t>SKINNSKATTEBERG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46284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46284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46284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46284</v>
      </c>
      <c r="F77" t="inlineStr">
        <is>
          <t>VÄSTMANLANDS LÄN</t>
        </is>
      </c>
      <c r="G77" t="inlineStr">
        <is>
          <t>SKINNSKATTEBERG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46284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46284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46284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56921-2023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45244</v>
      </c>
      <c r="E81" s="1" t="n">
        <v>46284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Kyrkan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16088-2024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45406</v>
      </c>
      <c r="E82" s="1" t="n">
        <v>46284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46284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46284</v>
      </c>
      <c r="F84" t="inlineStr">
        <is>
          <t>VÄSTMANLANDS LÄN</t>
        </is>
      </c>
      <c r="G84" t="inlineStr">
        <is>
          <t>SKINNSKATTEBERG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46284</v>
      </c>
      <c r="F85" t="inlineStr">
        <is>
          <t>VÄSTMANLANDS LÄN</t>
        </is>
      </c>
      <c r="G85" t="inlineStr">
        <is>
          <t>SKINNSKATTEBERG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46284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46284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46284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45637</v>
      </c>
      <c r="E89" s="1" t="n">
        <v>46284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46284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46284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53145-2021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44468</v>
      </c>
      <c r="E92" s="1" t="n">
        <v>46284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46284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46284</v>
      </c>
      <c r="F94" t="inlineStr">
        <is>
          <t>VÄSTMANLANDS LÄN</t>
        </is>
      </c>
      <c r="G94" t="inlineStr">
        <is>
          <t>SKINNSKATTEBERG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45375</v>
      </c>
      <c r="E95" s="1" t="n">
        <v>46284</v>
      </c>
      <c r="F95" t="inlineStr">
        <is>
          <t>VÄSTMANLANDS LÄN</t>
        </is>
      </c>
      <c r="G95" t="inlineStr">
        <is>
          <t>SKINNSKATTEBERG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46284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46284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46284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46284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46284</v>
      </c>
      <c r="F100" t="inlineStr">
        <is>
          <t>VÄSTMANLANDS LÄN</t>
        </is>
      </c>
      <c r="G100" t="inlineStr">
        <is>
          <t>SKINNSKATTEBERG</t>
        </is>
      </c>
      <c r="I100" t="n">
        <v>10.5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46284</v>
      </c>
      <c r="F101" t="inlineStr">
        <is>
          <t>VÄSTMANLANDS LÄN</t>
        </is>
      </c>
      <c r="G101" t="inlineStr">
        <is>
          <t>SKINNSKATTEBERG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46284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45571</v>
      </c>
      <c r="E103" s="1" t="n">
        <v>46284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46284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46284</v>
      </c>
      <c r="F105" t="inlineStr">
        <is>
          <t>VÄSTMANLANDS LÄN</t>
        </is>
      </c>
      <c r="G105" t="inlineStr">
        <is>
          <t>SKINNSKATTEBERG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48825-2022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46284</v>
      </c>
      <c r="F106" t="inlineStr">
        <is>
          <t>VÄSTMANLANDS LÄN</t>
        </is>
      </c>
      <c r="G106" t="inlineStr">
        <is>
          <t>SKINNSKATTEBERG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46284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46284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46284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46284</v>
      </c>
      <c r="F110" t="inlineStr">
        <is>
          <t>VÄSTMANLANDS LÄN</t>
        </is>
      </c>
      <c r="G110" t="inlineStr">
        <is>
          <t>SKINNSKATTEBERG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46284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46284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46284</v>
      </c>
      <c r="F113" t="inlineStr">
        <is>
          <t>VÄSTMANLANDS LÄN</t>
        </is>
      </c>
      <c r="G113" t="inlineStr">
        <is>
          <t>SKINNSKATTEBERG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46284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45447</v>
      </c>
      <c r="E115" s="1" t="n">
        <v>46284</v>
      </c>
      <c r="F115" t="inlineStr">
        <is>
          <t>VÄSTMANLANDS LÄN</t>
        </is>
      </c>
      <c r="G115" t="inlineStr">
        <is>
          <t>SKINNSKATTEBERG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46284</v>
      </c>
      <c r="F116" t="inlineStr">
        <is>
          <t>VÄSTMANLANDS LÄN</t>
        </is>
      </c>
      <c r="G116" t="inlineStr">
        <is>
          <t>SKINNSKATTEBERG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46284</v>
      </c>
      <c r="F117" t="inlineStr">
        <is>
          <t>VÄSTMANLANDS LÄN</t>
        </is>
      </c>
      <c r="G117" t="inlineStr">
        <is>
          <t>SKINNSKATTEBERG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46284</v>
      </c>
      <c r="F118" t="inlineStr">
        <is>
          <t>VÄSTMANLANDS LÄN</t>
        </is>
      </c>
      <c r="G118" t="inlineStr">
        <is>
          <t>SKINNSKATTEBERG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45534</v>
      </c>
      <c r="E119" s="1" t="n">
        <v>46284</v>
      </c>
      <c r="F119" t="inlineStr">
        <is>
          <t>VÄSTMANLANDS LÄN</t>
        </is>
      </c>
      <c r="G119" t="inlineStr">
        <is>
          <t>SKINNSKATTEBERG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46284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46284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45571</v>
      </c>
      <c r="E122" s="1" t="n">
        <v>46284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45571</v>
      </c>
      <c r="E123" s="1" t="n">
        <v>46284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46284</v>
      </c>
      <c r="F124" t="inlineStr">
        <is>
          <t>VÄSTMANLANDS LÄN</t>
        </is>
      </c>
      <c r="G124" t="inlineStr">
        <is>
          <t>SKINNSKATTEBERG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20248-2024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45434</v>
      </c>
      <c r="E125" s="1" t="n">
        <v>46284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46284</v>
      </c>
      <c r="F126" t="inlineStr">
        <is>
          <t>VÄSTMANLANDS LÄN</t>
        </is>
      </c>
      <c r="G126" t="inlineStr">
        <is>
          <t>SKINNSKATTEBERG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46284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45897</v>
      </c>
      <c r="E128" s="1" t="n">
        <v>46284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46284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46284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40783-2025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45897</v>
      </c>
      <c r="E131" s="1" t="n">
        <v>46284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40782-2025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46284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46284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16729-2024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45410</v>
      </c>
      <c r="E134" s="1" t="n">
        <v>46284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46284</v>
      </c>
      <c r="F135" t="inlineStr">
        <is>
          <t>VÄSTMANLANDS LÄN</t>
        </is>
      </c>
      <c r="G135" t="inlineStr">
        <is>
          <t>SKINNSKATTEBERG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46284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46284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46284</v>
      </c>
      <c r="F138" t="inlineStr">
        <is>
          <t>VÄSTMANLANDS LÄN</t>
        </is>
      </c>
      <c r="G138" t="inlineStr">
        <is>
          <t>SKINNSKATTEBERG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46284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46284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46284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46284</v>
      </c>
      <c r="F142" t="inlineStr">
        <is>
          <t>VÄSTMANLANDS LÄN</t>
        </is>
      </c>
      <c r="G142" t="inlineStr">
        <is>
          <t>SKINNSKATTEBERG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46284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20563-2026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46140</v>
      </c>
      <c r="E144" s="1" t="n">
        <v>46284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46284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44179-2025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46284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44184-2025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45915</v>
      </c>
      <c r="E147" s="1" t="n">
        <v>46284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46284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41581-2025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45901</v>
      </c>
      <c r="E149" s="1" t="n">
        <v>46284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46284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Kyrkan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46284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46284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45919</v>
      </c>
      <c r="E153" s="1" t="n">
        <v>46284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46284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45068</v>
      </c>
      <c r="E155" s="1" t="n">
        <v>46284</v>
      </c>
      <c r="F155" t="inlineStr">
        <is>
          <t>VÄSTMANLANDS LÄN</t>
        </is>
      </c>
      <c r="G155" t="inlineStr">
        <is>
          <t>SKINNSKATTEBERG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25843-2023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45090</v>
      </c>
      <c r="E156" s="1" t="n">
        <v>46284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46284</v>
      </c>
      <c r="F157" t="inlineStr">
        <is>
          <t>VÄSTMANLANDS LÄN</t>
        </is>
      </c>
      <c r="G157" t="inlineStr">
        <is>
          <t>SKINNSKATTEBERG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46284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46284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46284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46284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46142</v>
      </c>
      <c r="E162" s="1" t="n">
        <v>46284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46284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46284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46284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46284</v>
      </c>
      <c r="F166" t="inlineStr">
        <is>
          <t>VÄSTMANLANDS LÄN</t>
        </is>
      </c>
      <c r="G166" t="inlineStr">
        <is>
          <t>SKINNSKATTEBERG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46142</v>
      </c>
      <c r="E167" s="1" t="n">
        <v>46284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44648</v>
      </c>
      <c r="E168" s="1" t="n">
        <v>46284</v>
      </c>
      <c r="F168" t="inlineStr">
        <is>
          <t>VÄSTMANLANDS LÄN</t>
        </is>
      </c>
      <c r="G168" t="inlineStr">
        <is>
          <t>SKINNSKATTEBERG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46284</v>
      </c>
      <c r="F169" t="inlineStr">
        <is>
          <t>VÄSTMANLANDS LÄN</t>
        </is>
      </c>
      <c r="G169" t="inlineStr">
        <is>
          <t>SKINNSKATTEBERG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46284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51026-2025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45947</v>
      </c>
      <c r="E171" s="1" t="n">
        <v>46284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51028-2025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45947</v>
      </c>
      <c r="E172" s="1" t="n">
        <v>46284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46284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46284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46284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46284</v>
      </c>
      <c r="F176" t="inlineStr">
        <is>
          <t>VÄSTMANLANDS LÄN</t>
        </is>
      </c>
      <c r="G176" t="inlineStr">
        <is>
          <t>SKINNSKATTEBERG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46284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46284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46284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46284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46284</v>
      </c>
      <c r="F181" t="inlineStr">
        <is>
          <t>VÄSTMANLANDS LÄN</t>
        </is>
      </c>
      <c r="G181" t="inlineStr">
        <is>
          <t>SKINNSKATTEBERG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46284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46284</v>
      </c>
      <c r="F183" t="inlineStr">
        <is>
          <t>VÄSTMANLANDS LÄN</t>
        </is>
      </c>
      <c r="G183" t="inlineStr">
        <is>
          <t>SKINNSKATTEBERG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55428-2021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44475</v>
      </c>
      <c r="E184" s="1" t="n">
        <v>46284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46284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46284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52600-2021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46284</v>
      </c>
      <c r="F187" t="inlineStr">
        <is>
          <t>VÄSTMANLANDS LÄN</t>
        </is>
      </c>
      <c r="G187" t="inlineStr">
        <is>
          <t>SKINNSKATTEBERG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53183-2021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44468</v>
      </c>
      <c r="E188" s="1" t="n">
        <v>46284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46284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46284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46284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46284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46284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51508-2021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46284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46284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46284</v>
      </c>
      <c r="F196" t="inlineStr">
        <is>
          <t>VÄSTMANLANDS LÄN</t>
        </is>
      </c>
      <c r="G196" t="inlineStr">
        <is>
          <t>SKINNSKATTEBERG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46284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53142-2021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44468</v>
      </c>
      <c r="E198" s="1" t="n">
        <v>46284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45975</v>
      </c>
      <c r="E199" s="1" t="n">
        <v>46284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46284</v>
      </c>
      <c r="F200" t="inlineStr">
        <is>
          <t>VÄSTMANLANDS LÄN</t>
        </is>
      </c>
      <c r="G200" t="inlineStr">
        <is>
          <t>SKINNSKATTEBERG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46284</v>
      </c>
      <c r="F201" t="inlineStr">
        <is>
          <t>VÄSTMANLANDS LÄN</t>
        </is>
      </c>
      <c r="G201" t="inlineStr">
        <is>
          <t>SKINNSKATTEBERG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46284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22779-2026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46157</v>
      </c>
      <c r="E203" s="1" t="n">
        <v>46284</v>
      </c>
      <c r="F203" t="inlineStr">
        <is>
          <t>VÄSTMANLANDS LÄN</t>
        </is>
      </c>
      <c r="G203" t="inlineStr">
        <is>
          <t>SKINNSKATTEBERG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45604</v>
      </c>
      <c r="E204" s="1" t="n">
        <v>46284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46284</v>
      </c>
      <c r="F205" t="inlineStr">
        <is>
          <t>VÄSTMANLANDS LÄN</t>
        </is>
      </c>
      <c r="G205" t="inlineStr">
        <is>
          <t>SKINNSKATTEBERG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45987</v>
      </c>
      <c r="E206" s="1" t="n">
        <v>46284</v>
      </c>
      <c r="F206" t="inlineStr">
        <is>
          <t>VÄSTMANLANDS LÄN</t>
        </is>
      </c>
      <c r="G206" t="inlineStr">
        <is>
          <t>SKINNSKATTEBERG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45407</v>
      </c>
      <c r="E207" s="1" t="n">
        <v>46284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46284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46284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46284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44803</v>
      </c>
      <c r="E211" s="1" t="n">
        <v>46284</v>
      </c>
      <c r="F211" t="inlineStr">
        <is>
          <t>VÄSTMANLANDS LÄN</t>
        </is>
      </c>
      <c r="G211" t="inlineStr">
        <is>
          <t>SKINNSKATTEBERG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46284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46284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46284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23567-2026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46163</v>
      </c>
      <c r="E215" s="1" t="n">
        <v>46284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45429</v>
      </c>
      <c r="E216" s="1" t="n">
        <v>46284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46284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46284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46284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46284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46284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45056</v>
      </c>
      <c r="E222" s="1" t="n">
        <v>46284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45390</v>
      </c>
      <c r="E223" s="1" t="n">
        <v>46284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46284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46284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46284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46284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46284</v>
      </c>
      <c r="F228" t="inlineStr">
        <is>
          <t>VÄSTMANLANDS LÄN</t>
        </is>
      </c>
      <c r="G228" t="inlineStr">
        <is>
          <t>SKINNSKATTEBERG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45555</v>
      </c>
      <c r="E229" s="1" t="n">
        <v>46284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46284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46284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45387</v>
      </c>
      <c r="E232" s="1" t="n">
        <v>46284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46284</v>
      </c>
      <c r="F233" t="inlineStr">
        <is>
          <t>VÄSTMANLANDS LÄN</t>
        </is>
      </c>
      <c r="G233" t="inlineStr">
        <is>
          <t>SKINNSKATTEBERG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46284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46284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46284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46284</v>
      </c>
      <c r="F237" t="inlineStr">
        <is>
          <t>VÄSTMANLANDS LÄN</t>
        </is>
      </c>
      <c r="G237" t="inlineStr">
        <is>
          <t>SKINNSKATTEBERG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45096</v>
      </c>
      <c r="E238" s="1" t="n">
        <v>46284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5704-2026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46051</v>
      </c>
      <c r="E239" s="1" t="n">
        <v>46284</v>
      </c>
      <c r="F239" t="inlineStr">
        <is>
          <t>VÄSTMANLANDS LÄN</t>
        </is>
      </c>
      <c r="G239" t="inlineStr">
        <is>
          <t>SKINNSKATTEBERG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5693-2026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46051</v>
      </c>
      <c r="E240" s="1" t="n">
        <v>46284</v>
      </c>
      <c r="F240" t="inlineStr">
        <is>
          <t>VÄSTMANLANDS LÄN</t>
        </is>
      </c>
      <c r="G240" t="inlineStr">
        <is>
          <t>SKINNSKATTEBERG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46051</v>
      </c>
      <c r="E241" s="1" t="n">
        <v>46284</v>
      </c>
      <c r="F241" t="inlineStr">
        <is>
          <t>VÄSTMANLANDS LÄN</t>
        </is>
      </c>
      <c r="G241" t="inlineStr">
        <is>
          <t>SKINNSKATTEBERG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45170</v>
      </c>
      <c r="E242" s="1" t="n">
        <v>46284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46284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46056</v>
      </c>
      <c r="E244" s="1" t="n">
        <v>46284</v>
      </c>
      <c r="F244" t="inlineStr">
        <is>
          <t>VÄSTMANLANDS LÄN</t>
        </is>
      </c>
      <c r="G244" t="inlineStr">
        <is>
          <t>SKINNSKATTEBERG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46284</v>
      </c>
      <c r="F245" t="inlineStr">
        <is>
          <t>VÄSTMANLANDS LÄN</t>
        </is>
      </c>
      <c r="G245" t="inlineStr">
        <is>
          <t>SKINNSKATTEBERG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46284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46284</v>
      </c>
      <c r="F247" t="inlineStr">
        <is>
          <t>VÄSTMANLANDS LÄN</t>
        </is>
      </c>
      <c r="G247" t="inlineStr">
        <is>
          <t>SKINNSKATTEBERG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46284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46284</v>
      </c>
      <c r="F249" t="inlineStr">
        <is>
          <t>VÄSTMANLANDS LÄN</t>
        </is>
      </c>
      <c r="G249" t="inlineStr">
        <is>
          <t>SKINNSKATTEBERG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46284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26356-2026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46182</v>
      </c>
      <c r="E251" s="1" t="n">
        <v>46284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46284</v>
      </c>
      <c r="F252" t="inlineStr">
        <is>
          <t>VÄSTMANLANDS LÄN</t>
        </is>
      </c>
      <c r="G252" t="inlineStr">
        <is>
          <t>SKINNSKATTEBERG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46284</v>
      </c>
      <c r="F253" t="inlineStr">
        <is>
          <t>VÄSTMANLANDS LÄN</t>
        </is>
      </c>
      <c r="G253" t="inlineStr">
        <is>
          <t>SKINNSKATTEBERG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46284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46284</v>
      </c>
      <c r="F255" t="inlineStr">
        <is>
          <t>VÄSTMANLANDS LÄN</t>
        </is>
      </c>
      <c r="G255" t="inlineStr">
        <is>
          <t>SKINNSKATTEBERG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61181-2021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44498</v>
      </c>
      <c r="E256" s="1" t="n">
        <v>46284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45128</v>
      </c>
      <c r="E257" s="1" t="n">
        <v>46284</v>
      </c>
      <c r="F257" t="inlineStr">
        <is>
          <t>VÄSTMANLANDS LÄN</t>
        </is>
      </c>
      <c r="G257" t="inlineStr">
        <is>
          <t>SKINNSKATTEBERG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46284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46284</v>
      </c>
      <c r="F259" t="inlineStr">
        <is>
          <t>VÄSTMANLANDS LÄN</t>
        </is>
      </c>
      <c r="G259" t="inlineStr">
        <is>
          <t>SKINNSKATTEBERG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46284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46284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46284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46284</v>
      </c>
      <c r="F263" t="inlineStr">
        <is>
          <t>VÄSTMANLANDS LÄN</t>
        </is>
      </c>
      <c r="G263" t="inlineStr">
        <is>
          <t>SKINNSKATTEBERG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46284</v>
      </c>
      <c r="F264" t="inlineStr">
        <is>
          <t>VÄSTMANLANDS LÄN</t>
        </is>
      </c>
      <c r="G264" t="inlineStr">
        <is>
          <t>SKINNSKATTEBERG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46284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46284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46284</v>
      </c>
      <c r="F267" t="inlineStr">
        <is>
          <t>VÄSTMANLANDS LÄN</t>
        </is>
      </c>
      <c r="G267" t="inlineStr">
        <is>
          <t>SKINNSKATTEBERG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31260-2023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46284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46284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46191</v>
      </c>
      <c r="E270" s="1" t="n">
        <v>46284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46284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46195</v>
      </c>
      <c r="E272" s="1" t="n">
        <v>46284</v>
      </c>
      <c r="F272" t="inlineStr">
        <is>
          <t>VÄSTMANLANDS LÄN</t>
        </is>
      </c>
      <c r="G272" t="inlineStr">
        <is>
          <t>SKINNSKATTEBERG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45006</v>
      </c>
      <c r="E273" s="1" t="n">
        <v>46284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Allmännings- och besparingsskogar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46284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45385</v>
      </c>
      <c r="E275" s="1" t="n">
        <v>46284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46284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15561-2024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45401</v>
      </c>
      <c r="E277" s="1" t="n">
        <v>46284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46284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46197</v>
      </c>
      <c r="E279" s="1" t="n">
        <v>46284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46284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46284</v>
      </c>
      <c r="F281" t="inlineStr">
        <is>
          <t>VÄSTMANLANDS LÄN</t>
        </is>
      </c>
      <c r="G281" t="inlineStr">
        <is>
          <t>SKINNSKATTEBERG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15955-2026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46108</v>
      </c>
      <c r="E282" s="1" t="n">
        <v>46284</v>
      </c>
      <c r="F282" t="inlineStr">
        <is>
          <t>VÄSTMANLANDS LÄN</t>
        </is>
      </c>
      <c r="G282" t="inlineStr">
        <is>
          <t>SKINNSKATTEBERG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46284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46284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46284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16136-2026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46108</v>
      </c>
      <c r="E286" s="1" t="n">
        <v>46284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46284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45568</v>
      </c>
      <c r="E288" s="1" t="n">
        <v>46284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46284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32859-2026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46244</v>
      </c>
      <c r="E290" s="1" t="n">
        <v>46284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46284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46284</v>
      </c>
      <c r="F292" t="inlineStr">
        <is>
          <t>VÄSTMANLANDS LÄN</t>
        </is>
      </c>
      <c r="G292" t="inlineStr">
        <is>
          <t>SKINNSKATTEBERG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46284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45435</v>
      </c>
      <c r="E294" s="1" t="n">
        <v>46284</v>
      </c>
      <c r="F294" t="inlineStr">
        <is>
          <t>VÄSTMANLANDS LÄN</t>
        </is>
      </c>
      <c r="G294" t="inlineStr">
        <is>
          <t>SKINNSKATTEBERG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44995</v>
      </c>
      <c r="E295" s="1" t="n">
        <v>46284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46114</v>
      </c>
      <c r="E296" s="1" t="n">
        <v>46284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46284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46284</v>
      </c>
      <c r="F298" t="inlineStr">
        <is>
          <t>VÄSTMANLANDS LÄN</t>
        </is>
      </c>
      <c r="G298" t="inlineStr">
        <is>
          <t>SKINNSKATTEBERG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46284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46200</v>
      </c>
      <c r="E300" s="1" t="n">
        <v>46284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46284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54657-2022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44883</v>
      </c>
      <c r="E302" s="1" t="n">
        <v>46284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46244</v>
      </c>
      <c r="E303" s="1" t="n">
        <v>46284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46244</v>
      </c>
      <c r="E304" s="1" t="n">
        <v>46284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46200</v>
      </c>
      <c r="E305" s="1" t="n">
        <v>46284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46284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46284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46284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66584-2021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44519</v>
      </c>
      <c r="E309" s="1" t="n">
        <v>46284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46284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45156</v>
      </c>
      <c r="E311" s="1" t="n">
        <v>46284</v>
      </c>
      <c r="F311" t="inlineStr">
        <is>
          <t>VÄSTMANLANDS LÄN</t>
        </is>
      </c>
      <c r="G311" t="inlineStr">
        <is>
          <t>SKINNSKATTEBERG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46284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45504</v>
      </c>
      <c r="E313" s="1" t="n">
        <v>46284</v>
      </c>
      <c r="F313" t="inlineStr">
        <is>
          <t>VÄSTMANLANDS LÄN</t>
        </is>
      </c>
      <c r="G313" t="inlineStr">
        <is>
          <t>SKINNSKATTEBERG</t>
        </is>
      </c>
      <c r="I313" t="n">
        <v>17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19540-2026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46134</v>
      </c>
      <c r="E314" s="1" t="n">
        <v>46284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19541-2026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46134</v>
      </c>
      <c r="E315" s="1" t="n">
        <v>46284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19582-2026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46134</v>
      </c>
      <c r="E316" s="1" t="n">
        <v>46284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46284</v>
      </c>
      <c r="F317" t="inlineStr">
        <is>
          <t>VÄSTMANLANDS LÄN</t>
        </is>
      </c>
      <c r="G317" t="inlineStr">
        <is>
          <t>SKINNSKATTEBERG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46284</v>
      </c>
      <c r="F318" t="inlineStr">
        <is>
          <t>VÄSTMANLANDS LÄN</t>
        </is>
      </c>
      <c r="G318" t="inlineStr">
        <is>
          <t>SKINNSKATTEBERG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45306</v>
      </c>
      <c r="E319" s="1" t="n">
        <v>46284</v>
      </c>
      <c r="F319" t="inlineStr">
        <is>
          <t>VÄSTMANLANDS LÄN</t>
        </is>
      </c>
      <c r="G319" t="inlineStr">
        <is>
          <t>SKINNSKATTEBERG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46284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46247</v>
      </c>
      <c r="E321" s="1" t="n">
        <v>46284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15184-2025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45744</v>
      </c>
      <c r="E322" s="1" t="n">
        <v>46284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46284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46284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46284</v>
      </c>
      <c r="F325" t="inlineStr">
        <is>
          <t>VÄSTMANLANDS LÄN</t>
        </is>
      </c>
      <c r="G325" t="inlineStr">
        <is>
          <t>SKINNSKATTEBERG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46284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46284</v>
      </c>
      <c r="F327" t="inlineStr">
        <is>
          <t>VÄSTMANLANDS LÄN</t>
        </is>
      </c>
      <c r="G327" t="inlineStr">
        <is>
          <t>SKINNSKATTEBERG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46284</v>
      </c>
      <c r="F328" t="inlineStr">
        <is>
          <t>VÄSTMANLANDS LÄN</t>
        </is>
      </c>
      <c r="G328" t="inlineStr">
        <is>
          <t>SKINNSKATTEBERG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46284</v>
      </c>
      <c r="F329" t="inlineStr">
        <is>
          <t>VÄSTMANLANDS LÄN</t>
        </is>
      </c>
      <c r="G329" t="inlineStr">
        <is>
          <t>SKINNSKATTEBERG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22394-2022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44713</v>
      </c>
      <c r="E330" s="1" t="n">
        <v>46284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46284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46284</v>
      </c>
      <c r="F332" t="inlineStr">
        <is>
          <t>VÄSTMANLANDS LÄN</t>
        </is>
      </c>
      <c r="G332" t="inlineStr">
        <is>
          <t>SKINNSKATTEBERG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45532</v>
      </c>
      <c r="E333" s="1" t="n">
        <v>46284</v>
      </c>
      <c r="F333" t="inlineStr">
        <is>
          <t>VÄSTMANLANDS LÄN</t>
        </is>
      </c>
      <c r="G333" t="inlineStr">
        <is>
          <t>SKINNSKATTEBERG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45554</v>
      </c>
      <c r="E334" s="1" t="n">
        <v>46284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45048</v>
      </c>
      <c r="E335" s="1" t="n">
        <v>46284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46284</v>
      </c>
      <c r="F336" t="inlineStr">
        <is>
          <t>VÄSTMANLANDS LÄN</t>
        </is>
      </c>
      <c r="G336" t="inlineStr">
        <is>
          <t>SKINNSKATTEBERG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46284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46260</v>
      </c>
      <c r="E338" s="1" t="n">
        <v>46284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31617-2024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45506</v>
      </c>
      <c r="E339" s="1" t="n">
        <v>46284</v>
      </c>
      <c r="F339" t="inlineStr">
        <is>
          <t>VÄSTMANLANDS LÄN</t>
        </is>
      </c>
      <c r="G339" t="inlineStr">
        <is>
          <t>SKINNSKATTEBERG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35168-2026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46260</v>
      </c>
      <c r="E340" s="1" t="n">
        <v>46284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46262</v>
      </c>
      <c r="E341" s="1" t="n">
        <v>46284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35582-2026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46262</v>
      </c>
      <c r="E342" s="1" t="n">
        <v>46284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46262</v>
      </c>
      <c r="E343" s="1" t="n">
        <v>46284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46262</v>
      </c>
      <c r="E344" s="1" t="n">
        <v>46284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16394-2024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46284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35746-2026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46265</v>
      </c>
      <c r="E346" s="1" t="n">
        <v>46284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45170</v>
      </c>
      <c r="E347" s="1" t="n">
        <v>46284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46284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46284</v>
      </c>
      <c r="F349" t="inlineStr">
        <is>
          <t>VÄSTMANLANDS LÄN</t>
        </is>
      </c>
      <c r="G349" t="inlineStr">
        <is>
          <t>SKINNSKATTEBERG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14736-2023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45014</v>
      </c>
      <c r="E350" s="1" t="n">
        <v>46284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46284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45040</v>
      </c>
      <c r="E352" s="1" t="n">
        <v>46284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45592</v>
      </c>
      <c r="E353" s="1" t="n">
        <v>46284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46284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20947-2025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45777</v>
      </c>
      <c r="E355" s="1" t="n">
        <v>46284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45777</v>
      </c>
      <c r="E356" s="1" t="n">
        <v>46284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29026-2026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46199</v>
      </c>
      <c r="E357" s="1" t="n">
        <v>46284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46274</v>
      </c>
      <c r="E358" s="1" t="n">
        <v>46284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12158-2024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45377</v>
      </c>
      <c r="E359" s="1" t="n">
        <v>46284</v>
      </c>
      <c r="F359" t="inlineStr">
        <is>
          <t>VÄSTMANLANDS LÄN</t>
        </is>
      </c>
      <c r="G359" t="inlineStr">
        <is>
          <t>SKINNSKATTEBERG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46284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46284</v>
      </c>
      <c r="F361" t="inlineStr">
        <is>
          <t>VÄSTMANLANDS LÄN</t>
        </is>
      </c>
      <c r="G361" t="inlineStr">
        <is>
          <t>SKINNSKATTEBERG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46284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46284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46237</v>
      </c>
      <c r="E364" s="1" t="n">
        <v>46284</v>
      </c>
      <c r="F364" t="inlineStr">
        <is>
          <t>VÄSTMANLANDS LÄN</t>
        </is>
      </c>
      <c r="G364" t="inlineStr">
        <is>
          <t>SKINNSKATTEBERG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45480</v>
      </c>
      <c r="E365" s="1" t="n">
        <v>46284</v>
      </c>
      <c r="F365" t="inlineStr">
        <is>
          <t>VÄSTMANLANDS LÄN</t>
        </is>
      </c>
      <c r="G365" t="inlineStr">
        <is>
          <t>SKINNSKATTEBERG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46262</v>
      </c>
      <c r="E366" s="1" t="n">
        <v>46284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46284</v>
      </c>
      <c r="F367" t="inlineStr">
        <is>
          <t>VÄSTMANLANDS LÄN</t>
        </is>
      </c>
      <c r="G367" t="inlineStr">
        <is>
          <t>SKINNSKATTEBERG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22285-2025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45786</v>
      </c>
      <c r="E368" s="1" t="n">
        <v>46284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46284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45443</v>
      </c>
      <c r="E370" s="1" t="n">
        <v>46284</v>
      </c>
      <c r="F370" t="inlineStr">
        <is>
          <t>VÄSTMANLANDS LÄN</t>
        </is>
      </c>
      <c r="G370" t="inlineStr">
        <is>
          <t>SKINNSKATTEBERG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45527</v>
      </c>
      <c r="E371" s="1" t="n">
        <v>46284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45476</v>
      </c>
      <c r="E372" s="1" t="n">
        <v>46284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46282</v>
      </c>
      <c r="E373" s="1" t="n">
        <v>46284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25846-2025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45804</v>
      </c>
      <c r="E374" s="1" t="n">
        <v>46284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46284</v>
      </c>
      <c r="F375" t="inlineStr">
        <is>
          <t>VÄSTMANLANDS LÄN</t>
        </is>
      </c>
      <c r="G375" t="inlineStr">
        <is>
          <t>SKINNSKATTEBERG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28831-2025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45820</v>
      </c>
      <c r="E376" s="1" t="n">
        <v>46284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28873-2025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45820</v>
      </c>
      <c r="E377" s="1" t="n">
        <v>46284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29808-2025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45825</v>
      </c>
      <c r="E378" s="1" t="n">
        <v>46284</v>
      </c>
      <c r="F378" t="inlineStr">
        <is>
          <t>VÄSTMANLANDS LÄN</t>
        </is>
      </c>
      <c r="G378" t="inlineStr">
        <is>
          <t>SKINNSKATTEBERG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29810-2025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45825</v>
      </c>
      <c r="E379" s="1" t="n">
        <v>46284</v>
      </c>
      <c r="F379" t="inlineStr">
        <is>
          <t>VÄSTMANLANDS LÄN</t>
        </is>
      </c>
      <c r="G379" t="inlineStr">
        <is>
          <t>SKINNSKATTEBERG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45827</v>
      </c>
      <c r="E380" s="1" t="n">
        <v>46284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30439-2025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45827</v>
      </c>
      <c r="E381" s="1" t="n">
        <v>46284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45832</v>
      </c>
      <c r="E382" s="1" t="n">
        <v>46284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46284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45832</v>
      </c>
      <c r="E384" s="1" t="n">
        <v>46284</v>
      </c>
      <c r="F384" t="inlineStr">
        <is>
          <t>VÄSTMANLANDS LÄN</t>
        </is>
      </c>
      <c r="G384" t="inlineStr">
        <is>
          <t>SKINNSKATTEBERG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46284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45853</v>
      </c>
      <c r="E386" s="1" t="n">
        <v>46284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46284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35205-2025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45853</v>
      </c>
      <c r="E388" s="1" t="n">
        <v>46284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46284</v>
      </c>
      <c r="F389" t="inlineStr">
        <is>
          <t>VÄSTMANLANDS LÄN</t>
        </is>
      </c>
      <c r="G389" t="inlineStr">
        <is>
          <t>SKINNSKATTEBERG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1765-2024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45435</v>
      </c>
      <c r="E390" s="1" t="n">
        <v>46284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1462-2025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46284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1931-2025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45827</v>
      </c>
      <c r="E392" s="1" t="n">
        <v>46284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2177-2025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45853</v>
      </c>
      <c r="E393" s="1" t="n">
        <v>46284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46284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2421-2025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45897</v>
      </c>
      <c r="E395" s="1" t="n">
        <v>46284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2420-2025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45897</v>
      </c>
      <c r="E396" s="1" t="n">
        <v>46284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2456-2025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45901</v>
      </c>
      <c r="E397" s="1" t="n">
        <v>46284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2578-2025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45915</v>
      </c>
      <c r="E398" s="1" t="n">
        <v>46284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1325-2026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46147</v>
      </c>
      <c r="E399" s="1" t="n">
        <v>46284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65.3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1678-2026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46182</v>
      </c>
      <c r="E400" s="1" t="n">
        <v>46284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46284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2239-2026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46260</v>
      </c>
      <c r="E402" s="1" t="n">
        <v>46284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2266-2026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46262</v>
      </c>
      <c r="E403" s="1" t="n">
        <v>46284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2026-09-19T02:06:19Z</dcterms:created>
  <dcterms:modified xmlns:dcterms="http://purl.org/dc/terms/" xmlns:xsi="http://www.w3.org/2001/XMLSchema-instance" xsi:type="dcterms:W3CDTF">2026-09-19T02:06:20Z</dcterms:modified>
</cp:coreProperties>
</file>