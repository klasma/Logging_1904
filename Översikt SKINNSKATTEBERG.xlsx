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46268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46268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46268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46268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46268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46268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46268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46268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46268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46268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46268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46268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46268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46268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46268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46268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46268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46268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46268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46268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46268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46268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46268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46268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46268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46268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27565-2024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45474</v>
      </c>
      <c r="E32" s="1" t="n">
        <v>46268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HYPERLINK("https://klasma.github.io/Logging_1904/artfynd/A 27565-2024 artfynd.xlsx", "A 27565-2024")</f>
        <v/>
      </c>
      <c r="X32">
        <f>HYPERLINK("https://klasma.github.io/Logging_1904/kartor/A 27565-2024 karta.png", "A 27565-2024")</f>
        <v/>
      </c>
      <c r="Y32">
        <f>HYPERLINK("https://klasma.github.io/Logging_1904/kartor_geotiff/A 27565-2024 georefererad karta.tif", "A 27565-2024")</f>
        <v/>
      </c>
      <c r="AA32">
        <f>HYPERLINK("https://klasma.github.io/Logging_1904/klagomål/A 27565-2024 FSC-klagomål.docx", "A 27565-2024")</f>
        <v/>
      </c>
      <c r="AB32">
        <f>HYPERLINK("https://klasma.github.io/Logging_1904/klagomålsmail/A 27565-2024 FSC-klagomål mail.docx", "A 27565-2024")</f>
        <v/>
      </c>
      <c r="AC32">
        <f>HYPERLINK("https://klasma.github.io/Logging_1904/tillsyn/A 27565-2024 tillsynsbegäran.docx", "A 27565-2024")</f>
        <v/>
      </c>
      <c r="AD32">
        <f>HYPERLINK("https://klasma.github.io/Logging_1904/tillsynsmail/A 27565-2024 tillsynsbegäran mail.docx", "A 27565-2024")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46268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24492-2026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46268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HYPERLINK("https://klasma.github.io/Logging_1904/artfynd/A 24492-2026 artfynd.xlsx", "A 24492-2026")</f>
        <v/>
      </c>
      <c r="X34">
        <f>HYPERLINK("https://klasma.github.io/Logging_1904/kartor/A 24492-2026 karta.png", "A 24492-2026")</f>
        <v/>
      </c>
      <c r="Y34">
        <f>HYPERLINK("https://klasma.github.io/Logging_1904/kartor_geotiff/A 24492-2026 georefererad karta.tif", "A 24492-2026")</f>
        <v/>
      </c>
      <c r="AA34">
        <f>HYPERLINK("https://klasma.github.io/Logging_1904/klagomål/A 24492-2026 FSC-klagomål.docx", "A 24492-2026")</f>
        <v/>
      </c>
      <c r="AB34">
        <f>HYPERLINK("https://klasma.github.io/Logging_1904/klagomålsmail/A 24492-2026 FSC-klagomål mail.docx", "A 24492-2026")</f>
        <v/>
      </c>
      <c r="AC34">
        <f>HYPERLINK("https://klasma.github.io/Logging_1904/tillsyn/A 24492-2026 tillsynsbegäran.docx", "A 24492-2026")</f>
        <v/>
      </c>
      <c r="AD34">
        <f>HYPERLINK("https://klasma.github.io/Logging_1904/tillsynsmail/A 24492-2026 tillsynsbegäran mail.docx", "A 24492-2026")</f>
        <v/>
      </c>
      <c r="AE34">
        <f>HYPERLINK("https://klasma.github.io/Logging_1904/fåglar/A 24492-2026 prioriterade fågelarter.docx", "A 24492-2026")</f>
        <v/>
      </c>
    </row>
    <row r="35" ht="15" customHeight="1">
      <c r="A35" t="inlineStr">
        <is>
          <t>A 24944-2026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8.4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HYPERLINK("https://klasma.github.io/Logging_1904/artfynd/A 24944-2026 artfynd.xlsx", "A 24944-2026")</f>
        <v/>
      </c>
      <c r="X35">
        <f>HYPERLINK("https://klasma.github.io/Logging_1904/kartor/A 24944-2026 karta.png", "A 24944-2026")</f>
        <v/>
      </c>
      <c r="Y35">
        <f>HYPERLINK("https://klasma.github.io/Logging_1904/kartor_geotiff/A 24944-2026 georefererad karta.tif", "A 24944-2026")</f>
        <v/>
      </c>
      <c r="AA35">
        <f>HYPERLINK("https://klasma.github.io/Logging_1904/klagomål/A 24944-2026 FSC-klagomål.docx", "A 24944-2026")</f>
        <v/>
      </c>
      <c r="AB35">
        <f>HYPERLINK("https://klasma.github.io/Logging_1904/klagomålsmail/A 24944-2026 FSC-klagomål mail.docx", "A 24944-2026")</f>
        <v/>
      </c>
      <c r="AC35">
        <f>HYPERLINK("https://klasma.github.io/Logging_1904/tillsyn/A 24944-2026 tillsynsbegäran.docx", "A 24944-2026")</f>
        <v/>
      </c>
      <c r="AD35">
        <f>HYPERLINK("https://klasma.github.io/Logging_1904/tillsynsmail/A 24944-2026 tillsynsbegäran mail.docx", "A 24944-2026")</f>
        <v/>
      </c>
    </row>
    <row r="36" ht="15" customHeight="1">
      <c r="A36" t="inlineStr">
        <is>
          <t>A 26860-2026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46268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10.3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HYPERLINK("https://klasma.github.io/Logging_1904/artfynd/A 26860-2026 artfynd.xlsx", "A 26860-2026")</f>
        <v/>
      </c>
      <c r="X36">
        <f>HYPERLINK("https://klasma.github.io/Logging_1904/kartor/A 26860-2026 karta.png", "A 26860-2026")</f>
        <v/>
      </c>
      <c r="Y36">
        <f>HYPERLINK("https://klasma.github.io/Logging_1904/kartor_geotiff/A 26860-2026 georefererad karta.tif", "A 26860-2026")</f>
        <v/>
      </c>
      <c r="AA36">
        <f>HYPERLINK("https://klasma.github.io/Logging_1904/klagomål/A 26860-2026 FSC-klagomål.docx", "A 26860-2026")</f>
        <v/>
      </c>
      <c r="AB36">
        <f>HYPERLINK("https://klasma.github.io/Logging_1904/klagomålsmail/A 26860-2026 FSC-klagomål mail.docx", "A 26860-2026")</f>
        <v/>
      </c>
      <c r="AC36">
        <f>HYPERLINK("https://klasma.github.io/Logging_1904/tillsyn/A 26860-2026 tillsynsbegäran.docx", "A 26860-2026")</f>
        <v/>
      </c>
      <c r="AD36">
        <f>HYPERLINK("https://klasma.github.io/Logging_1904/tillsynsmail/A 26860-2026 tillsynsbegäran mail.docx", "A 26860-2026")</f>
        <v/>
      </c>
      <c r="AE36">
        <f>HYPERLINK("https://klasma.github.io/Logging_1904/fåglar/A 26860-2026 prioriterade fågelarter.docx", "A 26860-2026")</f>
        <v/>
      </c>
    </row>
    <row r="37" ht="15" customHeight="1">
      <c r="A37" t="inlineStr">
        <is>
          <t>A 9491-2024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46268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Skogshare</t>
        </is>
      </c>
      <c r="W37">
        <f>HYPERLINK("https://klasma.github.io/Logging_1904/artfynd/A 9491-2024 artfynd.xlsx", "A 9491-2024")</f>
        <v/>
      </c>
      <c r="X37">
        <f>HYPERLINK("https://klasma.github.io/Logging_1904/kartor/A 9491-2024 karta.png", "A 9491-2024")</f>
        <v/>
      </c>
      <c r="Y37">
        <f>HYPERLINK("https://klasma.github.io/Logging_1904/kartor_geotiff/A 9491-2024 georefererad karta.tif", "A 9491-2024")</f>
        <v/>
      </c>
      <c r="AA37">
        <f>HYPERLINK("https://klasma.github.io/Logging_1904/klagomål/A 9491-2024 FSC-klagomål.docx", "A 9491-2024")</f>
        <v/>
      </c>
      <c r="AB37">
        <f>HYPERLINK("https://klasma.github.io/Logging_1904/klagomålsmail/A 9491-2024 FSC-klagomål mail.docx", "A 9491-2024")</f>
        <v/>
      </c>
      <c r="AC37">
        <f>HYPERLINK("https://klasma.github.io/Logging_1904/tillsyn/A 9491-2024 tillsynsbegäran.docx", "A 9491-2024")</f>
        <v/>
      </c>
      <c r="AD37">
        <f>HYPERLINK("https://klasma.github.io/Logging_1904/tillsynsmail/A 9491-2024 tillsynsbegäran mail.docx", "A 9491-2024")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46268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23893-2023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46268</v>
      </c>
      <c r="F39" t="inlineStr">
        <is>
          <t>VÄSTMANLANDS LÄN</t>
        </is>
      </c>
      <c r="G39" t="inlineStr">
        <is>
          <t>SKINNSKATTEBERG</t>
        </is>
      </c>
      <c r="I39" t="n">
        <v>1.6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Knärot</t>
        </is>
      </c>
      <c r="W39">
        <f>HYPERLINK("https://klasma.github.io/Logging_1904/artfynd/A 23893-2023 artfynd.xlsx", "A 23893-2023")</f>
        <v/>
      </c>
      <c r="X39">
        <f>HYPERLINK("https://klasma.github.io/Logging_1904/kartor/A 23893-2023 karta.png", "A 23893-2023")</f>
        <v/>
      </c>
      <c r="Y39">
        <f>HYPERLINK("https://klasma.github.io/Logging_1904/kartor_geotiff/A 23893-2023 georefererad karta.tif", "A 23893-2023")</f>
        <v/>
      </c>
      <c r="Z39">
        <f>HYPERLINK("https://klasma.github.io/Logging_1904/knärot/A 23893-2023 karta knärot.png", "A 23893-2023")</f>
        <v/>
      </c>
      <c r="AA39">
        <f>HYPERLINK("https://klasma.github.io/Logging_1904/klagomål/A 23893-2023 FSC-klagomål.docx", "A 23893-2023")</f>
        <v/>
      </c>
      <c r="AB39">
        <f>HYPERLINK("https://klasma.github.io/Logging_1904/klagomålsmail/A 23893-2023 FSC-klagomål mail.docx", "A 23893-2023")</f>
        <v/>
      </c>
      <c r="AC39">
        <f>HYPERLINK("https://klasma.github.io/Logging_1904/tillsyn/A 23893-2023 tillsynsbegäran.docx", "A 23893-2023")</f>
        <v/>
      </c>
      <c r="AD39">
        <f>HYPERLINK("https://klasma.github.io/Logging_1904/tillsynsmail/A 23893-2023 tillsynsbegäran mail.docx", "A 23893-2023")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46268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HYPERLINK("https://klasma.github.io/Logging_1904/artfynd/A 30579-2026 artfynd.xlsx", "A 30579-2026")</f>
        <v/>
      </c>
      <c r="X40">
        <f>HYPERLINK("https://klasma.github.io/Logging_1904/kartor/A 30579-2026 karta.png", "A 30579-2026")</f>
        <v/>
      </c>
      <c r="Y40">
        <f>HYPERLINK("https://klasma.github.io/Logging_1904/kartor_geotiff/A 30579-2026 georefererad karta.tif", "A 30579-2026")</f>
        <v/>
      </c>
      <c r="AA40">
        <f>HYPERLINK("https://klasma.github.io/Logging_1904/klagomål/A 30579-2026 FSC-klagomål.docx", "A 30579-2026")</f>
        <v/>
      </c>
      <c r="AB40">
        <f>HYPERLINK("https://klasma.github.io/Logging_1904/klagomålsmail/A 30579-2026 FSC-klagomål mail.docx", "A 30579-2026")</f>
        <v/>
      </c>
      <c r="AC40">
        <f>HYPERLINK("https://klasma.github.io/Logging_1904/tillsyn/A 30579-2026 tillsynsbegäran.docx", "A 30579-2026")</f>
        <v/>
      </c>
      <c r="AD40">
        <f>HYPERLINK("https://klasma.github.io/Logging_1904/tillsynsmail/A 30579-2026 tillsynsbegäran mail.docx", "A 30579-2026")</f>
        <v/>
      </c>
    </row>
    <row r="41" ht="15" customHeight="1">
      <c r="A41" t="inlineStr">
        <is>
          <t>A 33435-2024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46268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33435-2024 artfynd.xlsx", "A 33435-2024")</f>
        <v/>
      </c>
      <c r="X41">
        <f>HYPERLINK("https://klasma.github.io/Logging_1904/kartor/A 33435-2024 karta.png", "A 33435-2024")</f>
        <v/>
      </c>
      <c r="Y41">
        <f>HYPERLINK("https://klasma.github.io/Logging_1904/kartor_geotiff/A 33435-2024 georefererad karta.tif", "A 33435-2024")</f>
        <v/>
      </c>
      <c r="AA41">
        <f>HYPERLINK("https://klasma.github.io/Logging_1904/klagomål/A 33435-2024 FSC-klagomål.docx", "A 33435-2024")</f>
        <v/>
      </c>
      <c r="AB41">
        <f>HYPERLINK("https://klasma.github.io/Logging_1904/klagomålsmail/A 33435-2024 FSC-klagomål mail.docx", "A 33435-2024")</f>
        <v/>
      </c>
      <c r="AC41">
        <f>HYPERLINK("https://klasma.github.io/Logging_1904/tillsyn/A 33435-2024 tillsynsbegäran.docx", "A 33435-2024")</f>
        <v/>
      </c>
      <c r="AD41">
        <f>HYPERLINK("https://klasma.github.io/Logging_1904/tillsynsmail/A 33435-2024 tillsynsbegäran mail.docx", "A 33435-2024")</f>
        <v/>
      </c>
      <c r="AE41">
        <f>HYPERLINK("https://klasma.github.io/Logging_1904/fåglar/A 33435-2024 prioriterade fågelarter.docx", "A 33435-2024")</f>
        <v/>
      </c>
    </row>
    <row r="42" ht="15" customHeight="1">
      <c r="A42" t="inlineStr">
        <is>
          <t>A 34303-2026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46254</v>
      </c>
      <c r="E42" s="1" t="n">
        <v>46268</v>
      </c>
      <c r="F42" t="inlineStr">
        <is>
          <t>VÄSTMANLANDS LÄN</t>
        </is>
      </c>
      <c r="G42" t="inlineStr">
        <is>
          <t>SKINNSKATTEBERG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HYPERLINK("https://klasma.github.io/Logging_1904/artfynd/A 34303-2026 artfynd.xlsx", "A 34303-2026")</f>
        <v/>
      </c>
      <c r="X42">
        <f>HYPERLINK("https://klasma.github.io/Logging_1904/kartor/A 34303-2026 karta.png", "A 34303-2026")</f>
        <v/>
      </c>
      <c r="Y42">
        <f>HYPERLINK("https://klasma.github.io/Logging_1904/kartor_geotiff/A 34303-2026 georefererad karta.tif", "A 34303-2026")</f>
        <v/>
      </c>
      <c r="AA42">
        <f>HYPERLINK("https://klasma.github.io/Logging_1904/klagomål/A 34303-2026 FSC-klagomål.docx", "A 34303-2026")</f>
        <v/>
      </c>
      <c r="AB42">
        <f>HYPERLINK("https://klasma.github.io/Logging_1904/klagomålsmail/A 34303-2026 FSC-klagomål mail.docx", "A 34303-2026")</f>
        <v/>
      </c>
      <c r="AC42">
        <f>HYPERLINK("https://klasma.github.io/Logging_1904/tillsyn/A 34303-2026 tillsynsbegäran.docx", "A 34303-2026")</f>
        <v/>
      </c>
      <c r="AD42">
        <f>HYPERLINK("https://klasma.github.io/Logging_1904/tillsynsmail/A 34303-2026 tillsynsbegäran mail.docx", "A 34303-2026")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46268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9490-2024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46268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Nattskärra</t>
        </is>
      </c>
      <c r="W44">
        <f>HYPERLINK("https://klasma.github.io/Logging_1904/artfynd/A 9490-2024 artfynd.xlsx", "A 9490-2024")</f>
        <v/>
      </c>
      <c r="X44">
        <f>HYPERLINK("https://klasma.github.io/Logging_1904/kartor/A 9490-2024 karta.png", "A 9490-2024")</f>
        <v/>
      </c>
      <c r="Y44">
        <f>HYPERLINK("https://klasma.github.io/Logging_1904/kartor_geotiff/A 9490-2024 georefererad karta.tif", "A 9490-2024")</f>
        <v/>
      </c>
      <c r="AA44">
        <f>HYPERLINK("https://klasma.github.io/Logging_1904/klagomål/A 9490-2024 FSC-klagomål.docx", "A 9490-2024")</f>
        <v/>
      </c>
      <c r="AB44">
        <f>HYPERLINK("https://klasma.github.io/Logging_1904/klagomålsmail/A 9490-2024 FSC-klagomål mail.docx", "A 9490-2024")</f>
        <v/>
      </c>
      <c r="AC44">
        <f>HYPERLINK("https://klasma.github.io/Logging_1904/tillsyn/A 9490-2024 tillsynsbegäran.docx", "A 9490-2024")</f>
        <v/>
      </c>
      <c r="AD44">
        <f>HYPERLINK("https://klasma.github.io/Logging_1904/tillsynsmail/A 9490-2024 tillsynsbegäran mail.docx", "A 9490-2024")</f>
        <v/>
      </c>
      <c r="AE44">
        <f>HYPERLINK("https://klasma.github.io/Logging_1904/fåglar/A 9490-2024 prioriterade fågelarter.docx", "A 9490-2024")</f>
        <v/>
      </c>
    </row>
    <row r="45" ht="15" customHeight="1">
      <c r="A45" t="inlineStr">
        <is>
          <t>A 35371-2026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46268</v>
      </c>
      <c r="F45" t="inlineStr">
        <is>
          <t>VÄSTMANLANDS LÄN</t>
        </is>
      </c>
      <c r="G45" t="inlineStr">
        <is>
          <t>SKINNSKATTEBERG</t>
        </is>
      </c>
      <c r="I45" t="n">
        <v>1.3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HYPERLINK("https://klasma.github.io/Logging_1904/artfynd/A 35371-2026 artfynd.xlsx", "A 35371-2026")</f>
        <v/>
      </c>
      <c r="X45">
        <f>HYPERLINK("https://klasma.github.io/Logging_1904/kartor/A 35371-2026 karta.png", "A 35371-2026")</f>
        <v/>
      </c>
      <c r="Y45">
        <f>HYPERLINK("https://klasma.github.io/Logging_1904/kartor_geotiff/A 35371-2026 georefererad karta.tif", "A 35371-2026")</f>
        <v/>
      </c>
      <c r="AA45">
        <f>HYPERLINK("https://klasma.github.io/Logging_1904/klagomål/A 35371-2026 FSC-klagomål.docx", "A 35371-2026")</f>
        <v/>
      </c>
      <c r="AB45">
        <f>HYPERLINK("https://klasma.github.io/Logging_1904/klagomålsmail/A 35371-2026 FSC-klagomål mail.docx", "A 35371-2026")</f>
        <v/>
      </c>
      <c r="AC45">
        <f>HYPERLINK("https://klasma.github.io/Logging_1904/tillsyn/A 35371-2026 tillsynsbegäran.docx", "A 35371-2026")</f>
        <v/>
      </c>
      <c r="AD45">
        <f>HYPERLINK("https://klasma.github.io/Logging_1904/tillsynsmail/A 35371-2026 tillsynsbegäran mail.docx", "A 35371-2026")</f>
        <v/>
      </c>
      <c r="AE45">
        <f>HYPERLINK("https://klasma.github.io/Logging_1904/fåglar/A 35371-2026 prioriterade fågelarter.docx", "A 35371-2026")</f>
        <v/>
      </c>
    </row>
    <row r="46" ht="15" customHeight="1">
      <c r="A46" t="inlineStr">
        <is>
          <t>A 4000-2024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46268</v>
      </c>
      <c r="F46" t="inlineStr">
        <is>
          <t>VÄSTMANLANDS LÄN</t>
        </is>
      </c>
      <c r="G46" t="inlineStr">
        <is>
          <t>SKINNSKATTEBERG</t>
        </is>
      </c>
      <c r="I46" t="n">
        <v>14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Klasefibbla</t>
        </is>
      </c>
      <c r="W46">
        <f>HYPERLINK("https://klasma.github.io/Logging_1904/artfynd/A 4000-2024 artfynd.xlsx", "A 4000-2024")</f>
        <v/>
      </c>
      <c r="X46">
        <f>HYPERLINK("https://klasma.github.io/Logging_1904/kartor/A 4000-2024 karta.png", "A 4000-2024")</f>
        <v/>
      </c>
      <c r="Y46">
        <f>HYPERLINK("https://klasma.github.io/Logging_1904/kartor_geotiff/A 4000-2024 georefererad karta.tif", "A 4000-2024")</f>
        <v/>
      </c>
      <c r="AA46">
        <f>HYPERLINK("https://klasma.github.io/Logging_1904/klagomål/A 4000-2024 FSC-klagomål.docx", "A 4000-2024")</f>
        <v/>
      </c>
      <c r="AB46">
        <f>HYPERLINK("https://klasma.github.io/Logging_1904/klagomålsmail/A 4000-2024 FSC-klagomål mail.docx", "A 4000-2024")</f>
        <v/>
      </c>
      <c r="AC46">
        <f>HYPERLINK("https://klasma.github.io/Logging_1904/tillsyn/A 4000-2024 tillsynsbegäran.docx", "A 4000-2024")</f>
        <v/>
      </c>
      <c r="AD46">
        <f>HYPERLINK("https://klasma.github.io/Logging_1904/tillsynsmail/A 4000-2024 tillsynsbegäran mail.docx", "A 4000-2024")</f>
        <v/>
      </c>
    </row>
    <row r="47" ht="15" customHeight="1">
      <c r="A47" t="inlineStr">
        <is>
          <t>A 28312-2023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46268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HYPERLINK("https://klasma.github.io/Logging_1904/artfynd/A 28312-2023 artfynd.xlsx", "A 28312-2023")</f>
        <v/>
      </c>
      <c r="X47">
        <f>HYPERLINK("https://klasma.github.io/Logging_1904/kartor/A 28312-2023 karta.png", "A 28312-2023")</f>
        <v/>
      </c>
      <c r="Y47">
        <f>HYPERLINK("https://klasma.github.io/Logging_1904/kartor_geotiff/A 28312-2023 georefererad karta.tif", "A 28312-2023")</f>
        <v/>
      </c>
      <c r="AA47">
        <f>HYPERLINK("https://klasma.github.io/Logging_1904/klagomål/A 28312-2023 FSC-klagomål.docx", "A 28312-2023")</f>
        <v/>
      </c>
      <c r="AB47">
        <f>HYPERLINK("https://klasma.github.io/Logging_1904/klagomålsmail/A 28312-2023 FSC-klagomål mail.docx", "A 28312-2023")</f>
        <v/>
      </c>
      <c r="AC47">
        <f>HYPERLINK("https://klasma.github.io/Logging_1904/tillsyn/A 28312-2023 tillsynsbegäran.docx", "A 28312-2023")</f>
        <v/>
      </c>
      <c r="AD47">
        <f>HYPERLINK("https://klasma.github.io/Logging_1904/tillsynsmail/A 28312-2023 tillsynsbegäran mail.docx", "A 28312-2023")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46268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46268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46268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46268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46268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46268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46268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46268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46268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46268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46268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46268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46268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46268</v>
      </c>
      <c r="F61" t="inlineStr">
        <is>
          <t>VÄSTMANLANDS LÄN</t>
        </is>
      </c>
      <c r="G61" t="inlineStr">
        <is>
          <t>SKINNSKATTEBERG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46268</v>
      </c>
      <c r="F62" t="inlineStr">
        <is>
          <t>VÄSTMANLANDS LÄN</t>
        </is>
      </c>
      <c r="G62" t="inlineStr">
        <is>
          <t>SKINNSKATTEBERG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46268</v>
      </c>
      <c r="F63" t="inlineStr">
        <is>
          <t>VÄSTMANLANDS LÄN</t>
        </is>
      </c>
      <c r="G63" t="inlineStr">
        <is>
          <t>SKINNSKATTEBERG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46268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46268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46268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46268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46268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46268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46268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46268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46268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46268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46268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45762</v>
      </c>
      <c r="E75" s="1" t="n">
        <v>46268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46268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46268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46268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46268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46268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46268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46268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46268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46268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46268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46268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46268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46268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45637</v>
      </c>
      <c r="E89" s="1" t="n">
        <v>46268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46268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46268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53145-2021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44468</v>
      </c>
      <c r="E92" s="1" t="n">
        <v>46268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46268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45375</v>
      </c>
      <c r="E94" s="1" t="n">
        <v>46268</v>
      </c>
      <c r="F94" t="inlineStr">
        <is>
          <t>VÄSTMANLANDS LÄN</t>
        </is>
      </c>
      <c r="G94" t="inlineStr">
        <is>
          <t>SKINNSKATTEBERG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45250</v>
      </c>
      <c r="E95" s="1" t="n">
        <v>46268</v>
      </c>
      <c r="F95" t="inlineStr">
        <is>
          <t>VÄSTMANLANDS LÄN</t>
        </is>
      </c>
      <c r="G95" t="inlineStr">
        <is>
          <t>SKINNSKATTEBERG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46268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46268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25846-2025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45804</v>
      </c>
      <c r="E98" s="1" t="n">
        <v>46268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46268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46268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28940-2024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45480</v>
      </c>
      <c r="E101" s="1" t="n">
        <v>46268</v>
      </c>
      <c r="F101" t="inlineStr">
        <is>
          <t>VÄSTMANLANDS LÄN</t>
        </is>
      </c>
      <c r="G101" t="inlineStr">
        <is>
          <t>SKINNSKATTEBERG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46268</v>
      </c>
      <c r="F102" t="inlineStr">
        <is>
          <t>VÄSTMANLANDS LÄN</t>
        </is>
      </c>
      <c r="G102" t="inlineStr">
        <is>
          <t>SKINNSKATTEBERG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46268</v>
      </c>
      <c r="F103" t="inlineStr">
        <is>
          <t>VÄSTMANLANDS LÄN</t>
        </is>
      </c>
      <c r="G103" t="inlineStr">
        <is>
          <t>SKINNSKATTEBERG</t>
        </is>
      </c>
      <c r="I103" t="n">
        <v>10.5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46268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28831-2025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45820</v>
      </c>
      <c r="E105" s="1" t="n">
        <v>46268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28873-2025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45820</v>
      </c>
      <c r="E106" s="1" t="n">
        <v>46268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29808-2025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46268</v>
      </c>
      <c r="F107" t="inlineStr">
        <is>
          <t>VÄSTMANLANDS LÄN</t>
        </is>
      </c>
      <c r="G107" t="inlineStr">
        <is>
          <t>SKINNSKATTEBERG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45770</v>
      </c>
      <c r="E108" s="1" t="n">
        <v>46268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46037</v>
      </c>
      <c r="E109" s="1" t="n">
        <v>46268</v>
      </c>
      <c r="F109" t="inlineStr">
        <is>
          <t>VÄSTMANLANDS LÄN</t>
        </is>
      </c>
      <c r="G109" t="inlineStr">
        <is>
          <t>SKINNSKATTEBERG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46268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45825</v>
      </c>
      <c r="E111" s="1" t="n">
        <v>46268</v>
      </c>
      <c r="F111" t="inlineStr">
        <is>
          <t>VÄSTMANLANDS LÄN</t>
        </is>
      </c>
      <c r="G111" t="inlineStr">
        <is>
          <t>SKINNSKATTEBERG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45571</v>
      </c>
      <c r="E112" s="1" t="n">
        <v>46268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40776-2025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46268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46268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46268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46268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46268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46268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30439-2025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45827</v>
      </c>
      <c r="E119" s="1" t="n">
        <v>46268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46268</v>
      </c>
      <c r="F120" t="inlineStr">
        <is>
          <t>VÄSTMANLANDS LÄN</t>
        </is>
      </c>
      <c r="G120" t="inlineStr">
        <is>
          <t>SKINNSKATTEBERG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46268</v>
      </c>
      <c r="F121" t="inlineStr">
        <is>
          <t>VÄSTMANLANDS LÄN</t>
        </is>
      </c>
      <c r="G121" t="inlineStr">
        <is>
          <t>SKINNSKATTEBERG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46268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46268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46268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31234-2025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45832</v>
      </c>
      <c r="E125" s="1" t="n">
        <v>46268</v>
      </c>
      <c r="F125" t="inlineStr">
        <is>
          <t>VÄSTMANLANDS LÄN</t>
        </is>
      </c>
      <c r="G125" t="inlineStr">
        <is>
          <t>SKINNSKATTEBERG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46268</v>
      </c>
      <c r="F126" t="inlineStr">
        <is>
          <t>VÄSTMANLANDS LÄN</t>
        </is>
      </c>
      <c r="G126" t="inlineStr">
        <is>
          <t>SKINNSKATTEBERG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46268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46268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46268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46268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44184-2025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45915</v>
      </c>
      <c r="E131" s="1" t="n">
        <v>46268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46268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45848</v>
      </c>
      <c r="E133" s="1" t="n">
        <v>46268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45527</v>
      </c>
      <c r="E134" s="1" t="n">
        <v>46268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45853</v>
      </c>
      <c r="E135" s="1" t="n">
        <v>46268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46268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46268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46268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46268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35205-2025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45853</v>
      </c>
      <c r="E140" s="1" t="n">
        <v>46268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46268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46268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44603</v>
      </c>
      <c r="E143" s="1" t="n">
        <v>46268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Kyrkan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46268</v>
      </c>
      <c r="F144" t="inlineStr">
        <is>
          <t>VÄSTMANLANDS LÄN</t>
        </is>
      </c>
      <c r="G144" t="inlineStr">
        <is>
          <t>SKINNSKATTEBERG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46268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46268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46268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46268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46268</v>
      </c>
      <c r="F149" t="inlineStr">
        <is>
          <t>VÄSTMANLANDS LÄN</t>
        </is>
      </c>
      <c r="G149" t="inlineStr">
        <is>
          <t>SKINNSKATTEBERG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46268</v>
      </c>
      <c r="F151" t="inlineStr">
        <is>
          <t>VÄSTMANLANDS LÄN</t>
        </is>
      </c>
      <c r="G151" t="inlineStr">
        <is>
          <t>SKINNSKATTEBERG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5704-2026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46051</v>
      </c>
      <c r="E152" s="1" t="n">
        <v>46268</v>
      </c>
      <c r="F152" t="inlineStr">
        <is>
          <t>VÄSTMANLANDS LÄN</t>
        </is>
      </c>
      <c r="G152" t="inlineStr">
        <is>
          <t>SKINNSKATTEBERG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46268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5693-2026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46051</v>
      </c>
      <c r="E154" s="1" t="n">
        <v>46268</v>
      </c>
      <c r="F154" t="inlineStr">
        <is>
          <t>VÄSTMANLANDS LÄN</t>
        </is>
      </c>
      <c r="G154" t="inlineStr">
        <is>
          <t>SKINNSKATTEBERG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5675-2026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46051</v>
      </c>
      <c r="E155" s="1" t="n">
        <v>46268</v>
      </c>
      <c r="F155" t="inlineStr">
        <is>
          <t>VÄSTMANLANDS LÄN</t>
        </is>
      </c>
      <c r="G155" t="inlineStr">
        <is>
          <t>SKINNSKATTEBERG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45947</v>
      </c>
      <c r="E156" s="1" t="n">
        <v>46268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46268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46268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46268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46268</v>
      </c>
      <c r="F160" t="inlineStr">
        <is>
          <t>VÄSTMANLANDS LÄN</t>
        </is>
      </c>
      <c r="G160" t="inlineStr">
        <is>
          <t>SKINNSKATTEBERG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46268</v>
      </c>
      <c r="F161" t="inlineStr">
        <is>
          <t>VÄSTMANLANDS LÄN</t>
        </is>
      </c>
      <c r="G161" t="inlineStr">
        <is>
          <t>SKINNSKATTEBERG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46268</v>
      </c>
      <c r="F162" t="inlineStr">
        <is>
          <t>VÄSTMANLANDS LÄN</t>
        </is>
      </c>
      <c r="G162" t="inlineStr">
        <is>
          <t>SKINNSKATTEBERG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46268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46268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46268</v>
      </c>
      <c r="F165" t="inlineStr">
        <is>
          <t>VÄSTMANLANDS LÄN</t>
        </is>
      </c>
      <c r="G165" t="inlineStr">
        <is>
          <t>SKINNSKATTEBERG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46268</v>
      </c>
      <c r="F166" t="inlineStr">
        <is>
          <t>VÄSTMANLANDS LÄN</t>
        </is>
      </c>
      <c r="G166" t="inlineStr">
        <is>
          <t>SKINNSKATTEBERG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46268</v>
      </c>
      <c r="F167" t="inlineStr">
        <is>
          <t>VÄSTMANLANDS LÄN</t>
        </is>
      </c>
      <c r="G167" t="inlineStr">
        <is>
          <t>SKINNSKATTEBERG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31262-2023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45114</v>
      </c>
      <c r="E168" s="1" t="n">
        <v>46268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46268</v>
      </c>
      <c r="F169" t="inlineStr">
        <is>
          <t>VÄSTMANLANDS LÄN</t>
        </is>
      </c>
      <c r="G169" t="inlineStr">
        <is>
          <t>SKINNSKATTEBERG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46268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46268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46268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43805-2024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45571</v>
      </c>
      <c r="E173" s="1" t="n">
        <v>46268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45571</v>
      </c>
      <c r="E174" s="1" t="n">
        <v>46268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46268</v>
      </c>
      <c r="F175" t="inlineStr">
        <is>
          <t>VÄSTMANLANDS LÄN</t>
        </is>
      </c>
      <c r="G175" t="inlineStr">
        <is>
          <t>SKINNSKATTEBERG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20248-2024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45434</v>
      </c>
      <c r="E176" s="1" t="n">
        <v>46268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46268</v>
      </c>
      <c r="F177" t="inlineStr">
        <is>
          <t>VÄSTMANLANDS LÄN</t>
        </is>
      </c>
      <c r="G177" t="inlineStr">
        <is>
          <t>SKINNSKATTEBERG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46268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46268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46268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56465-2025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45975</v>
      </c>
      <c r="E181" s="1" t="n">
        <v>46268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16729-2024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45410</v>
      </c>
      <c r="E182" s="1" t="n">
        <v>46268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46268</v>
      </c>
      <c r="F183" t="inlineStr">
        <is>
          <t>VÄSTMANLANDS LÄN</t>
        </is>
      </c>
      <c r="G183" t="inlineStr">
        <is>
          <t>SKINNSKATTEBERG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45134</v>
      </c>
      <c r="E184" s="1" t="n">
        <v>46268</v>
      </c>
      <c r="F184" t="inlineStr">
        <is>
          <t>VÄSTMANLANDS LÄN</t>
        </is>
      </c>
      <c r="G184" t="inlineStr">
        <is>
          <t>SKINNSKATTEBERG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46268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46268</v>
      </c>
      <c r="F186" t="inlineStr">
        <is>
          <t>VÄSTMANLANDS LÄN</t>
        </is>
      </c>
      <c r="G186" t="inlineStr">
        <is>
          <t>SKINNSKATTEBERG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45407</v>
      </c>
      <c r="E187" s="1" t="n">
        <v>46268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46268</v>
      </c>
      <c r="F188" t="inlineStr">
        <is>
          <t>VÄSTMANLANDS LÄN</t>
        </is>
      </c>
      <c r="G188" t="inlineStr">
        <is>
          <t>SKINNSKATTEBERG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46268</v>
      </c>
      <c r="F189" t="inlineStr">
        <is>
          <t>VÄSTMANLANDS LÄN</t>
        </is>
      </c>
      <c r="G189" t="inlineStr">
        <is>
          <t>SKINNSKATTEBERG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45376</v>
      </c>
      <c r="E190" s="1" t="n">
        <v>46268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46268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Kyrkan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46268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46268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46268</v>
      </c>
      <c r="F194" t="inlineStr">
        <is>
          <t>VÄSTMANLANDS LÄN</t>
        </is>
      </c>
      <c r="G194" t="inlineStr">
        <is>
          <t>SKINNSKATTEBERG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25843-2023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45090</v>
      </c>
      <c r="E195" s="1" t="n">
        <v>46268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46268</v>
      </c>
      <c r="F196" t="inlineStr">
        <is>
          <t>VÄSTMANLANDS LÄN</t>
        </is>
      </c>
      <c r="G196" t="inlineStr">
        <is>
          <t>SKINNSKATTEBERG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46003</v>
      </c>
      <c r="E197" s="1" t="n">
        <v>46268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46268</v>
      </c>
      <c r="F198" t="inlineStr">
        <is>
          <t>VÄSTMANLANDS LÄN</t>
        </is>
      </c>
      <c r="G198" t="inlineStr">
        <is>
          <t>SKINNSKATTEBERG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44648</v>
      </c>
      <c r="E199" s="1" t="n">
        <v>46268</v>
      </c>
      <c r="F199" t="inlineStr">
        <is>
          <t>VÄSTMANLANDS LÄN</t>
        </is>
      </c>
      <c r="G199" t="inlineStr">
        <is>
          <t>SKINNSKATTEBERG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46268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46268</v>
      </c>
      <c r="F201" t="inlineStr">
        <is>
          <t>VÄSTMANLANDS LÄN</t>
        </is>
      </c>
      <c r="G201" t="inlineStr">
        <is>
          <t>SKINNSKATTEBERG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46268</v>
      </c>
      <c r="F202" t="inlineStr">
        <is>
          <t>VÄSTMANLANDS LÄN</t>
        </is>
      </c>
      <c r="G202" t="inlineStr">
        <is>
          <t>SKINNSKATTEBERG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46268</v>
      </c>
      <c r="F203" t="inlineStr">
        <is>
          <t>VÄSTMANLANDS LÄN</t>
        </is>
      </c>
      <c r="G203" t="inlineStr">
        <is>
          <t>SKINNSKATTEBERG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36597-2024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46268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46268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46268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15955-2026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46108</v>
      </c>
      <c r="E207" s="1" t="n">
        <v>46268</v>
      </c>
      <c r="F207" t="inlineStr">
        <is>
          <t>VÄSTMANLANDS LÄN</t>
        </is>
      </c>
      <c r="G207" t="inlineStr">
        <is>
          <t>SKINNSKATTEBERG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46107</v>
      </c>
      <c r="E208" s="1" t="n">
        <v>46268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16136-2026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46108</v>
      </c>
      <c r="E209" s="1" t="n">
        <v>46268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46268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46268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46268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46268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46114</v>
      </c>
      <c r="E214" s="1" t="n">
        <v>46268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46119</v>
      </c>
      <c r="E215" s="1" t="n">
        <v>46268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45177</v>
      </c>
      <c r="E216" s="1" t="n">
        <v>46268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46268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55428-2021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44475</v>
      </c>
      <c r="E218" s="1" t="n">
        <v>46268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46268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52600-2021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44466</v>
      </c>
      <c r="E220" s="1" t="n">
        <v>46268</v>
      </c>
      <c r="F220" t="inlineStr">
        <is>
          <t>VÄSTMANLANDS LÄN</t>
        </is>
      </c>
      <c r="G220" t="inlineStr">
        <is>
          <t>SKINNSKATTEBERG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53183-2021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44468</v>
      </c>
      <c r="E221" s="1" t="n">
        <v>46268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46268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46268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44462</v>
      </c>
      <c r="E224" s="1" t="n">
        <v>46268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46268</v>
      </c>
      <c r="F225" t="inlineStr">
        <is>
          <t>VÄSTMANLANDS LÄN</t>
        </is>
      </c>
      <c r="G225" t="inlineStr">
        <is>
          <t>SKINNSKATTEBERG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53142-2021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44468</v>
      </c>
      <c r="E226" s="1" t="n">
        <v>46268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19540-2026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46134</v>
      </c>
      <c r="E227" s="1" t="n">
        <v>46268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19541-2026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46134</v>
      </c>
      <c r="E228" s="1" t="n">
        <v>46268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19582-2026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46134</v>
      </c>
      <c r="E229" s="1" t="n">
        <v>46268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45512</v>
      </c>
      <c r="E230" s="1" t="n">
        <v>46268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46268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45447</v>
      </c>
      <c r="E232" s="1" t="n">
        <v>46268</v>
      </c>
      <c r="F232" t="inlineStr">
        <is>
          <t>VÄSTMANLANDS LÄN</t>
        </is>
      </c>
      <c r="G232" t="inlineStr">
        <is>
          <t>SKINNSKATTEBERG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46268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49847-2021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44455</v>
      </c>
      <c r="E234" s="1" t="n">
        <v>46268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36288-2022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44803</v>
      </c>
      <c r="E235" s="1" t="n">
        <v>46268</v>
      </c>
      <c r="F235" t="inlineStr">
        <is>
          <t>VÄSTMANLANDS LÄN</t>
        </is>
      </c>
      <c r="G235" t="inlineStr">
        <is>
          <t>SKINNSKATTEBERG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36248-2024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45534</v>
      </c>
      <c r="E236" s="1" t="n">
        <v>46268</v>
      </c>
      <c r="F236" t="inlineStr">
        <is>
          <t>VÄSTMANLANDS LÄN</t>
        </is>
      </c>
      <c r="G236" t="inlineStr">
        <is>
          <t>SKINNSKATTEBERG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46268</v>
      </c>
      <c r="F237" t="inlineStr">
        <is>
          <t>VÄSTMANLANDS LÄN</t>
        </is>
      </c>
      <c r="G237" t="inlineStr">
        <is>
          <t>SKINNSKATTEBERG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46268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45429</v>
      </c>
      <c r="E239" s="1" t="n">
        <v>46268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46268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46268</v>
      </c>
      <c r="F241" t="inlineStr">
        <is>
          <t>VÄSTMANLANDS LÄN</t>
        </is>
      </c>
      <c r="G241" t="inlineStr">
        <is>
          <t>SKINNSKATTEBERG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46268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46140</v>
      </c>
      <c r="E243" s="1" t="n">
        <v>46268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45054</v>
      </c>
      <c r="E244" s="1" t="n">
        <v>46268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46268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46268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46268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46268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46268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46142</v>
      </c>
      <c r="E250" s="1" t="n">
        <v>46268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46268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46268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13713-2024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45390</v>
      </c>
      <c r="E253" s="1" t="n">
        <v>46268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45447</v>
      </c>
      <c r="E254" s="1" t="n">
        <v>46268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45485</v>
      </c>
      <c r="E255" s="1" t="n">
        <v>46268</v>
      </c>
      <c r="F255" t="inlineStr">
        <is>
          <t>VÄSTMANLANDS LÄN</t>
        </is>
      </c>
      <c r="G255" t="inlineStr">
        <is>
          <t>SKINNSKATTEBERG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46150</v>
      </c>
      <c r="E256" s="1" t="n">
        <v>46268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46268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45555</v>
      </c>
      <c r="E258" s="1" t="n">
        <v>46268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45387</v>
      </c>
      <c r="E259" s="1" t="n">
        <v>46268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46268</v>
      </c>
      <c r="F260" t="inlineStr">
        <is>
          <t>VÄSTMANLANDS LÄN</t>
        </is>
      </c>
      <c r="G260" t="inlineStr">
        <is>
          <t>SKINNSKATTEBERG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45063</v>
      </c>
      <c r="E261" s="1" t="n">
        <v>46268</v>
      </c>
      <c r="F261" t="inlineStr">
        <is>
          <t>VÄSTMANLANDS LÄN</t>
        </is>
      </c>
      <c r="G261" t="inlineStr">
        <is>
          <t>SKINNSKATTEBERG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45401</v>
      </c>
      <c r="E262" s="1" t="n">
        <v>46268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45156</v>
      </c>
      <c r="E263" s="1" t="n">
        <v>46268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22779-2026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46157</v>
      </c>
      <c r="E264" s="1" t="n">
        <v>46268</v>
      </c>
      <c r="F264" t="inlineStr">
        <is>
          <t>VÄSTMANLANDS LÄN</t>
        </is>
      </c>
      <c r="G264" t="inlineStr">
        <is>
          <t>SKINNSKATTEBERG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46268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46268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46268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46268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46268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46268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40545-2023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45170</v>
      </c>
      <c r="E271" s="1" t="n">
        <v>46268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46268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46268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46268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46268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46268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46268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46268</v>
      </c>
      <c r="F278" t="inlineStr">
        <is>
          <t>VÄSTMANLANDS LÄN</t>
        </is>
      </c>
      <c r="G278" t="inlineStr">
        <is>
          <t>SKINNSKATTEBERG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46268</v>
      </c>
      <c r="F279" t="inlineStr">
        <is>
          <t>VÄSTMANLANDS LÄN</t>
        </is>
      </c>
      <c r="G279" t="inlineStr">
        <is>
          <t>SKINNSKATTEBERG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45574</v>
      </c>
      <c r="E280" s="1" t="n">
        <v>46268</v>
      </c>
      <c r="F280" t="inlineStr">
        <is>
          <t>VÄSTMANLANDS LÄN</t>
        </is>
      </c>
      <c r="G280" t="inlineStr">
        <is>
          <t>SKINNSKATTEBERG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46268</v>
      </c>
      <c r="F281" t="inlineStr">
        <is>
          <t>VÄSTMANLANDS LÄN</t>
        </is>
      </c>
      <c r="G281" t="inlineStr">
        <is>
          <t>SKINNSKATTEBERG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46268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46268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46268</v>
      </c>
      <c r="F284" t="inlineStr">
        <is>
          <t>VÄSTMANLANDS LÄN</t>
        </is>
      </c>
      <c r="G284" t="inlineStr">
        <is>
          <t>SKINNSKATTEBERG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46178</v>
      </c>
      <c r="E285" s="1" t="n">
        <v>46268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46268</v>
      </c>
      <c r="F286" t="inlineStr">
        <is>
          <t>VÄSTMANLANDS LÄN</t>
        </is>
      </c>
      <c r="G286" t="inlineStr">
        <is>
          <t>SKINNSKATTEBERG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26356-2026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46182</v>
      </c>
      <c r="E287" s="1" t="n">
        <v>46268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61181-2021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46268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33396-2023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45128</v>
      </c>
      <c r="E289" s="1" t="n">
        <v>46268</v>
      </c>
      <c r="F289" t="inlineStr">
        <is>
          <t>VÄSTMANLANDS LÄN</t>
        </is>
      </c>
      <c r="G289" t="inlineStr">
        <is>
          <t>SKINNSKATTEBERG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26354-2026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46182</v>
      </c>
      <c r="E290" s="1" t="n">
        <v>46268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46268</v>
      </c>
      <c r="F291" t="inlineStr">
        <is>
          <t>VÄSTMANLANDS LÄN</t>
        </is>
      </c>
      <c r="G291" t="inlineStr">
        <is>
          <t>SKINNSKATTEBERG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46268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46268</v>
      </c>
      <c r="F293" t="inlineStr">
        <is>
          <t>VÄSTMANLANDS LÄN</t>
        </is>
      </c>
      <c r="G293" t="inlineStr">
        <is>
          <t>SKINNSKATTEBERG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46268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46268</v>
      </c>
      <c r="F295" t="inlineStr">
        <is>
          <t>VÄSTMANLANDS LÄN</t>
        </is>
      </c>
      <c r="G295" t="inlineStr">
        <is>
          <t>SKINNSKATTEBERG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44965</v>
      </c>
      <c r="E296" s="1" t="n">
        <v>46268</v>
      </c>
      <c r="F296" t="inlineStr">
        <is>
          <t>VÄSTMANLANDS LÄN</t>
        </is>
      </c>
      <c r="G296" t="inlineStr">
        <is>
          <t>SKINNSKATTEBERG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46268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46268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46268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46268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46268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45006</v>
      </c>
      <c r="E302" s="1" t="n">
        <v>46268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Allmännings- och besparingsskogar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45385</v>
      </c>
      <c r="E303" s="1" t="n">
        <v>46268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46268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46268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15561-2024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45401</v>
      </c>
      <c r="E306" s="1" t="n">
        <v>46268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46237</v>
      </c>
      <c r="E307" s="1" t="n">
        <v>46268</v>
      </c>
      <c r="F307" t="inlineStr">
        <is>
          <t>VÄSTMANLANDS LÄN</t>
        </is>
      </c>
      <c r="G307" t="inlineStr">
        <is>
          <t>SKINNSKATTEBERG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46268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46268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45568</v>
      </c>
      <c r="E310" s="1" t="n">
        <v>46268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45643</v>
      </c>
      <c r="E311" s="1" t="n">
        <v>46268</v>
      </c>
      <c r="F311" t="inlineStr">
        <is>
          <t>VÄSTMANLANDS LÄN</t>
        </is>
      </c>
      <c r="G311" t="inlineStr">
        <is>
          <t>SKINNSKATTEBERG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45435</v>
      </c>
      <c r="E312" s="1" t="n">
        <v>46268</v>
      </c>
      <c r="F312" t="inlineStr">
        <is>
          <t>VÄSTMANLANDS LÄN</t>
        </is>
      </c>
      <c r="G312" t="inlineStr">
        <is>
          <t>SKINNSKATTEBERG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44995</v>
      </c>
      <c r="E313" s="1" t="n">
        <v>46268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46268</v>
      </c>
      <c r="F314" t="inlineStr">
        <is>
          <t>VÄSTMANLANDS LÄN</t>
        </is>
      </c>
      <c r="G314" t="inlineStr">
        <is>
          <t>SKINNSKATTEBERG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46268</v>
      </c>
      <c r="F315" t="inlineStr">
        <is>
          <t>VÄSTMANLANDS LÄN</t>
        </is>
      </c>
      <c r="G315" t="inlineStr">
        <is>
          <t>SKINNSKATTEBERG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54657-2022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44883</v>
      </c>
      <c r="E316" s="1" t="n">
        <v>46268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46197</v>
      </c>
      <c r="E317" s="1" t="n">
        <v>46268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46197</v>
      </c>
      <c r="E318" s="1" t="n">
        <v>46268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46268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66584-2021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44519</v>
      </c>
      <c r="E320" s="1" t="n">
        <v>46268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45393</v>
      </c>
      <c r="E321" s="1" t="n">
        <v>46268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46268</v>
      </c>
      <c r="F322" t="inlineStr">
        <is>
          <t>VÄSTMANLANDS LÄN</t>
        </is>
      </c>
      <c r="G322" t="inlineStr">
        <is>
          <t>SKINNSKATTEBERG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46197</v>
      </c>
      <c r="E323" s="1" t="n">
        <v>46268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46268</v>
      </c>
      <c r="F324" t="inlineStr">
        <is>
          <t>VÄSTMANLANDS LÄN</t>
        </is>
      </c>
      <c r="G324" t="inlineStr">
        <is>
          <t>SKINNSKATTEBERG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46268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46268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45252</v>
      </c>
      <c r="E327" s="1" t="n">
        <v>46268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46244</v>
      </c>
      <c r="E328" s="1" t="n">
        <v>46268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31302-2024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45504</v>
      </c>
      <c r="E329" s="1" t="n">
        <v>46268</v>
      </c>
      <c r="F329" t="inlineStr">
        <is>
          <t>VÄSTMANLANDS LÄN</t>
        </is>
      </c>
      <c r="G329" t="inlineStr">
        <is>
          <t>SKINNSKATTEBERG</t>
        </is>
      </c>
      <c r="I329" t="n">
        <v>17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29091-2026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46200</v>
      </c>
      <c r="E330" s="1" t="n">
        <v>46268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46244</v>
      </c>
      <c r="E331" s="1" t="n">
        <v>46268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46244</v>
      </c>
      <c r="E332" s="1" t="n">
        <v>46268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46200</v>
      </c>
      <c r="E333" s="1" t="n">
        <v>46268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46268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46268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46268</v>
      </c>
      <c r="F336" t="inlineStr">
        <is>
          <t>VÄSTMANLANDS LÄN</t>
        </is>
      </c>
      <c r="G336" t="inlineStr">
        <is>
          <t>SKINNSKATTEBERG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45306</v>
      </c>
      <c r="E337" s="1" t="n">
        <v>46268</v>
      </c>
      <c r="F337" t="inlineStr">
        <is>
          <t>VÄSTMANLANDS LÄN</t>
        </is>
      </c>
      <c r="G337" t="inlineStr">
        <is>
          <t>SKINNSKATTEBERG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29026-2026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46199</v>
      </c>
      <c r="E338" s="1" t="n">
        <v>46268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46268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46247</v>
      </c>
      <c r="E340" s="1" t="n">
        <v>46268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46268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46210</v>
      </c>
      <c r="E342" s="1" t="n">
        <v>46268</v>
      </c>
      <c r="F342" t="inlineStr">
        <is>
          <t>VÄSTMANLANDS LÄN</t>
        </is>
      </c>
      <c r="G342" t="inlineStr">
        <is>
          <t>SKINNSKATTEBERG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46268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15184-2025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45744</v>
      </c>
      <c r="E344" s="1" t="n">
        <v>46268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32205-2026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46237</v>
      </c>
      <c r="E345" s="1" t="n">
        <v>46268</v>
      </c>
      <c r="F345" t="inlineStr">
        <is>
          <t>VÄSTMANLANDS LÄN</t>
        </is>
      </c>
      <c r="G345" t="inlineStr">
        <is>
          <t>SKINNSKATTEBERG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46268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46268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46268</v>
      </c>
      <c r="F348" t="inlineStr">
        <is>
          <t>VÄSTMANLANDS LÄN</t>
        </is>
      </c>
      <c r="G348" t="inlineStr">
        <is>
          <t>SKINNSKATTEBERG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46268</v>
      </c>
      <c r="F349" t="inlineStr">
        <is>
          <t>VÄSTMANLANDS LÄN</t>
        </is>
      </c>
      <c r="G349" t="inlineStr">
        <is>
          <t>SKINNSKATTEBERG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46268</v>
      </c>
      <c r="F350" t="inlineStr">
        <is>
          <t>VÄSTMANLANDS LÄN</t>
        </is>
      </c>
      <c r="G350" t="inlineStr">
        <is>
          <t>SKINNSKATTEBERG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44713</v>
      </c>
      <c r="E351" s="1" t="n">
        <v>46268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46268</v>
      </c>
      <c r="F352" t="inlineStr">
        <is>
          <t>VÄSTMANLANDS LÄN</t>
        </is>
      </c>
      <c r="G352" t="inlineStr">
        <is>
          <t>SKINNSKATTEBERG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45532</v>
      </c>
      <c r="E353" s="1" t="n">
        <v>46268</v>
      </c>
      <c r="F353" t="inlineStr">
        <is>
          <t>VÄSTMANLANDS LÄN</t>
        </is>
      </c>
      <c r="G353" t="inlineStr">
        <is>
          <t>SKINNSKATTEBERG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40176-2024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45554</v>
      </c>
      <c r="E354" s="1" t="n">
        <v>46268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46268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46260</v>
      </c>
      <c r="E356" s="1" t="n">
        <v>46268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35683-2024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46268</v>
      </c>
      <c r="F357" t="inlineStr">
        <is>
          <t>VÄSTMANLANDS LÄN</t>
        </is>
      </c>
      <c r="G357" t="inlineStr">
        <is>
          <t>SKINNSKATTEBERG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35168-2026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46260</v>
      </c>
      <c r="E358" s="1" t="n">
        <v>46268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46262</v>
      </c>
      <c r="E359" s="1" t="n">
        <v>46268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35582-2026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46262</v>
      </c>
      <c r="E360" s="1" t="n">
        <v>46268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46268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46262</v>
      </c>
      <c r="E362" s="1" t="n">
        <v>46268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46262</v>
      </c>
      <c r="E363" s="1" t="n">
        <v>46268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45407</v>
      </c>
      <c r="E364" s="1" t="n">
        <v>46268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35746-2026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46265</v>
      </c>
      <c r="E365" s="1" t="n">
        <v>46268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45506</v>
      </c>
      <c r="E366" s="1" t="n">
        <v>46268</v>
      </c>
      <c r="F366" t="inlineStr">
        <is>
          <t>VÄSTMANLANDS LÄN</t>
        </is>
      </c>
      <c r="G366" t="inlineStr">
        <is>
          <t>SKINNSKATTEBERG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46262</v>
      </c>
      <c r="E367" s="1" t="n">
        <v>46268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46268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46268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14719-2023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45014</v>
      </c>
      <c r="E370" s="1" t="n">
        <v>46268</v>
      </c>
      <c r="F370" t="inlineStr">
        <is>
          <t>VÄSTMANLANDS LÄN</t>
        </is>
      </c>
      <c r="G370" t="inlineStr">
        <is>
          <t>SKINNSKATTEBERG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14736-2023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45014</v>
      </c>
      <c r="E371" s="1" t="n">
        <v>46268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45762</v>
      </c>
      <c r="E372" s="1" t="n">
        <v>46268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18109-2023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46268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45592</v>
      </c>
      <c r="E374" s="1" t="n">
        <v>46268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46268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46268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46268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46268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44867</v>
      </c>
      <c r="E379" s="1" t="n">
        <v>46268</v>
      </c>
      <c r="F379" t="inlineStr">
        <is>
          <t>VÄSTMANLANDS LÄN</t>
        </is>
      </c>
      <c r="G379" t="inlineStr">
        <is>
          <t>SKINNSKATTEBERG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46268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45480</v>
      </c>
      <c r="E381" s="1" t="n">
        <v>46268</v>
      </c>
      <c r="F381" t="inlineStr">
        <is>
          <t>VÄSTMANLANDS LÄN</t>
        </is>
      </c>
      <c r="G381" t="inlineStr">
        <is>
          <t>SKINNSKATTEBERG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22285-2025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45786</v>
      </c>
      <c r="E382" s="1" t="n">
        <v>46268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46268</v>
      </c>
      <c r="F383" t="inlineStr">
        <is>
          <t>VÄSTMANLANDS LÄN</t>
        </is>
      </c>
      <c r="G383" t="inlineStr">
        <is>
          <t>SKINNSKATTEBERG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45527</v>
      </c>
      <c r="E384" s="1" t="n">
        <v>46268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45476</v>
      </c>
      <c r="E385" s="1" t="n">
        <v>46268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1765-2024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45435</v>
      </c>
      <c r="E386" s="1" t="n">
        <v>46268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1462-2025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46268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1931-2025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45827</v>
      </c>
      <c r="E388" s="1" t="n">
        <v>46268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2177-2025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45853</v>
      </c>
      <c r="E389" s="1" t="n">
        <v>46268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2422-2025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45897</v>
      </c>
      <c r="E390" s="1" t="n">
        <v>46268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46268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2420-2025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46268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2456-2025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45901</v>
      </c>
      <c r="E393" s="1" t="n">
        <v>46268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2578-2025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45915</v>
      </c>
      <c r="E394" s="1" t="n">
        <v>46268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1325-2026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46147</v>
      </c>
      <c r="E395" s="1" t="n">
        <v>46268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65.3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46268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46268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2239-2026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46260</v>
      </c>
      <c r="E398" s="1" t="n">
        <v>46268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>
      <c r="A399" t="inlineStr">
        <is>
          <t>S 2266-2026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46262</v>
      </c>
      <c r="E399" s="1" t="n">
        <v>46268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2026-09-03T02:07:00Z</dcterms:created>
  <dcterms:modified xmlns:dcterms="http://purl.org/dc/terms/" xmlns:xsi="http://www.w3.org/2001/XMLSchema-instance" xsi:type="dcterms:W3CDTF">2026-09-03T02:07:00Z</dcterms:modified>
</cp:coreProperties>
</file>