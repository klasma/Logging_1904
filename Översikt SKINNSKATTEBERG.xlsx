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46262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46262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46262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46262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46262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46262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46262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46262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13715-2024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45390</v>
      </c>
      <c r="E13" s="1" t="n">
        <v>46262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Krusfrö
Järpe
Tjäder</t>
        </is>
      </c>
      <c r="W13">
        <f>HYPERLINK("https://klasma.github.io/Logging_1904/artfynd/A 13715-2024 artfynd.xlsx", "A 13715-2024")</f>
        <v/>
      </c>
      <c r="X13">
        <f>HYPERLINK("https://klasma.github.io/Logging_1904/kartor/A 13715-2024 karta.png", "A 13715-2024")</f>
        <v/>
      </c>
      <c r="Y13">
        <f>HYPERLINK("https://klasma.github.io/Logging_1904/kartor_geotiff/A 13715-2024 georefererad karta.tif", "A 13715-2024")</f>
        <v/>
      </c>
      <c r="AA13">
        <f>HYPERLINK("https://klasma.github.io/Logging_1904/klagomål/A 13715-2024 FSC-klagomål.docx", "A 13715-2024")</f>
        <v/>
      </c>
      <c r="AB13">
        <f>HYPERLINK("https://klasma.github.io/Logging_1904/klagomålsmail/A 13715-2024 FSC-klagomål mail.docx", "A 13715-2024")</f>
        <v/>
      </c>
      <c r="AC13">
        <f>HYPERLINK("https://klasma.github.io/Logging_1904/tillsyn/A 13715-2024 tillsynsbegäran.docx", "A 13715-2024")</f>
        <v/>
      </c>
      <c r="AD13">
        <f>HYPERLINK("https://klasma.github.io/Logging_1904/tillsynsmail/A 13715-2024 tillsynsbegäran mail.docx", "A 13715-2024")</f>
        <v/>
      </c>
      <c r="AE13">
        <f>HYPERLINK("https://klasma.github.io/Logging_1904/fåglar/A 13715-2024 prioriterade fågelarter.docx", "A 13715-2024")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46262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46262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46262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46262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46262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46262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46262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46262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57395-2025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46262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Vedticka</t>
        </is>
      </c>
      <c r="W22">
        <f>HYPERLINK("https://klasma.github.io/Logging_1904/artfynd/A 57395-2025 artfynd.xlsx", "A 57395-2025")</f>
        <v/>
      </c>
      <c r="X22">
        <f>HYPERLINK("https://klasma.github.io/Logging_1904/kartor/A 57395-2025 karta.png", "A 57395-2025")</f>
        <v/>
      </c>
      <c r="Y22">
        <f>HYPERLINK("https://klasma.github.io/Logging_1904/kartor_geotiff/A 57395-2025 georefererad karta.tif", "A 57395-2025")</f>
        <v/>
      </c>
      <c r="AA22">
        <f>HYPERLINK("https://klasma.github.io/Logging_1904/klagomål/A 57395-2025 FSC-klagomål.docx", "A 57395-2025")</f>
        <v/>
      </c>
      <c r="AB22">
        <f>HYPERLINK("https://klasma.github.io/Logging_1904/klagomålsmail/A 57395-2025 FSC-klagomål mail.docx", "A 57395-2025")</f>
        <v/>
      </c>
      <c r="AC22">
        <f>HYPERLINK("https://klasma.github.io/Logging_1904/tillsyn/A 57395-2025 tillsynsbegäran.docx", "A 57395-2025")</f>
        <v/>
      </c>
      <c r="AD22">
        <f>HYPERLINK("https://klasma.github.io/Logging_1904/tillsynsmail/A 57395-2025 tillsynsbegäran mail.docx", "A 57395-2025")</f>
        <v/>
      </c>
    </row>
    <row r="23" ht="15" customHeight="1">
      <c r="A23" t="inlineStr">
        <is>
          <t>A 31006-2025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45832</v>
      </c>
      <c r="E23" s="1" t="n">
        <v>46262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HYPERLINK("https://klasma.github.io/Logging_1904/artfynd/A 31006-2025 artfynd.xlsx", "A 31006-2025")</f>
        <v/>
      </c>
      <c r="X23">
        <f>HYPERLINK("https://klasma.github.io/Logging_1904/kartor/A 31006-2025 karta.png", "A 31006-2025")</f>
        <v/>
      </c>
      <c r="Y23">
        <f>HYPERLINK("https://klasma.github.io/Logging_1904/kartor_geotiff/A 31006-2025 georefererad karta.tif", "A 31006-2025")</f>
        <v/>
      </c>
      <c r="AA23">
        <f>HYPERLINK("https://klasma.github.io/Logging_1904/klagomål/A 31006-2025 FSC-klagomål.docx", "A 31006-2025")</f>
        <v/>
      </c>
      <c r="AB23">
        <f>HYPERLINK("https://klasma.github.io/Logging_1904/klagomålsmail/A 31006-2025 FSC-klagomål mail.docx", "A 31006-2025")</f>
        <v/>
      </c>
      <c r="AC23">
        <f>HYPERLINK("https://klasma.github.io/Logging_1904/tillsyn/A 31006-2025 tillsynsbegäran.docx", "A 31006-2025")</f>
        <v/>
      </c>
      <c r="AD23">
        <f>HYPERLINK("https://klasma.github.io/Logging_1904/tillsynsmail/A 31006-2025 tillsynsbegäran mail.docx", "A 31006-2025")</f>
        <v/>
      </c>
      <c r="AE23">
        <f>HYPERLINK("https://klasma.github.io/Logging_1904/fåglar/A 31006-2025 prioriterade fågelarter.docx", "A 31006-2025")</f>
        <v/>
      </c>
    </row>
    <row r="24" ht="15" customHeight="1">
      <c r="A24" t="inlineStr">
        <is>
          <t>A 12887-2024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45385</v>
      </c>
      <c r="E24" s="1" t="n">
        <v>46262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6.5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Sparvuggla</t>
        </is>
      </c>
      <c r="W24">
        <f>HYPERLINK("https://klasma.github.io/Logging_1904/artfynd/A 12887-2024 artfynd.xlsx", "A 12887-2024")</f>
        <v/>
      </c>
      <c r="X24">
        <f>HYPERLINK("https://klasma.github.io/Logging_1904/kartor/A 12887-2024 karta.png", "A 12887-2024")</f>
        <v/>
      </c>
      <c r="Y24">
        <f>HYPERLINK("https://klasma.github.io/Logging_1904/kartor_geotiff/A 12887-2024 georefererad karta.tif", "A 12887-2024")</f>
        <v/>
      </c>
      <c r="AA24">
        <f>HYPERLINK("https://klasma.github.io/Logging_1904/klagomål/A 12887-2024 FSC-klagomål.docx", "A 12887-2024")</f>
        <v/>
      </c>
      <c r="AB24">
        <f>HYPERLINK("https://klasma.github.io/Logging_1904/klagomålsmail/A 12887-2024 FSC-klagomål mail.docx", "A 12887-2024")</f>
        <v/>
      </c>
      <c r="AC24">
        <f>HYPERLINK("https://klasma.github.io/Logging_1904/tillsyn/A 12887-2024 tillsynsbegäran.docx", "A 12887-2024")</f>
        <v/>
      </c>
      <c r="AD24">
        <f>HYPERLINK("https://klasma.github.io/Logging_1904/tillsynsmail/A 12887-2024 tillsynsbegäran mail.docx", "A 12887-2024")</f>
        <v/>
      </c>
      <c r="AE24">
        <f>HYPERLINK("https://klasma.github.io/Logging_1904/fåglar/A 12887-2024 prioriterade fågelarter.docx", "A 12887-2024")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46262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54296-2023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45232</v>
      </c>
      <c r="E26" s="1" t="n">
        <v>46262</v>
      </c>
      <c r="F26" t="inlineStr">
        <is>
          <t>VÄSTMANLANDS LÄN</t>
        </is>
      </c>
      <c r="G26" t="inlineStr">
        <is>
          <t>SKINNSKATTEBERG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Kopparödla</t>
        </is>
      </c>
      <c r="W26">
        <f>HYPERLINK("https://klasma.github.io/Logging_1904/artfynd/A 54296-2023 artfynd.xlsx", "A 54296-2023")</f>
        <v/>
      </c>
      <c r="X26">
        <f>HYPERLINK("https://klasma.github.io/Logging_1904/kartor/A 54296-2023 karta.png", "A 54296-2023")</f>
        <v/>
      </c>
      <c r="Y26">
        <f>HYPERLINK("https://klasma.github.io/Logging_1904/kartor_geotiff/A 54296-2023 georefererad karta.tif", "A 54296-2023")</f>
        <v/>
      </c>
      <c r="AA26">
        <f>HYPERLINK("https://klasma.github.io/Logging_1904/klagomål/A 54296-2023 FSC-klagomål.docx", "A 54296-2023")</f>
        <v/>
      </c>
      <c r="AB26">
        <f>HYPERLINK("https://klasma.github.io/Logging_1904/klagomålsmail/A 54296-2023 FSC-klagomål mail.docx", "A 54296-2023")</f>
        <v/>
      </c>
      <c r="AC26">
        <f>HYPERLINK("https://klasma.github.io/Logging_1904/tillsyn/A 54296-2023 tillsynsbegäran.docx", "A 54296-2023")</f>
        <v/>
      </c>
      <c r="AD26">
        <f>HYPERLINK("https://klasma.github.io/Logging_1904/tillsynsmail/A 54296-2023 tillsynsbegäran mail.docx", "A 54296-2023")</f>
        <v/>
      </c>
    </row>
    <row r="27" ht="15" customHeight="1">
      <c r="A27" t="inlineStr">
        <is>
          <t>A 57747-2023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45246</v>
      </c>
      <c r="E27" s="1" t="n">
        <v>46262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Myopa fasciata</t>
        </is>
      </c>
      <c r="W27">
        <f>HYPERLINK("https://klasma.github.io/Logging_1904/artfynd/A 57747-2023 artfynd.xlsx", "A 57747-2023")</f>
        <v/>
      </c>
      <c r="X27">
        <f>HYPERLINK("https://klasma.github.io/Logging_1904/kartor/A 57747-2023 karta.png", "A 57747-2023")</f>
        <v/>
      </c>
      <c r="Y27">
        <f>HYPERLINK("https://klasma.github.io/Logging_1904/kartor_geotiff/A 57747-2023 georefererad karta.tif", "A 57747-2023")</f>
        <v/>
      </c>
      <c r="AA27">
        <f>HYPERLINK("https://klasma.github.io/Logging_1904/klagomål/A 57747-2023 FSC-klagomål.docx", "A 57747-2023")</f>
        <v/>
      </c>
      <c r="AB27">
        <f>HYPERLINK("https://klasma.github.io/Logging_1904/klagomålsmail/A 57747-2023 FSC-klagomål mail.docx", "A 57747-2023")</f>
        <v/>
      </c>
      <c r="AC27">
        <f>HYPERLINK("https://klasma.github.io/Logging_1904/tillsyn/A 57747-2023 tillsynsbegäran.docx", "A 57747-2023")</f>
        <v/>
      </c>
      <c r="AD27">
        <f>HYPERLINK("https://klasma.github.io/Logging_1904/tillsynsmail/A 57747-2023 tillsynsbegäran mail.docx", "A 57747-2023")</f>
        <v/>
      </c>
    </row>
    <row r="28" ht="15" customHeight="1">
      <c r="A28" t="inlineStr">
        <is>
          <t>A 49630-2024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46262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7.3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HYPERLINK("https://klasma.github.io/Logging_1904/artfynd/A 49630-2024 artfynd.xlsx", "A 49630-2024")</f>
        <v/>
      </c>
      <c r="X28">
        <f>HYPERLINK("https://klasma.github.io/Logging_1904/kartor/A 49630-2024 karta.png", "A 49630-2024")</f>
        <v/>
      </c>
      <c r="Y28">
        <f>HYPERLINK("https://klasma.github.io/Logging_1904/kartor_geotiff/A 49630-2024 georefererad karta.tif", "A 49630-2024")</f>
        <v/>
      </c>
      <c r="AA28">
        <f>HYPERLINK("https://klasma.github.io/Logging_1904/klagomål/A 49630-2024 FSC-klagomål.docx", "A 49630-2024")</f>
        <v/>
      </c>
      <c r="AB28">
        <f>HYPERLINK("https://klasma.github.io/Logging_1904/klagomålsmail/A 49630-2024 FSC-klagomål mail.docx", "A 49630-2024")</f>
        <v/>
      </c>
      <c r="AC28">
        <f>HYPERLINK("https://klasma.github.io/Logging_1904/tillsyn/A 49630-2024 tillsynsbegäran.docx", "A 49630-2024")</f>
        <v/>
      </c>
      <c r="AD28">
        <f>HYPERLINK("https://klasma.github.io/Logging_1904/tillsynsmail/A 49630-2024 tillsynsbegäran mail.docx", "A 49630-2024")</f>
        <v/>
      </c>
    </row>
    <row r="29" ht="15" customHeight="1">
      <c r="A29" t="inlineStr">
        <is>
          <t>A 19205-2024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46262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Järpe</t>
        </is>
      </c>
      <c r="W29">
        <f>HYPERLINK("https://klasma.github.io/Logging_1904/artfynd/A 19205-2024 artfynd.xlsx", "A 19205-2024")</f>
        <v/>
      </c>
      <c r="X29">
        <f>HYPERLINK("https://klasma.github.io/Logging_1904/kartor/A 19205-2024 karta.png", "A 19205-2024")</f>
        <v/>
      </c>
      <c r="Y29">
        <f>HYPERLINK("https://klasma.github.io/Logging_1904/kartor_geotiff/A 19205-2024 georefererad karta.tif", "A 19205-2024")</f>
        <v/>
      </c>
      <c r="AA29">
        <f>HYPERLINK("https://klasma.github.io/Logging_1904/klagomål/A 19205-2024 FSC-klagomål.docx", "A 19205-2024")</f>
        <v/>
      </c>
      <c r="AB29">
        <f>HYPERLINK("https://klasma.github.io/Logging_1904/klagomålsmail/A 19205-2024 FSC-klagomål mail.docx", "A 19205-2024")</f>
        <v/>
      </c>
      <c r="AC29">
        <f>HYPERLINK("https://klasma.github.io/Logging_1904/tillsyn/A 19205-2024 tillsynsbegäran.docx", "A 19205-2024")</f>
        <v/>
      </c>
      <c r="AD29">
        <f>HYPERLINK("https://klasma.github.io/Logging_1904/tillsynsmail/A 19205-2024 tillsynsbegäran mail.docx", "A 19205-2024")</f>
        <v/>
      </c>
      <c r="AE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46262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46262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46262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46262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24492-2026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46262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HYPERLINK("https://klasma.github.io/Logging_1904/artfynd/A 24492-2026 artfynd.xlsx", "A 24492-2026")</f>
        <v/>
      </c>
      <c r="X34">
        <f>HYPERLINK("https://klasma.github.io/Logging_1904/kartor/A 24492-2026 karta.png", "A 24492-2026")</f>
        <v/>
      </c>
      <c r="Y34">
        <f>HYPERLINK("https://klasma.github.io/Logging_1904/kartor_geotiff/A 24492-2026 georefererad karta.tif", "A 24492-2026")</f>
        <v/>
      </c>
      <c r="AA34">
        <f>HYPERLINK("https://klasma.github.io/Logging_1904/klagomål/A 24492-2026 FSC-klagomål.docx", "A 24492-2026")</f>
        <v/>
      </c>
      <c r="AB34">
        <f>HYPERLINK("https://klasma.github.io/Logging_1904/klagomålsmail/A 24492-2026 FSC-klagomål mail.docx", "A 24492-2026")</f>
        <v/>
      </c>
      <c r="AC34">
        <f>HYPERLINK("https://klasma.github.io/Logging_1904/tillsyn/A 24492-2026 tillsynsbegäran.docx", "A 24492-2026")</f>
        <v/>
      </c>
      <c r="AD34">
        <f>HYPERLINK("https://klasma.github.io/Logging_1904/tillsynsmail/A 24492-2026 tillsynsbegäran mail.docx", "A 24492-2026")</f>
        <v/>
      </c>
      <c r="AE34">
        <f>HYPERLINK("https://klasma.github.io/Logging_1904/fåglar/A 24492-2026 prioriterade fågelarter.docx", "A 24492-2026")</f>
        <v/>
      </c>
    </row>
    <row r="35" ht="15" customHeight="1">
      <c r="A35" t="inlineStr">
        <is>
          <t>A 24944-2026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46262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8.4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HYPERLINK("https://klasma.github.io/Logging_1904/artfynd/A 24944-2026 artfynd.xlsx", "A 24944-2026")</f>
        <v/>
      </c>
      <c r="X35">
        <f>HYPERLINK("https://klasma.github.io/Logging_1904/kartor/A 24944-2026 karta.png", "A 24944-2026")</f>
        <v/>
      </c>
      <c r="Y35">
        <f>HYPERLINK("https://klasma.github.io/Logging_1904/kartor_geotiff/A 24944-2026 georefererad karta.tif", "A 24944-2026")</f>
        <v/>
      </c>
      <c r="AA35">
        <f>HYPERLINK("https://klasma.github.io/Logging_1904/klagomål/A 24944-2026 FSC-klagomål.docx", "A 24944-2026")</f>
        <v/>
      </c>
      <c r="AB35">
        <f>HYPERLINK("https://klasma.github.io/Logging_1904/klagomålsmail/A 24944-2026 FSC-klagomål mail.docx", "A 24944-2026")</f>
        <v/>
      </c>
      <c r="AC35">
        <f>HYPERLINK("https://klasma.github.io/Logging_1904/tillsyn/A 24944-2026 tillsynsbegäran.docx", "A 24944-2026")</f>
        <v/>
      </c>
      <c r="AD35">
        <f>HYPERLINK("https://klasma.github.io/Logging_1904/tillsynsmail/A 24944-2026 tillsynsbegäran mail.docx", "A 24944-2026")</f>
        <v/>
      </c>
    </row>
    <row r="36" ht="15" customHeight="1">
      <c r="A36" t="inlineStr">
        <is>
          <t>A 9491-2024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46262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Skogshare</t>
        </is>
      </c>
      <c r="W36">
        <f>HYPERLINK("https://klasma.github.io/Logging_1904/artfynd/A 9491-2024 artfynd.xlsx", "A 9491-2024")</f>
        <v/>
      </c>
      <c r="X36">
        <f>HYPERLINK("https://klasma.github.io/Logging_1904/kartor/A 9491-2024 karta.png", "A 9491-2024")</f>
        <v/>
      </c>
      <c r="Y36">
        <f>HYPERLINK("https://klasma.github.io/Logging_1904/kartor_geotiff/A 9491-2024 georefererad karta.tif", "A 9491-2024")</f>
        <v/>
      </c>
      <c r="AA36">
        <f>HYPERLINK("https://klasma.github.io/Logging_1904/klagomål/A 9491-2024 FSC-klagomål.docx", "A 9491-2024")</f>
        <v/>
      </c>
      <c r="AB36">
        <f>HYPERLINK("https://klasma.github.io/Logging_1904/klagomålsmail/A 9491-2024 FSC-klagomål mail.docx", "A 9491-2024")</f>
        <v/>
      </c>
      <c r="AC36">
        <f>HYPERLINK("https://klasma.github.io/Logging_1904/tillsyn/A 9491-2024 tillsynsbegäran.docx", "A 9491-2024")</f>
        <v/>
      </c>
      <c r="AD36">
        <f>HYPERLINK("https://klasma.github.io/Logging_1904/tillsynsmail/A 9491-2024 tillsynsbegäran mail.docx", "A 9491-2024")</f>
        <v/>
      </c>
    </row>
    <row r="37" ht="15" customHeight="1">
      <c r="A37" t="inlineStr">
        <is>
          <t>A 43413-2024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46262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Orange taggsvamp</t>
        </is>
      </c>
      <c r="W37">
        <f>HYPERLINK("https://klasma.github.io/Logging_1904/artfynd/A 43413-2024 artfynd.xlsx", "A 43413-2024")</f>
        <v/>
      </c>
      <c r="X37">
        <f>HYPERLINK("https://klasma.github.io/Logging_1904/kartor/A 43413-2024 karta.png", "A 43413-2024")</f>
        <v/>
      </c>
      <c r="Y37">
        <f>HYPERLINK("https://klasma.github.io/Logging_1904/kartor_geotiff/A 43413-2024 georefererad karta.tif", "A 43413-2024")</f>
        <v/>
      </c>
      <c r="AA37">
        <f>HYPERLINK("https://klasma.github.io/Logging_1904/klagomål/A 43413-2024 FSC-klagomål.docx", "A 43413-2024")</f>
        <v/>
      </c>
      <c r="AB37">
        <f>HYPERLINK("https://klasma.github.io/Logging_1904/klagomålsmail/A 43413-2024 FSC-klagomål mail.docx", "A 43413-2024")</f>
        <v/>
      </c>
      <c r="AC37">
        <f>HYPERLINK("https://klasma.github.io/Logging_1904/tillsyn/A 43413-2024 tillsynsbegäran.docx", "A 43413-2024")</f>
        <v/>
      </c>
      <c r="AD37">
        <f>HYPERLINK("https://klasma.github.io/Logging_1904/tillsynsmail/A 43413-2024 tillsynsbegäran mail.docx", "A 43413-2024")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46262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Kungsörn</t>
        </is>
      </c>
      <c r="W38">
        <f>HYPERLINK("https://klasma.github.io/Logging_1904/artfynd/A 26860-2026 artfynd.xlsx", "A 26860-2026")</f>
        <v/>
      </c>
      <c r="X38">
        <f>HYPERLINK("https://klasma.github.io/Logging_1904/kartor/A 26860-2026 karta.png", "A 26860-2026")</f>
        <v/>
      </c>
      <c r="Y38">
        <f>HYPERLINK("https://klasma.github.io/Logging_1904/kartor_geotiff/A 26860-2026 georefererad karta.tif", "A 26860-2026")</f>
        <v/>
      </c>
      <c r="AA38">
        <f>HYPERLINK("https://klasma.github.io/Logging_1904/klagomål/A 26860-2026 FSC-klagomål.docx", "A 26860-2026")</f>
        <v/>
      </c>
      <c r="AB38">
        <f>HYPERLINK("https://klasma.github.io/Logging_1904/klagomålsmail/A 26860-2026 FSC-klagomål mail.docx", "A 26860-2026")</f>
        <v/>
      </c>
      <c r="AC38">
        <f>HYPERLINK("https://klasma.github.io/Logging_1904/tillsyn/A 26860-2026 tillsynsbegäran.docx", "A 26860-2026")</f>
        <v/>
      </c>
      <c r="AD38">
        <f>HYPERLINK("https://klasma.github.io/Logging_1904/tillsynsmail/A 26860-2026 tillsynsbegäran mail.docx", "A 26860-2026")</f>
        <v/>
      </c>
      <c r="AE38">
        <f>HYPERLINK("https://klasma.github.io/Logging_1904/fåglar/A 26860-2026 prioriterade fågelarter.docx", "A 26860-2026")</f>
        <v/>
      </c>
    </row>
    <row r="39" ht="15" customHeight="1">
      <c r="A39" t="inlineStr">
        <is>
          <t>A 23893-2023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46262</v>
      </c>
      <c r="F39" t="inlineStr">
        <is>
          <t>VÄSTMANLANDS LÄN</t>
        </is>
      </c>
      <c r="G39" t="inlineStr">
        <is>
          <t>SKINNSKATTEBERG</t>
        </is>
      </c>
      <c r="I39" t="n">
        <v>1.6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Knärot</t>
        </is>
      </c>
      <c r="W39">
        <f>HYPERLINK("https://klasma.github.io/Logging_1904/artfynd/A 23893-2023 artfynd.xlsx", "A 23893-2023")</f>
        <v/>
      </c>
      <c r="X39">
        <f>HYPERLINK("https://klasma.github.io/Logging_1904/kartor/A 23893-2023 karta.png", "A 23893-2023")</f>
        <v/>
      </c>
      <c r="Y39">
        <f>HYPERLINK("https://klasma.github.io/Logging_1904/kartor_geotiff/A 23893-2023 georefererad karta.tif", "A 23893-2023")</f>
        <v/>
      </c>
      <c r="Z39">
        <f>HYPERLINK("https://klasma.github.io/Logging_1904/knärot/A 23893-2023 karta knärot.png", "A 23893-2023")</f>
        <v/>
      </c>
      <c r="AA39">
        <f>HYPERLINK("https://klasma.github.io/Logging_1904/klagomål/A 23893-2023 FSC-klagomål.docx", "A 23893-2023")</f>
        <v/>
      </c>
      <c r="AB39">
        <f>HYPERLINK("https://klasma.github.io/Logging_1904/klagomålsmail/A 23893-2023 FSC-klagomål mail.docx", "A 23893-2023")</f>
        <v/>
      </c>
      <c r="AC39">
        <f>HYPERLINK("https://klasma.github.io/Logging_1904/tillsyn/A 23893-2023 tillsynsbegäran.docx", "A 23893-2023")</f>
        <v/>
      </c>
      <c r="AD39">
        <f>HYPERLINK("https://klasma.github.io/Logging_1904/tillsynsmail/A 23893-2023 tillsynsbegäran mail.docx", "A 23893-2023")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46262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46262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46262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46262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46262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46262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34303-2026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46262</v>
      </c>
      <c r="F46" t="inlineStr">
        <is>
          <t>VÄSTMANLANDS LÄN</t>
        </is>
      </c>
      <c r="G46" t="inlineStr">
        <is>
          <t>SKINNSKATTEBERG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HYPERLINK("https://klasma.github.io/Logging_1904/artfynd/A 34303-2026 artfynd.xlsx", "A 34303-2026")</f>
        <v/>
      </c>
      <c r="X46">
        <f>HYPERLINK("https://klasma.github.io/Logging_1904/kartor/A 34303-2026 karta.png", "A 34303-2026")</f>
        <v/>
      </c>
      <c r="Y46">
        <f>HYPERLINK("https://klasma.github.io/Logging_1904/kartor_geotiff/A 34303-2026 georefererad karta.tif", "A 34303-2026")</f>
        <v/>
      </c>
      <c r="AA46">
        <f>HYPERLINK("https://klasma.github.io/Logging_1904/klagomål/A 34303-2026 FSC-klagomål.docx", "A 34303-2026")</f>
        <v/>
      </c>
      <c r="AB46">
        <f>HYPERLINK("https://klasma.github.io/Logging_1904/klagomålsmail/A 34303-2026 FSC-klagomål mail.docx", "A 34303-2026")</f>
        <v/>
      </c>
      <c r="AC46">
        <f>HYPERLINK("https://klasma.github.io/Logging_1904/tillsyn/A 34303-2026 tillsynsbegäran.docx", "A 34303-2026")</f>
        <v/>
      </c>
      <c r="AD46">
        <f>HYPERLINK("https://klasma.github.io/Logging_1904/tillsynsmail/A 34303-2026 tillsynsbegäran mail.docx", "A 34303-2026")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46262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46262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46262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46262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46262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46262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46262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46262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46262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46262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46262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46262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46262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46262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46262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46262</v>
      </c>
      <c r="F62" t="inlineStr">
        <is>
          <t>VÄSTMANLANDS LÄN</t>
        </is>
      </c>
      <c r="G62" t="inlineStr">
        <is>
          <t>SKINNSKATTEBERG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66587-2021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46262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46262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46262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46262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46262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46262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46262</v>
      </c>
      <c r="F69" t="inlineStr">
        <is>
          <t>VÄSTMANLANDS LÄN</t>
        </is>
      </c>
      <c r="G69" t="inlineStr">
        <is>
          <t>SKINNSKATTEBERG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46262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46262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45407</v>
      </c>
      <c r="E72" s="1" t="n">
        <v>46262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46262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46262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46262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45058</v>
      </c>
      <c r="E76" s="1" t="n">
        <v>46262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46262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45377</v>
      </c>
      <c r="E78" s="1" t="n">
        <v>46262</v>
      </c>
      <c r="F78" t="inlineStr">
        <is>
          <t>VÄSTMANLANDS LÄN</t>
        </is>
      </c>
      <c r="G78" t="inlineStr">
        <is>
          <t>SKINNSKATTEBERG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46262</v>
      </c>
      <c r="F79" t="inlineStr">
        <is>
          <t>VÄSTMANLANDS LÄN</t>
        </is>
      </c>
      <c r="G79" t="inlineStr">
        <is>
          <t>SKINNSKATTEBERG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45541</v>
      </c>
      <c r="E80" s="1" t="n">
        <v>46262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51472-2024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45604</v>
      </c>
      <c r="E81" s="1" t="n">
        <v>46262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44867</v>
      </c>
      <c r="E82" s="1" t="n">
        <v>46262</v>
      </c>
      <c r="F82" t="inlineStr">
        <is>
          <t>VÄSTMANLANDS LÄN</t>
        </is>
      </c>
      <c r="G82" t="inlineStr">
        <is>
          <t>SKINNSKATTEBERG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45237</v>
      </c>
      <c r="E83" s="1" t="n">
        <v>46262</v>
      </c>
      <c r="F83" t="inlineStr">
        <is>
          <t>VÄSTMANLANDS LÄN</t>
        </is>
      </c>
      <c r="G83" t="inlineStr">
        <is>
          <t>SKINNSKATTEBERG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51026-2025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45947</v>
      </c>
      <c r="E84" s="1" t="n">
        <v>46262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51028-2025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45947</v>
      </c>
      <c r="E85" s="1" t="n">
        <v>46262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46262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46262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45425</v>
      </c>
      <c r="E88" s="1" t="n">
        <v>46262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46262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45480</v>
      </c>
      <c r="E90" s="1" t="n">
        <v>46262</v>
      </c>
      <c r="F90" t="inlineStr">
        <is>
          <t>VÄSTMANLANDS LÄN</t>
        </is>
      </c>
      <c r="G90" t="inlineStr">
        <is>
          <t>SKINNSKATTEBERG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45609</v>
      </c>
      <c r="E91" s="1" t="n">
        <v>46262</v>
      </c>
      <c r="F91" t="inlineStr">
        <is>
          <t>VÄSTMANLANDS LÄN</t>
        </is>
      </c>
      <c r="G91" t="inlineStr">
        <is>
          <t>SKINNSKATTEBERG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30353-2023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46262</v>
      </c>
      <c r="F92" t="inlineStr">
        <is>
          <t>VÄSTMANLANDS LÄN</t>
        </is>
      </c>
      <c r="G92" t="inlineStr">
        <is>
          <t>SKINNSKATTEBERG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22285-2025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45786</v>
      </c>
      <c r="E93" s="1" t="n">
        <v>46262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46262</v>
      </c>
      <c r="F94" t="inlineStr">
        <is>
          <t>VÄSTMANLANDS LÄN</t>
        </is>
      </c>
      <c r="G94" t="inlineStr">
        <is>
          <t>SKINNSKATTEBERG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46262</v>
      </c>
      <c r="F95" t="inlineStr">
        <is>
          <t>VÄSTMANLANDS LÄN</t>
        </is>
      </c>
      <c r="G95" t="inlineStr">
        <is>
          <t>SKINNSKATTEBERG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44768</v>
      </c>
      <c r="E96" s="1" t="n">
        <v>46262</v>
      </c>
      <c r="F96" t="inlineStr">
        <is>
          <t>VÄSTMANLANDS LÄN</t>
        </is>
      </c>
      <c r="G96" t="inlineStr">
        <is>
          <t>SKINNSKATTEBERG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45527</v>
      </c>
      <c r="E97" s="1" t="n">
        <v>46262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45244</v>
      </c>
      <c r="E98" s="1" t="n">
        <v>46262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Kyrkan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16088-2024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45406</v>
      </c>
      <c r="E99" s="1" t="n">
        <v>46262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45476</v>
      </c>
      <c r="E100" s="1" t="n">
        <v>46262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46262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45506</v>
      </c>
      <c r="E102" s="1" t="n">
        <v>46262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46262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40776-2025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45897</v>
      </c>
      <c r="E104" s="1" t="n">
        <v>46262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46262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46262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40783-2025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46262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46262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44910</v>
      </c>
      <c r="E109" s="1" t="n">
        <v>46262</v>
      </c>
      <c r="F109" t="inlineStr">
        <is>
          <t>VÄSTMANLANDS LÄN</t>
        </is>
      </c>
      <c r="G109" t="inlineStr">
        <is>
          <t>SKINNSKATTEBERG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18161-2024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45420</v>
      </c>
      <c r="E110" s="1" t="n">
        <v>46262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25846-2025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45804</v>
      </c>
      <c r="E111" s="1" t="n">
        <v>46262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45957</v>
      </c>
      <c r="E112" s="1" t="n">
        <v>46262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53145-2021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44468</v>
      </c>
      <c r="E113" s="1" t="n">
        <v>46262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53243-2021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44468</v>
      </c>
      <c r="E114" s="1" t="n">
        <v>46262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45637</v>
      </c>
      <c r="E115" s="1" t="n">
        <v>46262</v>
      </c>
      <c r="F115" t="inlineStr">
        <is>
          <t>VÄSTMANLANDS LÄN</t>
        </is>
      </c>
      <c r="G115" t="inlineStr">
        <is>
          <t>SKINNSKATTEBERG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46262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46262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Kyrkan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45959</v>
      </c>
      <c r="E118" s="1" t="n">
        <v>46262</v>
      </c>
      <c r="F118" t="inlineStr">
        <is>
          <t>VÄSTMANLANDS LÄN</t>
        </is>
      </c>
      <c r="G118" t="inlineStr">
        <is>
          <t>SKINNSKATTEBERG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46262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46262</v>
      </c>
      <c r="F120" t="inlineStr">
        <is>
          <t>VÄSTMANLANDS LÄN</t>
        </is>
      </c>
      <c r="G120" t="inlineStr">
        <is>
          <t>SKINNSKATTEBERG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46262</v>
      </c>
      <c r="F121" t="inlineStr">
        <is>
          <t>VÄSTMANLANDS LÄN</t>
        </is>
      </c>
      <c r="G121" t="inlineStr">
        <is>
          <t>SKINNSKATTEBERG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55007-2025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45967</v>
      </c>
      <c r="E122" s="1" t="n">
        <v>46262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11800-2024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45375</v>
      </c>
      <c r="E123" s="1" t="n">
        <v>46262</v>
      </c>
      <c r="F123" t="inlineStr">
        <is>
          <t>VÄSTMANLANDS LÄN</t>
        </is>
      </c>
      <c r="G123" t="inlineStr">
        <is>
          <t>SKINNSKATTEBERG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45967</v>
      </c>
      <c r="E124" s="1" t="n">
        <v>46262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45967</v>
      </c>
      <c r="E125" s="1" t="n">
        <v>46262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46262</v>
      </c>
      <c r="F126" t="inlineStr">
        <is>
          <t>VÄSTMANLANDS LÄN</t>
        </is>
      </c>
      <c r="G126" t="inlineStr">
        <is>
          <t>SKINNSKATTEBERG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45973</v>
      </c>
      <c r="E127" s="1" t="n">
        <v>46262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46262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46262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56465-2025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45975</v>
      </c>
      <c r="E130" s="1" t="n">
        <v>46262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45480</v>
      </c>
      <c r="E131" s="1" t="n">
        <v>46262</v>
      </c>
      <c r="F131" t="inlineStr">
        <is>
          <t>VÄSTMANLANDS LÄN</t>
        </is>
      </c>
      <c r="G131" t="inlineStr">
        <is>
          <t>SKINNSKATTEBERG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45979</v>
      </c>
      <c r="E132" s="1" t="n">
        <v>46262</v>
      </c>
      <c r="F132" t="inlineStr">
        <is>
          <t>VÄSTMANLANDS LÄN</t>
        </is>
      </c>
      <c r="G132" t="inlineStr">
        <is>
          <t>SKINNSKATTEBERG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45771</v>
      </c>
      <c r="E133" s="1" t="n">
        <v>46262</v>
      </c>
      <c r="F133" t="inlineStr">
        <is>
          <t>VÄSTMANLANDS LÄN</t>
        </is>
      </c>
      <c r="G133" t="inlineStr">
        <is>
          <t>SKINNSKATTEBERG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45987</v>
      </c>
      <c r="E134" s="1" t="n">
        <v>46262</v>
      </c>
      <c r="F134" t="inlineStr">
        <is>
          <t>VÄSTMANLANDS LÄN</t>
        </is>
      </c>
      <c r="G134" t="inlineStr">
        <is>
          <t>SKINNSKATTEBERG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45250</v>
      </c>
      <c r="E135" s="1" t="n">
        <v>46262</v>
      </c>
      <c r="F135" t="inlineStr">
        <is>
          <t>VÄSTMANLANDS LÄN</t>
        </is>
      </c>
      <c r="G135" t="inlineStr">
        <is>
          <t>SKINNSKATTEBERG</t>
        </is>
      </c>
      <c r="I135" t="n">
        <v>10.1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46262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28831-2025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45820</v>
      </c>
      <c r="E137" s="1" t="n">
        <v>46262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28873-2025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45820</v>
      </c>
      <c r="E138" s="1" t="n">
        <v>46262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29808-2025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45825</v>
      </c>
      <c r="E139" s="1" t="n">
        <v>46262</v>
      </c>
      <c r="F139" t="inlineStr">
        <is>
          <t>VÄSTMANLANDS LÄN</t>
        </is>
      </c>
      <c r="G139" t="inlineStr">
        <is>
          <t>SKINNSKATTEBERG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46262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46262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46262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45825</v>
      </c>
      <c r="E143" s="1" t="n">
        <v>46262</v>
      </c>
      <c r="F143" t="inlineStr">
        <is>
          <t>VÄSTMANLANDS LÄN</t>
        </is>
      </c>
      <c r="G143" t="inlineStr">
        <is>
          <t>SKINNSKATTEBERG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46262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44184-2025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45915</v>
      </c>
      <c r="E145" s="1" t="n">
        <v>46262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46262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30439-2025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45827</v>
      </c>
      <c r="E147" s="1" t="n">
        <v>46262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41581-2025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45901</v>
      </c>
      <c r="E148" s="1" t="n">
        <v>46262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46262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45832</v>
      </c>
      <c r="E150" s="1" t="n">
        <v>46262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46262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31234-2025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45832</v>
      </c>
      <c r="E152" s="1" t="n">
        <v>46262</v>
      </c>
      <c r="F152" t="inlineStr">
        <is>
          <t>VÄSTMANLANDS LÄN</t>
        </is>
      </c>
      <c r="G152" t="inlineStr">
        <is>
          <t>SKINNSKATTEBERG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45919</v>
      </c>
      <c r="E153" s="1" t="n">
        <v>46262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46262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45919</v>
      </c>
      <c r="E155" s="1" t="n">
        <v>46262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45919</v>
      </c>
      <c r="E156" s="1" t="n">
        <v>46262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46262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46262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45610</v>
      </c>
      <c r="E159" s="1" t="n">
        <v>46262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45407</v>
      </c>
      <c r="E160" s="1" t="n">
        <v>46262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46262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46262</v>
      </c>
      <c r="F162" t="inlineStr">
        <is>
          <t>VÄSTMANLANDS LÄN</t>
        </is>
      </c>
      <c r="G162" t="inlineStr">
        <is>
          <t>SKINNSKATTEBERG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46262</v>
      </c>
      <c r="F163" t="inlineStr">
        <is>
          <t>VÄSTMANLANDS LÄN</t>
        </is>
      </c>
      <c r="G163" t="inlineStr">
        <is>
          <t>SKINNSKATTEBERG</t>
        </is>
      </c>
      <c r="I163" t="n">
        <v>10.5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46262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46262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46262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45848</v>
      </c>
      <c r="E167" s="1" t="n">
        <v>46262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45853</v>
      </c>
      <c r="E168" s="1" t="n">
        <v>46262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46262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35205-2025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45853</v>
      </c>
      <c r="E170" s="1" t="n">
        <v>46262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46262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43807-2024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45571</v>
      </c>
      <c r="E172" s="1" t="n">
        <v>46262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46262</v>
      </c>
      <c r="F173" t="inlineStr">
        <is>
          <t>VÄSTMANLANDS LÄN</t>
        </is>
      </c>
      <c r="G173" t="inlineStr">
        <is>
          <t>SKINNSKATTEBERG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46262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46262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46262</v>
      </c>
      <c r="F176" t="inlineStr">
        <is>
          <t>VÄSTMANLANDS LÄN</t>
        </is>
      </c>
      <c r="G176" t="inlineStr">
        <is>
          <t>SKINNSKATTEBERG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45880</v>
      </c>
      <c r="E177" s="1" t="n">
        <v>46262</v>
      </c>
      <c r="F177" t="inlineStr">
        <is>
          <t>VÄSTMANLANDS LÄN</t>
        </is>
      </c>
      <c r="G177" t="inlineStr">
        <is>
          <t>SKINNSKATTEBERG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45527</v>
      </c>
      <c r="E178" s="1" t="n">
        <v>46262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46262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46262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46262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Kyrkan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46262</v>
      </c>
      <c r="F182" t="inlineStr">
        <is>
          <t>VÄSTMANLANDS LÄN</t>
        </is>
      </c>
      <c r="G182" t="inlineStr">
        <is>
          <t>SKINNSKATTEBERG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44964</v>
      </c>
      <c r="E183" s="1" t="n">
        <v>46262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46009</v>
      </c>
      <c r="E184" s="1" t="n">
        <v>46262</v>
      </c>
      <c r="F184" t="inlineStr">
        <is>
          <t>VÄSTMANLANDS LÄN</t>
        </is>
      </c>
      <c r="G184" t="inlineStr">
        <is>
          <t>SKINNSKATTEBERG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45901</v>
      </c>
      <c r="E185" s="1" t="n">
        <v>46262</v>
      </c>
      <c r="F185" t="inlineStr">
        <is>
          <t>VÄSTMANLANDS LÄN</t>
        </is>
      </c>
      <c r="G185" t="inlineStr">
        <is>
          <t>SKINNSKATTEBERG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46262</v>
      </c>
      <c r="F186" t="inlineStr">
        <is>
          <t>VÄSTMANLANDS LÄN</t>
        </is>
      </c>
      <c r="G186" t="inlineStr">
        <is>
          <t>SKINNSKATTEBERG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46262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46262</v>
      </c>
      <c r="F188" t="inlineStr">
        <is>
          <t>VÄSTMANLANDS LÄN</t>
        </is>
      </c>
      <c r="G188" t="inlineStr">
        <is>
          <t>SKINNSKATTEBERG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46262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46262</v>
      </c>
      <c r="F190" t="inlineStr">
        <is>
          <t>VÄSTMANLANDS LÄN</t>
        </is>
      </c>
      <c r="G190" t="inlineStr">
        <is>
          <t>SKINNSKATTEBERG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46262</v>
      </c>
      <c r="F191" t="inlineStr">
        <is>
          <t>VÄSTMANLANDS LÄN</t>
        </is>
      </c>
      <c r="G191" t="inlineStr">
        <is>
          <t>SKINNSKATTEBERG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45198</v>
      </c>
      <c r="E192" s="1" t="n">
        <v>46262</v>
      </c>
      <c r="F192" t="inlineStr">
        <is>
          <t>VÄSTMANLANDS LÄN</t>
        </is>
      </c>
      <c r="G192" t="inlineStr">
        <is>
          <t>SKINNSKATTEBERG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46262</v>
      </c>
      <c r="F193" t="inlineStr">
        <is>
          <t>VÄSTMANLANDS LÄN</t>
        </is>
      </c>
      <c r="G193" t="inlineStr">
        <is>
          <t>SKINNSKATTEBERG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46262</v>
      </c>
      <c r="F194" t="inlineStr">
        <is>
          <t>VÄSTMANLANDS LÄN</t>
        </is>
      </c>
      <c r="G194" t="inlineStr">
        <is>
          <t>SKINNSKATTEBERG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45114</v>
      </c>
      <c r="E195" s="1" t="n">
        <v>46262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5704-2026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46051</v>
      </c>
      <c r="E196" s="1" t="n">
        <v>46262</v>
      </c>
      <c r="F196" t="inlineStr">
        <is>
          <t>VÄSTMANLANDS LÄN</t>
        </is>
      </c>
      <c r="G196" t="inlineStr">
        <is>
          <t>SKINNSKATTEBERG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45571</v>
      </c>
      <c r="E197" s="1" t="n">
        <v>46262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45571</v>
      </c>
      <c r="E198" s="1" t="n">
        <v>46262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46262</v>
      </c>
      <c r="F199" t="inlineStr">
        <is>
          <t>VÄSTMANLANDS LÄN</t>
        </is>
      </c>
      <c r="G199" t="inlineStr">
        <is>
          <t>SKINNSKATTEBERG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20248-2024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45434</v>
      </c>
      <c r="E200" s="1" t="n">
        <v>46262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5693-2026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46051</v>
      </c>
      <c r="E201" s="1" t="n">
        <v>46262</v>
      </c>
      <c r="F201" t="inlineStr">
        <is>
          <t>VÄSTMANLANDS LÄN</t>
        </is>
      </c>
      <c r="G201" t="inlineStr">
        <is>
          <t>SKINNSKATTEBERG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46051</v>
      </c>
      <c r="E202" s="1" t="n">
        <v>46262</v>
      </c>
      <c r="F202" t="inlineStr">
        <is>
          <t>VÄSTMANLANDS LÄN</t>
        </is>
      </c>
      <c r="G202" t="inlineStr">
        <is>
          <t>SKINNSKATTEBERG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46262</v>
      </c>
      <c r="F203" t="inlineStr">
        <is>
          <t>VÄSTMANLANDS LÄN</t>
        </is>
      </c>
      <c r="G203" t="inlineStr">
        <is>
          <t>SKINNSKATTEBERG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16729-2024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45410</v>
      </c>
      <c r="E204" s="1" t="n">
        <v>46262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45134</v>
      </c>
      <c r="E205" s="1" t="n">
        <v>46262</v>
      </c>
      <c r="F205" t="inlineStr">
        <is>
          <t>VÄSTMANLANDS LÄN</t>
        </is>
      </c>
      <c r="G205" t="inlineStr">
        <is>
          <t>SKINNSKATTEBERG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46262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14237-2025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45740</v>
      </c>
      <c r="E207" s="1" t="n">
        <v>46262</v>
      </c>
      <c r="F207" t="inlineStr">
        <is>
          <t>VÄSTMANLANDS LÄN</t>
        </is>
      </c>
      <c r="G207" t="inlineStr">
        <is>
          <t>SKINNSKATTEBERG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45407</v>
      </c>
      <c r="E208" s="1" t="n">
        <v>46262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46262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46262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Kyrkan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46262</v>
      </c>
      <c r="F211" t="inlineStr">
        <is>
          <t>VÄSTMANLANDS LÄN</t>
        </is>
      </c>
      <c r="G211" t="inlineStr">
        <is>
          <t>SKINNSKATTEBERG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25843-2023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45090</v>
      </c>
      <c r="E212" s="1" t="n">
        <v>46262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46262</v>
      </c>
      <c r="F213" t="inlineStr">
        <is>
          <t>VÄSTMANLANDS LÄN</t>
        </is>
      </c>
      <c r="G213" t="inlineStr">
        <is>
          <t>SKINNSKATTEBERG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46262</v>
      </c>
      <c r="F214" t="inlineStr">
        <is>
          <t>VÄSTMANLANDS LÄN</t>
        </is>
      </c>
      <c r="G214" t="inlineStr">
        <is>
          <t>SKINNSKATTEBERG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13676-2022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44648</v>
      </c>
      <c r="E215" s="1" t="n">
        <v>46262</v>
      </c>
      <c r="F215" t="inlineStr">
        <is>
          <t>VÄSTMANLANDS LÄN</t>
        </is>
      </c>
      <c r="G215" t="inlineStr">
        <is>
          <t>SKINNSKATTEBERG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46262</v>
      </c>
      <c r="F216" t="inlineStr">
        <is>
          <t>VÄSTMANLANDS LÄN</t>
        </is>
      </c>
      <c r="G216" t="inlineStr">
        <is>
          <t>SKINNSKATTEBERG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46262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46262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46262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15955-2026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46108</v>
      </c>
      <c r="E220" s="1" t="n">
        <v>46262</v>
      </c>
      <c r="F220" t="inlineStr">
        <is>
          <t>VÄSTMANLANDS LÄN</t>
        </is>
      </c>
      <c r="G220" t="inlineStr">
        <is>
          <t>SKINNSKATTEBERG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46262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16136-2026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46108</v>
      </c>
      <c r="E222" s="1" t="n">
        <v>46262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46262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46262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45177</v>
      </c>
      <c r="E225" s="1" t="n">
        <v>46262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46262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46262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46262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46119</v>
      </c>
      <c r="E229" s="1" t="n">
        <v>46262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55428-2021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44475</v>
      </c>
      <c r="E230" s="1" t="n">
        <v>46262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53880-2021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46262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52600-2021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44466</v>
      </c>
      <c r="E232" s="1" t="n">
        <v>46262</v>
      </c>
      <c r="F232" t="inlineStr">
        <is>
          <t>VÄSTMANLANDS LÄN</t>
        </is>
      </c>
      <c r="G232" t="inlineStr">
        <is>
          <t>SKINNSKATTEBERG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53183-2021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44468</v>
      </c>
      <c r="E233" s="1" t="n">
        <v>46262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46262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46262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51508-2021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44462</v>
      </c>
      <c r="E236" s="1" t="n">
        <v>46262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46262</v>
      </c>
      <c r="F237" t="inlineStr">
        <is>
          <t>VÄSTMANLANDS LÄN</t>
        </is>
      </c>
      <c r="G237" t="inlineStr">
        <is>
          <t>SKINNSKATTEBERG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53142-2021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44468</v>
      </c>
      <c r="E238" s="1" t="n">
        <v>46262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46262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45512</v>
      </c>
      <c r="E240" s="1" t="n">
        <v>46262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46262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19540-2026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46134</v>
      </c>
      <c r="E242" s="1" t="n">
        <v>46262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19541-2026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46134</v>
      </c>
      <c r="E243" s="1" t="n">
        <v>46262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19582-2026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46134</v>
      </c>
      <c r="E244" s="1" t="n">
        <v>46262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46262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45447</v>
      </c>
      <c r="E246" s="1" t="n">
        <v>46262</v>
      </c>
      <c r="F246" t="inlineStr">
        <is>
          <t>VÄSTMANLANDS LÄN</t>
        </is>
      </c>
      <c r="G246" t="inlineStr">
        <is>
          <t>SKINNSKATTEBERG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44455</v>
      </c>
      <c r="E247" s="1" t="n">
        <v>46262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36288-2022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46262</v>
      </c>
      <c r="F248" t="inlineStr">
        <is>
          <t>VÄSTMANLANDS LÄN</t>
        </is>
      </c>
      <c r="G248" t="inlineStr">
        <is>
          <t>SKINNSKATTEBERG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45534</v>
      </c>
      <c r="E249" s="1" t="n">
        <v>46262</v>
      </c>
      <c r="F249" t="inlineStr">
        <is>
          <t>VÄSTMANLANDS LÄN</t>
        </is>
      </c>
      <c r="G249" t="inlineStr">
        <is>
          <t>SKINNSKATTEBERG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45429</v>
      </c>
      <c r="E250" s="1" t="n">
        <v>46262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46262</v>
      </c>
      <c r="F251" t="inlineStr">
        <is>
          <t>VÄSTMANLANDS LÄN</t>
        </is>
      </c>
      <c r="G251" t="inlineStr">
        <is>
          <t>SKINNSKATTEBERG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46262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45054</v>
      </c>
      <c r="E253" s="1" t="n">
        <v>46262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47137-2024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46262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45056</v>
      </c>
      <c r="E255" s="1" t="n">
        <v>46262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20623-2026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46262</v>
      </c>
      <c r="F256" t="inlineStr">
        <is>
          <t>VÄSTMANLANDS LÄN</t>
        </is>
      </c>
      <c r="G256" t="inlineStr">
        <is>
          <t>SKINNSKATTEBERG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13713-2024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45390</v>
      </c>
      <c r="E257" s="1" t="n">
        <v>46262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20556-2026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46262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20563-2026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46140</v>
      </c>
      <c r="E259" s="1" t="n">
        <v>46262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45447</v>
      </c>
      <c r="E260" s="1" t="n">
        <v>46262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45485</v>
      </c>
      <c r="E261" s="1" t="n">
        <v>46262</v>
      </c>
      <c r="F261" t="inlineStr">
        <is>
          <t>VÄSTMANLANDS LÄN</t>
        </is>
      </c>
      <c r="G261" t="inlineStr">
        <is>
          <t>SKINNSKATTEBERG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45555</v>
      </c>
      <c r="E262" s="1" t="n">
        <v>46262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45387</v>
      </c>
      <c r="E263" s="1" t="n">
        <v>46262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46262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46262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20850-2026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46262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46262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20856-2026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46262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46262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46142</v>
      </c>
      <c r="E270" s="1" t="n">
        <v>46262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46262</v>
      </c>
      <c r="F271" t="inlineStr">
        <is>
          <t>VÄSTMANLANDS LÄN</t>
        </is>
      </c>
      <c r="G271" t="inlineStr">
        <is>
          <t>SKINNSKATTEBERG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46262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45156</v>
      </c>
      <c r="E273" s="1" t="n">
        <v>46262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46262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46262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46262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40545-2023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45170</v>
      </c>
      <c r="E277" s="1" t="n">
        <v>46262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46262</v>
      </c>
      <c r="F278" t="inlineStr">
        <is>
          <t>VÄSTMANLANDS LÄN</t>
        </is>
      </c>
      <c r="G278" t="inlineStr">
        <is>
          <t>SKINNSKATTEBERG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45558</v>
      </c>
      <c r="E279" s="1" t="n">
        <v>46262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22779-2026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46157</v>
      </c>
      <c r="E280" s="1" t="n">
        <v>46262</v>
      </c>
      <c r="F280" t="inlineStr">
        <is>
          <t>VÄSTMANLANDS LÄN</t>
        </is>
      </c>
      <c r="G280" t="inlineStr">
        <is>
          <t>SKINNSKATTEBERG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46262</v>
      </c>
      <c r="F281" t="inlineStr">
        <is>
          <t>VÄSTMANLANDS LÄN</t>
        </is>
      </c>
      <c r="G281" t="inlineStr">
        <is>
          <t>SKINNSKATTEBERG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46262</v>
      </c>
      <c r="F282" t="inlineStr">
        <is>
          <t>VÄSTMANLANDS LÄN</t>
        </is>
      </c>
      <c r="G282" t="inlineStr">
        <is>
          <t>SKINNSKATTEBERG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46262</v>
      </c>
      <c r="F283" t="inlineStr">
        <is>
          <t>VÄSTMANLANDS LÄN</t>
        </is>
      </c>
      <c r="G283" t="inlineStr">
        <is>
          <t>SKINNSKATTEBERG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46262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46262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46262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46262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46262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46262</v>
      </c>
      <c r="F289" t="inlineStr">
        <is>
          <t>VÄSTMANLANDS LÄN</t>
        </is>
      </c>
      <c r="G289" t="inlineStr">
        <is>
          <t>SKINNSKATTEBERG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46262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45128</v>
      </c>
      <c r="E291" s="1" t="n">
        <v>46262</v>
      </c>
      <c r="F291" t="inlineStr">
        <is>
          <t>VÄSTMANLANDS LÄN</t>
        </is>
      </c>
      <c r="G291" t="inlineStr">
        <is>
          <t>SKINNSKATTEBERG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46262</v>
      </c>
      <c r="F292" t="inlineStr">
        <is>
          <t>VÄSTMANLANDS LÄN</t>
        </is>
      </c>
      <c r="G292" t="inlineStr">
        <is>
          <t>SKINNSKATTEBERG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46262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46262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46262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24495-2026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46262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24884-2023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45085</v>
      </c>
      <c r="E297" s="1" t="n">
        <v>46262</v>
      </c>
      <c r="F297" t="inlineStr">
        <is>
          <t>VÄSTMANLANDS LÄN</t>
        </is>
      </c>
      <c r="G297" t="inlineStr">
        <is>
          <t>SKINNSKATTEBERG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46262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46262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46262</v>
      </c>
      <c r="F300" t="inlineStr">
        <is>
          <t>VÄSTMANLANDS LÄN</t>
        </is>
      </c>
      <c r="G300" t="inlineStr">
        <is>
          <t>SKINNSKATTEBERG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46262</v>
      </c>
      <c r="F301" t="inlineStr">
        <is>
          <t>VÄSTMANLANDS LÄN</t>
        </is>
      </c>
      <c r="G301" t="inlineStr">
        <is>
          <t>SKINNSKATTEBERG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45114</v>
      </c>
      <c r="E302" s="1" t="n">
        <v>46262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45006</v>
      </c>
      <c r="E303" s="1" t="n">
        <v>46262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Allmännings- och besparingsskogar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46262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15561-2024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45401</v>
      </c>
      <c r="E305" s="1" t="n">
        <v>46262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46262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46262</v>
      </c>
      <c r="F307" t="inlineStr">
        <is>
          <t>VÄSTMANLANDS LÄN</t>
        </is>
      </c>
      <c r="G307" t="inlineStr">
        <is>
          <t>SKINNSKATTEBERG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46262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45568</v>
      </c>
      <c r="E309" s="1" t="n">
        <v>46262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46178</v>
      </c>
      <c r="E310" s="1" t="n">
        <v>46262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46262</v>
      </c>
      <c r="F311" t="inlineStr">
        <is>
          <t>VÄSTMANLANDS LÄN</t>
        </is>
      </c>
      <c r="G311" t="inlineStr">
        <is>
          <t>SKINNSKATTEBERG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46262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46262</v>
      </c>
      <c r="F313" t="inlineStr">
        <is>
          <t>VÄSTMANLANDS LÄN</t>
        </is>
      </c>
      <c r="G313" t="inlineStr">
        <is>
          <t>SKINNSKATTEBERG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20379-2024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45435</v>
      </c>
      <c r="E314" s="1" t="n">
        <v>46262</v>
      </c>
      <c r="F314" t="inlineStr">
        <is>
          <t>VÄSTMANLANDS LÄN</t>
        </is>
      </c>
      <c r="G314" t="inlineStr">
        <is>
          <t>SKINNSKATTEBERG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46262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26356-2026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46182</v>
      </c>
      <c r="E316" s="1" t="n">
        <v>46262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44806</v>
      </c>
      <c r="E317" s="1" t="n">
        <v>46262</v>
      </c>
      <c r="F317" t="inlineStr">
        <is>
          <t>VÄSTMANLANDS LÄN</t>
        </is>
      </c>
      <c r="G317" t="inlineStr">
        <is>
          <t>SKINNSKATTEBERG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46262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54657-2022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44883</v>
      </c>
      <c r="E319" s="1" t="n">
        <v>46262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45554</v>
      </c>
      <c r="E320" s="1" t="n">
        <v>46262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66584-2021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44519</v>
      </c>
      <c r="E321" s="1" t="n">
        <v>46262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45156</v>
      </c>
      <c r="E322" s="1" t="n">
        <v>46262</v>
      </c>
      <c r="F322" t="inlineStr">
        <is>
          <t>VÄSTMANLANDS LÄN</t>
        </is>
      </c>
      <c r="G322" t="inlineStr">
        <is>
          <t>SKINNSKATTEBERG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46262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58987-2023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45252</v>
      </c>
      <c r="E324" s="1" t="n">
        <v>46262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46262</v>
      </c>
      <c r="F325" t="inlineStr">
        <is>
          <t>VÄSTMANLANDS LÄN</t>
        </is>
      </c>
      <c r="G325" t="inlineStr">
        <is>
          <t>SKINNSKATTEBERG</t>
        </is>
      </c>
      <c r="I325" t="n">
        <v>17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46262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46262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46262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46262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45306</v>
      </c>
      <c r="E330" s="1" t="n">
        <v>46262</v>
      </c>
      <c r="F330" t="inlineStr">
        <is>
          <t>VÄSTMANLANDS LÄN</t>
        </is>
      </c>
      <c r="G330" t="inlineStr">
        <is>
          <t>SKINNSKATTEBERG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46262</v>
      </c>
      <c r="F331" t="inlineStr">
        <is>
          <t>VÄSTMANLANDS LÄN</t>
        </is>
      </c>
      <c r="G331" t="inlineStr">
        <is>
          <t>SKINNSKATTEBERG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45306</v>
      </c>
      <c r="E332" s="1" t="n">
        <v>46262</v>
      </c>
      <c r="F332" t="inlineStr">
        <is>
          <t>VÄSTMANLANDS LÄN</t>
        </is>
      </c>
      <c r="G332" t="inlineStr">
        <is>
          <t>SKINNSKATTEBERG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46262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46262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45170</v>
      </c>
      <c r="E335" s="1" t="n">
        <v>46262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32217-2026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46237</v>
      </c>
      <c r="E336" s="1" t="n">
        <v>46262</v>
      </c>
      <c r="F336" t="inlineStr">
        <is>
          <t>VÄSTMANLANDS LÄN</t>
        </is>
      </c>
      <c r="G336" t="inlineStr">
        <is>
          <t>SKINNSKATTEBERG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46191</v>
      </c>
      <c r="E337" s="1" t="n">
        <v>46262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46195</v>
      </c>
      <c r="E338" s="1" t="n">
        <v>46262</v>
      </c>
      <c r="F338" t="inlineStr">
        <is>
          <t>VÄSTMANLANDS LÄN</t>
        </is>
      </c>
      <c r="G338" t="inlineStr">
        <is>
          <t>SKINNSKATTEBERG</t>
        </is>
      </c>
      <c r="I338" t="n">
        <v>8.5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15184-2025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45744</v>
      </c>
      <c r="E339" s="1" t="n">
        <v>46262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46197</v>
      </c>
      <c r="E340" s="1" t="n">
        <v>46262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46197</v>
      </c>
      <c r="E341" s="1" t="n">
        <v>46262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46262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45174</v>
      </c>
      <c r="E343" s="1" t="n">
        <v>46262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45686</v>
      </c>
      <c r="E344" s="1" t="n">
        <v>46262</v>
      </c>
      <c r="F344" t="inlineStr">
        <is>
          <t>VÄSTMANLANDS LÄN</t>
        </is>
      </c>
      <c r="G344" t="inlineStr">
        <is>
          <t>SKINNSKATTEBERG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46197</v>
      </c>
      <c r="E345" s="1" t="n">
        <v>46262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40549-2024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46262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46262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46262</v>
      </c>
      <c r="F348" t="inlineStr">
        <is>
          <t>VÄSTMANLANDS LÄN</t>
        </is>
      </c>
      <c r="G348" t="inlineStr">
        <is>
          <t>SKINNSKATTEBERG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46262</v>
      </c>
      <c r="F349" t="inlineStr">
        <is>
          <t>VÄSTMANLANDS LÄN</t>
        </is>
      </c>
      <c r="G349" t="inlineStr">
        <is>
          <t>SKINNSKATTEBERG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46262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46262</v>
      </c>
      <c r="F351" t="inlineStr">
        <is>
          <t>VÄSTMANLANDS LÄN</t>
        </is>
      </c>
      <c r="G351" t="inlineStr">
        <is>
          <t>SKINNSKATTEBERG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46244</v>
      </c>
      <c r="E352" s="1" t="n">
        <v>46262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46200</v>
      </c>
      <c r="E353" s="1" t="n">
        <v>46262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44713</v>
      </c>
      <c r="E354" s="1" t="n">
        <v>46262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46244</v>
      </c>
      <c r="E355" s="1" t="n">
        <v>46262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46244</v>
      </c>
      <c r="E356" s="1" t="n">
        <v>46262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46262</v>
      </c>
      <c r="F357" t="inlineStr">
        <is>
          <t>VÄSTMANLANDS LÄN</t>
        </is>
      </c>
      <c r="G357" t="inlineStr">
        <is>
          <t>SKINNSKATTEBERG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35834-2024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46262</v>
      </c>
      <c r="F358" t="inlineStr">
        <is>
          <t>VÄSTMANLANDS LÄN</t>
        </is>
      </c>
      <c r="G358" t="inlineStr">
        <is>
          <t>SKINNSKATTEBERG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46200</v>
      </c>
      <c r="E359" s="1" t="n">
        <v>46262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45554</v>
      </c>
      <c r="E360" s="1" t="n">
        <v>46262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46262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19093-2023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45048</v>
      </c>
      <c r="E362" s="1" t="n">
        <v>46262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29026-2026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46199</v>
      </c>
      <c r="E363" s="1" t="n">
        <v>46262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45532</v>
      </c>
      <c r="E364" s="1" t="n">
        <v>46262</v>
      </c>
      <c r="F364" t="inlineStr">
        <is>
          <t>VÄSTMANLANDS LÄN</t>
        </is>
      </c>
      <c r="G364" t="inlineStr">
        <is>
          <t>SKINNSKATTEBERG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46247</v>
      </c>
      <c r="E365" s="1" t="n">
        <v>46262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46262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45506</v>
      </c>
      <c r="E367" s="1" t="n">
        <v>46262</v>
      </c>
      <c r="F367" t="inlineStr">
        <is>
          <t>VÄSTMANLANDS LÄN</t>
        </is>
      </c>
      <c r="G367" t="inlineStr">
        <is>
          <t>SKINNSKATTEBERG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46248</v>
      </c>
      <c r="E368" s="1" t="n">
        <v>46262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46262</v>
      </c>
      <c r="F369" t="inlineStr">
        <is>
          <t>VÄSTMANLANDS LÄN</t>
        </is>
      </c>
      <c r="G369" t="inlineStr">
        <is>
          <t>SKINNSKATTEBERG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46262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45252</v>
      </c>
      <c r="E371" s="1" t="n">
        <v>46262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45014</v>
      </c>
      <c r="E372" s="1" t="n">
        <v>46262</v>
      </c>
      <c r="F372" t="inlineStr">
        <is>
          <t>VÄSTMANLANDS LÄN</t>
        </is>
      </c>
      <c r="G372" t="inlineStr">
        <is>
          <t>SKINNSKATTEBERG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14736-2023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45014</v>
      </c>
      <c r="E373" s="1" t="n">
        <v>46262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45762</v>
      </c>
      <c r="E374" s="1" t="n">
        <v>46262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46262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45040</v>
      </c>
      <c r="E376" s="1" t="n">
        <v>46262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32205-2026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46237</v>
      </c>
      <c r="E377" s="1" t="n">
        <v>46262</v>
      </c>
      <c r="F377" t="inlineStr">
        <is>
          <t>VÄSTMANLANDS LÄN</t>
        </is>
      </c>
      <c r="G377" t="inlineStr">
        <is>
          <t>SKINNSKATTEBERG</t>
        </is>
      </c>
      <c r="I377" t="n">
        <v>12.2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45592</v>
      </c>
      <c r="E378" s="1" t="n">
        <v>46262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45777</v>
      </c>
      <c r="E379" s="1" t="n">
        <v>46262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20949-2025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45777</v>
      </c>
      <c r="E380" s="1" t="n">
        <v>46262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46260</v>
      </c>
      <c r="E381" s="1" t="n">
        <v>46262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35168-2026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46260</v>
      </c>
      <c r="E382" s="1" t="n">
        <v>46262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1765-2024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45435</v>
      </c>
      <c r="E383" s="1" t="n">
        <v>46262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1462-2025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45786</v>
      </c>
      <c r="E384" s="1" t="n">
        <v>46262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1931-2025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45827</v>
      </c>
      <c r="E385" s="1" t="n">
        <v>46262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2177-2025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45853</v>
      </c>
      <c r="E386" s="1" t="n">
        <v>46262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2422-2025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45897</v>
      </c>
      <c r="E387" s="1" t="n">
        <v>46262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2421-2025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45897</v>
      </c>
      <c r="E388" s="1" t="n">
        <v>46262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2420-2025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45897</v>
      </c>
      <c r="E389" s="1" t="n">
        <v>46262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2456-2025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45901</v>
      </c>
      <c r="E390" s="1" t="n">
        <v>46262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2578-2025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45915</v>
      </c>
      <c r="E391" s="1" t="n">
        <v>46262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1325-2026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46147</v>
      </c>
      <c r="E392" s="1" t="n">
        <v>46262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65.3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1678-2026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46182</v>
      </c>
      <c r="E393" s="1" t="n">
        <v>46262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1868-2026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46199</v>
      </c>
      <c r="E394" s="1" t="n">
        <v>46262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2239-2026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46260</v>
      </c>
      <c r="E395" s="1" t="n">
        <v>46262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2026-08-28T01:48:32Z</dcterms:created>
  <dcterms:modified xmlns:dcterms="http://purl.org/dc/terms/" xmlns:xsi="http://www.w3.org/2001/XMLSchema-instance" xsi:type="dcterms:W3CDTF">2026-08-28T01:48:32Z</dcterms:modified>
</cp:coreProperties>
</file>