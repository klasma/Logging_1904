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46226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t="n">
        <v>8</v>
      </c>
      <c r="V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46226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46226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46226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46226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t="n">
        <v>9</v>
      </c>
      <c r="V6" s="2" t="inlineStr">
        <is>
          <t>Grangråticka
Dofttaggsvamp
Tallticka
Blåsippa
Kråka</t>
        </is>
      </c>
      <c r="W6">
        <f>HYPERLINK("https://klasma.github.io/Logging_1904/artfynd/A 61212-2022 artfynd.xlsx", "A 61212-2022")</f>
        <v/>
      </c>
      <c r="X6">
        <f>HYPERLINK("https://klasma.github.io/Logging_1904/kartor/A 61212-2022 karta.png", "A 61212-2022")</f>
        <v/>
      </c>
      <c r="Y6">
        <f>HYPERLINK("https://klasma.github.io/Logging_1904/kartor_geotiff/A 61212-2022 georefererad karta.tif", "A 61212-2022")</f>
        <v/>
      </c>
      <c r="AA6">
        <f>HYPERLINK("https://klasma.github.io/Logging_1904/klagomål/A 61212-2022 FSC-klagomål.docx", "A 61212-2022")</f>
        <v/>
      </c>
      <c r="AB6">
        <f>HYPERLINK("https://klasma.github.io/Logging_1904/klagomålsmail/A 61212-2022 FSC-klagomål mail.docx", "A 61212-2022")</f>
        <v/>
      </c>
      <c r="AC6">
        <f>HYPERLINK("https://klasma.github.io/Logging_1904/tillsyn/A 61212-2022 tillsynsbegäran.docx", "A 61212-2022")</f>
        <v/>
      </c>
      <c r="AD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46226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46226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Vedtrappmossa
Björksplintborre
Gulnål
Vedticka</t>
        </is>
      </c>
      <c r="W8">
        <f>HYPERLINK("https://klasma.github.io/Logging_1904/artfynd/A 56183-2025 artfynd.xlsx", "A 56183-2025")</f>
        <v/>
      </c>
      <c r="X8">
        <f>HYPERLINK("https://klasma.github.io/Logging_1904/kartor/A 56183-2025 karta.png", "A 56183-2025")</f>
        <v/>
      </c>
      <c r="Y8">
        <f>HYPERLINK("https://klasma.github.io/Logging_1904/kartor_geotiff/A 56183-2025 georefererad karta.tif", "A 56183-2025")</f>
        <v/>
      </c>
      <c r="AA8">
        <f>HYPERLINK("https://klasma.github.io/Logging_1904/klagomål/A 56183-2025 FSC-klagomål.docx", "A 56183-2025")</f>
        <v/>
      </c>
      <c r="AB8">
        <f>HYPERLINK("https://klasma.github.io/Logging_1904/klagomålsmail/A 56183-2025 FSC-klagomål mail.docx", "A 56183-2025")</f>
        <v/>
      </c>
      <c r="AC8">
        <f>HYPERLINK("https://klasma.github.io/Logging_1904/tillsyn/A 56183-2025 tillsynsbegäran.docx", "A 56183-2025")</f>
        <v/>
      </c>
      <c r="AD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46226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19656-2025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45770</v>
      </c>
      <c r="E10" s="1" t="n">
        <v>46226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3.8</v>
      </c>
      <c r="J10" t="n">
        <v>0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Rynkskinn
Ullticka
Brandticka</t>
        </is>
      </c>
      <c r="W10">
        <f>HYPERLINK("https://klasma.github.io/Logging_1904/artfynd/A 19656-2025 artfynd.xlsx", "A 19656-2025")</f>
        <v/>
      </c>
      <c r="X10">
        <f>HYPERLINK("https://klasma.github.io/Logging_1904/kartor/A 19656-2025 karta.png", "A 19656-2025")</f>
        <v/>
      </c>
      <c r="Y10">
        <f>HYPERLINK("https://klasma.github.io/Logging_1904/kartor_geotiff/A 19656-2025 georefererad karta.tif", "A 19656-2025")</f>
        <v/>
      </c>
      <c r="AA10">
        <f>HYPERLINK("https://klasma.github.io/Logging_1904/klagomål/A 19656-2025 FSC-klagomål.docx", "A 19656-2025")</f>
        <v/>
      </c>
      <c r="AB10">
        <f>HYPERLINK("https://klasma.github.io/Logging_1904/klagomålsmail/A 19656-2025 FSC-klagomål mail.docx", "A 19656-2025")</f>
        <v/>
      </c>
      <c r="AC10">
        <f>HYPERLINK("https://klasma.github.io/Logging_1904/tillsyn/A 19656-2025 tillsynsbegäran.docx", "A 19656-2025")</f>
        <v/>
      </c>
      <c r="AD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45390</v>
      </c>
      <c r="E11" s="1" t="n">
        <v>46226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5</v>
      </c>
      <c r="U11" t="n">
        <v>4</v>
      </c>
      <c r="V11" s="2" t="inlineStr">
        <is>
          <t>Krusfrö
Järpe
Tjäder</t>
        </is>
      </c>
      <c r="W11">
        <f>HYPERLINK("https://klasma.github.io/Logging_1904/artfynd/A 13715-2024 artfynd.xlsx", "A 13715-2024")</f>
        <v/>
      </c>
      <c r="X11">
        <f>HYPERLINK("https://klasma.github.io/Logging_1904/kartor/A 13715-2024 karta.png", "A 13715-2024")</f>
        <v/>
      </c>
      <c r="Y11">
        <f>HYPERLINK("https://klasma.github.io/Logging_1904/kartor_geotiff/A 13715-2024 georefererad karta.tif", "A 13715-2024")</f>
        <v/>
      </c>
      <c r="AA11">
        <f>HYPERLINK("https://klasma.github.io/Logging_1904/klagomål/A 13715-2024 FSC-klagomål.docx", "A 13715-2024")</f>
        <v/>
      </c>
      <c r="AB11">
        <f>HYPERLINK("https://klasma.github.io/Logging_1904/klagomålsmail/A 13715-2024 FSC-klagomål mail.docx", "A 13715-2024")</f>
        <v/>
      </c>
      <c r="AC11">
        <f>HYPERLINK("https://klasma.github.io/Logging_1904/tillsyn/A 13715-2024 tillsynsbegäran.docx", "A 13715-2024")</f>
        <v/>
      </c>
      <c r="AD11">
        <f>HYPERLINK("https://klasma.github.io/Logging_1904/tillsynsmail/A 13715-2024 tillsynsbegäran mail.docx", "A 13715-2024")</f>
        <v/>
      </c>
      <c r="AE11">
        <f>HYPERLINK("https://klasma.github.io/Logging_1904/fåglar/A 13715-2024 prioriterade fågelarter.docx", "A 13715-2024")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46226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46226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46226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Gränsticka
Brunpudrad nållav
Vedtrappmossa</t>
        </is>
      </c>
      <c r="W14">
        <f>HYPERLINK("https://klasma.github.io/Logging_1904/artfynd/A 21846-2026 artfynd.xlsx", "A 21846-2026")</f>
        <v/>
      </c>
      <c r="X14">
        <f>HYPERLINK("https://klasma.github.io/Logging_1904/kartor/A 21846-2026 karta.png", "A 21846-2026")</f>
        <v/>
      </c>
      <c r="Y14">
        <f>HYPERLINK("https://klasma.github.io/Logging_1904/kartor_geotiff/A 21846-2026 georefererad karta.tif", "A 21846-2026")</f>
        <v/>
      </c>
      <c r="AA14">
        <f>HYPERLINK("https://klasma.github.io/Logging_1904/klagomål/A 21846-2026 FSC-klagomål.docx", "A 21846-2026")</f>
        <v/>
      </c>
      <c r="AB14">
        <f>HYPERLINK("https://klasma.github.io/Logging_1904/klagomålsmail/A 21846-2026 FSC-klagomål mail.docx", "A 21846-2026")</f>
        <v/>
      </c>
      <c r="AC14">
        <f>HYPERLINK("https://klasma.github.io/Logging_1904/tillsyn/A 21846-2026 tillsynsbegäran.docx", "A 21846-2026")</f>
        <v/>
      </c>
      <c r="AD14">
        <f>HYPERLINK("https://klasma.github.io/Logging_1904/tillsynsmail/A 21846-2026 tillsynsbegäran mail.docx", "A 21846-2026")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46226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46226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46226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46226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46226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46226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46226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46226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46226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15734-2026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46107</v>
      </c>
      <c r="E24" s="1" t="n">
        <v>46226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Koppartaggsvamp</t>
        </is>
      </c>
      <c r="W24">
        <f>HYPERLINK("https://klasma.github.io/Logging_1904/artfynd/A 15734-2026 artfynd.xlsx", "A 15734-2026")</f>
        <v/>
      </c>
      <c r="X24">
        <f>HYPERLINK("https://klasma.github.io/Logging_1904/kartor/A 15734-2026 karta.png", "A 15734-2026")</f>
        <v/>
      </c>
      <c r="Y24">
        <f>HYPERLINK("https://klasma.github.io/Logging_1904/kartor_geotiff/A 15734-2026 georefererad karta.tif", "A 15734-2026")</f>
        <v/>
      </c>
      <c r="AA24">
        <f>HYPERLINK("https://klasma.github.io/Logging_1904/klagomål/A 15734-2026 FSC-klagomål.docx", "A 15734-2026")</f>
        <v/>
      </c>
      <c r="AB24">
        <f>HYPERLINK("https://klasma.github.io/Logging_1904/klagomålsmail/A 15734-2026 FSC-klagomål mail.docx", "A 15734-2026")</f>
        <v/>
      </c>
      <c r="AC24">
        <f>HYPERLINK("https://klasma.github.io/Logging_1904/tillsyn/A 15734-2026 tillsynsbegäran.docx", "A 15734-2026")</f>
        <v/>
      </c>
      <c r="AD24">
        <f>HYPERLINK("https://klasma.github.io/Logging_1904/tillsynsmail/A 15734-2026 tillsynsbegäran mail.docx", "A 15734-2026")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46226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31006-2025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45832</v>
      </c>
      <c r="E26" s="1" t="n">
        <v>46226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HYPERLINK("https://klasma.github.io/Logging_1904/artfynd/A 31006-2025 artfynd.xlsx", "A 31006-2025")</f>
        <v/>
      </c>
      <c r="X26">
        <f>HYPERLINK("https://klasma.github.io/Logging_1904/kartor/A 31006-2025 karta.png", "A 31006-2025")</f>
        <v/>
      </c>
      <c r="Y26">
        <f>HYPERLINK("https://klasma.github.io/Logging_1904/kartor_geotiff/A 31006-2025 georefererad karta.tif", "A 31006-2025")</f>
        <v/>
      </c>
      <c r="AA26">
        <f>HYPERLINK("https://klasma.github.io/Logging_1904/klagomål/A 31006-2025 FSC-klagomål.docx", "A 31006-2025")</f>
        <v/>
      </c>
      <c r="AB26">
        <f>HYPERLINK("https://klasma.github.io/Logging_1904/klagomålsmail/A 31006-2025 FSC-klagomål mail.docx", "A 31006-2025")</f>
        <v/>
      </c>
      <c r="AC26">
        <f>HYPERLINK("https://klasma.github.io/Logging_1904/tillsyn/A 31006-2025 tillsynsbegäran.docx", "A 31006-2025")</f>
        <v/>
      </c>
      <c r="AD26">
        <f>HYPERLINK("https://klasma.github.io/Logging_1904/tillsynsmail/A 31006-2025 tillsynsbegäran mail.docx", "A 31006-2025")</f>
        <v/>
      </c>
      <c r="AE26">
        <f>HYPERLINK("https://klasma.github.io/Logging_1904/fåglar/A 31006-2025 prioriterade fågelarter.docx", "A 31006-2025")</f>
        <v/>
      </c>
    </row>
    <row r="27" ht="15" customHeight="1">
      <c r="A27" t="inlineStr">
        <is>
          <t>A 49630-2024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46226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HYPERLINK("https://klasma.github.io/Logging_1904/artfynd/A 49630-2024 artfynd.xlsx", "A 49630-2024")</f>
        <v/>
      </c>
      <c r="X27">
        <f>HYPERLINK("https://klasma.github.io/Logging_1904/kartor/A 49630-2024 karta.png", "A 49630-2024")</f>
        <v/>
      </c>
      <c r="Y27">
        <f>HYPERLINK("https://klasma.github.io/Logging_1904/kartor_geotiff/A 49630-2024 georefererad karta.tif", "A 49630-2024")</f>
        <v/>
      </c>
      <c r="AA27">
        <f>HYPERLINK("https://klasma.github.io/Logging_1904/klagomål/A 49630-2024 FSC-klagomål.docx", "A 49630-2024")</f>
        <v/>
      </c>
      <c r="AB27">
        <f>HYPERLINK("https://klasma.github.io/Logging_1904/klagomålsmail/A 49630-2024 FSC-klagomål mail.docx", "A 49630-2024")</f>
        <v/>
      </c>
      <c r="AC27">
        <f>HYPERLINK("https://klasma.github.io/Logging_1904/tillsyn/A 49630-2024 tillsynsbegäran.docx", "A 49630-2024")</f>
        <v/>
      </c>
      <c r="AD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46226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57395-2025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46226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Vedticka</t>
        </is>
      </c>
      <c r="W29">
        <f>HYPERLINK("https://klasma.github.io/Logging_1904/artfynd/A 57395-2025 artfynd.xlsx", "A 57395-2025")</f>
        <v/>
      </c>
      <c r="X29">
        <f>HYPERLINK("https://klasma.github.io/Logging_1904/kartor/A 57395-2025 karta.png", "A 57395-2025")</f>
        <v/>
      </c>
      <c r="Y29">
        <f>HYPERLINK("https://klasma.github.io/Logging_1904/kartor_geotiff/A 57395-2025 georefererad karta.tif", "A 57395-2025")</f>
        <v/>
      </c>
      <c r="AA29">
        <f>HYPERLINK("https://klasma.github.io/Logging_1904/klagomål/A 57395-2025 FSC-klagomål.docx", "A 57395-2025")</f>
        <v/>
      </c>
      <c r="AB29">
        <f>HYPERLINK("https://klasma.github.io/Logging_1904/klagomålsmail/A 57395-2025 FSC-klagomål mail.docx", "A 57395-2025")</f>
        <v/>
      </c>
      <c r="AC29">
        <f>HYPERLINK("https://klasma.github.io/Logging_1904/tillsyn/A 57395-2025 tillsynsbegäran.docx", "A 57395-2025")</f>
        <v/>
      </c>
      <c r="AD29">
        <f>HYPERLINK("https://klasma.github.io/Logging_1904/tillsynsmail/A 57395-2025 tillsynsbegäran mail.docx", "A 57395-2025")</f>
        <v/>
      </c>
    </row>
    <row r="30" ht="15" customHeight="1">
      <c r="A30" t="inlineStr">
        <is>
          <t>A 20559-2026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46140</v>
      </c>
      <c r="E30" s="1" t="n">
        <v>46226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HYPERLINK("https://klasma.github.io/Logging_1904/artfynd/A 20559-2026 artfynd.xlsx", "A 20559-2026")</f>
        <v/>
      </c>
      <c r="X30">
        <f>HYPERLINK("https://klasma.github.io/Logging_1904/kartor/A 20559-2026 karta.png", "A 20559-2026")</f>
        <v/>
      </c>
      <c r="Y30">
        <f>HYPERLINK("https://klasma.github.io/Logging_1904/kartor_geotiff/A 20559-2026 georefererad karta.tif", "A 20559-2026")</f>
        <v/>
      </c>
      <c r="AA30">
        <f>HYPERLINK("https://klasma.github.io/Logging_1904/klagomål/A 20559-2026 FSC-klagomål.docx", "A 20559-2026")</f>
        <v/>
      </c>
      <c r="AB30">
        <f>HYPERLINK("https://klasma.github.io/Logging_1904/klagomålsmail/A 20559-2026 FSC-klagomål mail.docx", "A 20559-2026")</f>
        <v/>
      </c>
      <c r="AC30">
        <f>HYPERLINK("https://klasma.github.io/Logging_1904/tillsyn/A 20559-2026 tillsynsbegäran.docx", "A 20559-2026")</f>
        <v/>
      </c>
      <c r="AD30">
        <f>HYPERLINK("https://klasma.github.io/Logging_1904/tillsynsmail/A 20559-2026 tillsynsbegäran mail.docx", "A 20559-2026")</f>
        <v/>
      </c>
      <c r="AE30">
        <f>HYPERLINK("https://klasma.github.io/Logging_1904/fåglar/A 20559-2026 prioriterade fågelarter.docx", "A 20559-2026")</f>
        <v/>
      </c>
    </row>
    <row r="31" ht="15" customHeight="1">
      <c r="A31" t="inlineStr">
        <is>
          <t>A 21849-2026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46150</v>
      </c>
      <c r="E31" s="1" t="n">
        <v>46226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12.5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HYPERLINK("https://klasma.github.io/Logging_1904/artfynd/A 21849-2026 artfynd.xlsx", "A 21849-2026")</f>
        <v/>
      </c>
      <c r="X31">
        <f>HYPERLINK("https://klasma.github.io/Logging_1904/kartor/A 21849-2026 karta.png", "A 21849-2026")</f>
        <v/>
      </c>
      <c r="Y31">
        <f>HYPERLINK("https://klasma.github.io/Logging_1904/kartor_geotiff/A 21849-2026 georefererad karta.tif", "A 21849-2026")</f>
        <v/>
      </c>
      <c r="Z31">
        <f>HYPERLINK("https://klasma.github.io/Logging_1904/knärot/A 21849-2026 karta knärot.png", "A 21849-2026")</f>
        <v/>
      </c>
      <c r="AA31">
        <f>HYPERLINK("https://klasma.github.io/Logging_1904/klagomål/A 21849-2026 FSC-klagomål.docx", "A 21849-2026")</f>
        <v/>
      </c>
      <c r="AB31">
        <f>HYPERLINK("https://klasma.github.io/Logging_1904/klagomålsmail/A 21849-2026 FSC-klagomål mail.docx", "A 21849-2026")</f>
        <v/>
      </c>
      <c r="AC31">
        <f>HYPERLINK("https://klasma.github.io/Logging_1904/tillsyn/A 21849-2026 tillsynsbegäran.docx", "A 21849-2026")</f>
        <v/>
      </c>
      <c r="AD31">
        <f>HYPERLINK("https://klasma.github.io/Logging_1904/tillsynsmail/A 21849-2026 tillsynsbegäran mail.docx", "A 21849-2026")</f>
        <v/>
      </c>
    </row>
    <row r="32" ht="15" customHeight="1">
      <c r="A32" t="inlineStr">
        <is>
          <t>A 26860-2026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10.3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Kungsörn</t>
        </is>
      </c>
      <c r="W32">
        <f>HYPERLINK("https://klasma.github.io/Logging_1904/artfynd/A 26860-2026 artfynd.xlsx", "A 26860-2026")</f>
        <v/>
      </c>
      <c r="X32">
        <f>HYPERLINK("https://klasma.github.io/Logging_1904/kartor/A 26860-2026 karta.png", "A 26860-2026")</f>
        <v/>
      </c>
      <c r="Y32">
        <f>HYPERLINK("https://klasma.github.io/Logging_1904/kartor_geotiff/A 26860-2026 georefererad karta.tif", "A 26860-2026")</f>
        <v/>
      </c>
      <c r="AA32">
        <f>HYPERLINK("https://klasma.github.io/Logging_1904/klagomål/A 26860-2026 FSC-klagomål.docx", "A 26860-2026")</f>
        <v/>
      </c>
      <c r="AB32">
        <f>HYPERLINK("https://klasma.github.io/Logging_1904/klagomålsmail/A 26860-2026 FSC-klagomål mail.docx", "A 26860-2026")</f>
        <v/>
      </c>
      <c r="AC32">
        <f>HYPERLINK("https://klasma.github.io/Logging_1904/tillsyn/A 26860-2026 tillsynsbegäran.docx", "A 26860-2026")</f>
        <v/>
      </c>
      <c r="AD32">
        <f>HYPERLINK("https://klasma.github.io/Logging_1904/tillsynsmail/A 26860-2026 tillsynsbegäran mail.docx", "A 26860-2026")</f>
        <v/>
      </c>
      <c r="AE32">
        <f>HYPERLINK("https://klasma.github.io/Logging_1904/fåglar/A 26860-2026 prioriterade fågelarter.docx", "A 26860-2026")</f>
        <v/>
      </c>
    </row>
    <row r="33" ht="15" customHeight="1">
      <c r="A33" t="inlineStr">
        <is>
          <t>A 30579-2026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46210</v>
      </c>
      <c r="E33" s="1" t="n">
        <v>46226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Motaggsvamp</t>
        </is>
      </c>
      <c r="W33">
        <f>HYPERLINK("https://klasma.github.io/Logging_1904/artfynd/A 30579-2026 artfynd.xlsx", "A 30579-2026")</f>
        <v/>
      </c>
      <c r="X33">
        <f>HYPERLINK("https://klasma.github.io/Logging_1904/kartor/A 30579-2026 karta.png", "A 30579-2026")</f>
        <v/>
      </c>
      <c r="Y33">
        <f>HYPERLINK("https://klasma.github.io/Logging_1904/kartor_geotiff/A 30579-2026 georefererad karta.tif", "A 30579-2026")</f>
        <v/>
      </c>
      <c r="AA33">
        <f>HYPERLINK("https://klasma.github.io/Logging_1904/klagomål/A 30579-2026 FSC-klagomål.docx", "A 30579-2026")</f>
        <v/>
      </c>
      <c r="AB33">
        <f>HYPERLINK("https://klasma.github.io/Logging_1904/klagomålsmail/A 30579-2026 FSC-klagomål mail.docx", "A 30579-2026")</f>
        <v/>
      </c>
      <c r="AC33">
        <f>HYPERLINK("https://klasma.github.io/Logging_1904/tillsyn/A 30579-2026 tillsynsbegäran.docx", "A 30579-2026")</f>
        <v/>
      </c>
      <c r="AD33">
        <f>HYPERLINK("https://klasma.github.io/Logging_1904/tillsynsmail/A 30579-2026 tillsynsbegäran mail.docx", "A 30579-2026")</f>
        <v/>
      </c>
    </row>
    <row r="34" ht="15" customHeight="1">
      <c r="A34" t="inlineStr">
        <is>
          <t>A 24492-2026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46226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HYPERLINK("https://klasma.github.io/Logging_1904/artfynd/A 24492-2026 artfynd.xlsx", "A 24492-2026")</f>
        <v/>
      </c>
      <c r="X34">
        <f>HYPERLINK("https://klasma.github.io/Logging_1904/kartor/A 24492-2026 karta.png", "A 24492-2026")</f>
        <v/>
      </c>
      <c r="Y34">
        <f>HYPERLINK("https://klasma.github.io/Logging_1904/kartor_geotiff/A 24492-2026 georefererad karta.tif", "A 24492-2026")</f>
        <v/>
      </c>
      <c r="AA34">
        <f>HYPERLINK("https://klasma.github.io/Logging_1904/klagomål/A 24492-2026 FSC-klagomål.docx", "A 24492-2026")</f>
        <v/>
      </c>
      <c r="AB34">
        <f>HYPERLINK("https://klasma.github.io/Logging_1904/klagomålsmail/A 24492-2026 FSC-klagomål mail.docx", "A 24492-2026")</f>
        <v/>
      </c>
      <c r="AC34">
        <f>HYPERLINK("https://klasma.github.io/Logging_1904/tillsyn/A 24492-2026 tillsynsbegäran.docx", "A 24492-2026")</f>
        <v/>
      </c>
      <c r="AD34">
        <f>HYPERLINK("https://klasma.github.io/Logging_1904/tillsynsmail/A 24492-2026 tillsynsbegäran mail.docx", "A 24492-2026")</f>
        <v/>
      </c>
      <c r="AE34">
        <f>HYPERLINK("https://klasma.github.io/Logging_1904/fåglar/A 24492-2026 prioriterade fågelarter.docx", "A 24492-2026")</f>
        <v/>
      </c>
    </row>
    <row r="35" ht="15" customHeight="1">
      <c r="A35" t="inlineStr">
        <is>
          <t>A 24944-2026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46226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8.4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HYPERLINK("https://klasma.github.io/Logging_1904/artfynd/A 24944-2026 artfynd.xlsx", "A 24944-2026")</f>
        <v/>
      </c>
      <c r="X35">
        <f>HYPERLINK("https://klasma.github.io/Logging_1904/kartor/A 24944-2026 karta.png", "A 24944-2026")</f>
        <v/>
      </c>
      <c r="Y35">
        <f>HYPERLINK("https://klasma.github.io/Logging_1904/kartor_geotiff/A 24944-2026 georefererad karta.tif", "A 24944-2026")</f>
        <v/>
      </c>
      <c r="AA35">
        <f>HYPERLINK("https://klasma.github.io/Logging_1904/klagomål/A 24944-2026 FSC-klagomål.docx", "A 24944-2026")</f>
        <v/>
      </c>
      <c r="AB35">
        <f>HYPERLINK("https://klasma.github.io/Logging_1904/klagomålsmail/A 24944-2026 FSC-klagomål mail.docx", "A 24944-2026")</f>
        <v/>
      </c>
      <c r="AC35">
        <f>HYPERLINK("https://klasma.github.io/Logging_1904/tillsyn/A 24944-2026 tillsynsbegäran.docx", "A 24944-2026")</f>
        <v/>
      </c>
      <c r="AD35">
        <f>HYPERLINK("https://klasma.github.io/Logging_1904/tillsynsmail/A 24944-2026 tillsynsbegäran mail.docx", "A 24944-2026")</f>
        <v/>
      </c>
    </row>
    <row r="36" ht="15" customHeight="1">
      <c r="A36" t="inlineStr">
        <is>
          <t>A 27565-2024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45474</v>
      </c>
      <c r="E36" s="1" t="n">
        <v>46226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HYPERLINK("https://klasma.github.io/Logging_1904/artfynd/A 27565-2024 artfynd.xlsx", "A 27565-2024")</f>
        <v/>
      </c>
      <c r="X36">
        <f>HYPERLINK("https://klasma.github.io/Logging_1904/kartor/A 27565-2024 karta.png", "A 27565-2024")</f>
        <v/>
      </c>
      <c r="Y36">
        <f>HYPERLINK("https://klasma.github.io/Logging_1904/kartor_geotiff/A 27565-2024 georefererad karta.tif", "A 27565-2024")</f>
        <v/>
      </c>
      <c r="AA36">
        <f>HYPERLINK("https://klasma.github.io/Logging_1904/klagomål/A 27565-2024 FSC-klagomål.docx", "A 27565-2024")</f>
        <v/>
      </c>
      <c r="AB36">
        <f>HYPERLINK("https://klasma.github.io/Logging_1904/klagomålsmail/A 27565-2024 FSC-klagomål mail.docx", "A 27565-2024")</f>
        <v/>
      </c>
      <c r="AC36">
        <f>HYPERLINK("https://klasma.github.io/Logging_1904/tillsyn/A 27565-2024 tillsynsbegäran.docx", "A 27565-2024")</f>
        <v/>
      </c>
      <c r="AD36">
        <f>HYPERLINK("https://klasma.github.io/Logging_1904/tillsynsmail/A 27565-2024 tillsynsbegäran mail.docx", "A 27565-2024")</f>
        <v/>
      </c>
    </row>
    <row r="37" ht="15" customHeight="1">
      <c r="A37" t="inlineStr">
        <is>
          <t>A 9491-2024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46226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Skogshare</t>
        </is>
      </c>
      <c r="W37">
        <f>HYPERLINK("https://klasma.github.io/Logging_1904/artfynd/A 9491-2024 artfynd.xlsx", "A 9491-2024")</f>
        <v/>
      </c>
      <c r="X37">
        <f>HYPERLINK("https://klasma.github.io/Logging_1904/kartor/A 9491-2024 karta.png", "A 9491-2024")</f>
        <v/>
      </c>
      <c r="Y37">
        <f>HYPERLINK("https://klasma.github.io/Logging_1904/kartor_geotiff/A 9491-2024 georefererad karta.tif", "A 9491-2024")</f>
        <v/>
      </c>
      <c r="AA37">
        <f>HYPERLINK("https://klasma.github.io/Logging_1904/klagomål/A 9491-2024 FSC-klagomål.docx", "A 9491-2024")</f>
        <v/>
      </c>
      <c r="AB37">
        <f>HYPERLINK("https://klasma.github.io/Logging_1904/klagomålsmail/A 9491-2024 FSC-klagomål mail.docx", "A 9491-2024")</f>
        <v/>
      </c>
      <c r="AC37">
        <f>HYPERLINK("https://klasma.github.io/Logging_1904/tillsyn/A 9491-2024 tillsynsbegäran.docx", "A 9491-2024")</f>
        <v/>
      </c>
      <c r="AD37">
        <f>HYPERLINK("https://klasma.github.io/Logging_1904/tillsynsmail/A 9491-2024 tillsynsbegäran mail.docx", "A 9491-2024")</f>
        <v/>
      </c>
    </row>
    <row r="38" ht="15" customHeight="1">
      <c r="A38" t="inlineStr">
        <is>
          <t>A 43413-2024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46226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Orange taggsvamp</t>
        </is>
      </c>
      <c r="W38">
        <f>HYPERLINK("https://klasma.github.io/Logging_1904/artfynd/A 43413-2024 artfynd.xlsx", "A 43413-2024")</f>
        <v/>
      </c>
      <c r="X38">
        <f>HYPERLINK("https://klasma.github.io/Logging_1904/kartor/A 43413-2024 karta.png", "A 43413-2024")</f>
        <v/>
      </c>
      <c r="Y38">
        <f>HYPERLINK("https://klasma.github.io/Logging_1904/kartor_geotiff/A 43413-2024 georefererad karta.tif", "A 43413-2024")</f>
        <v/>
      </c>
      <c r="AA38">
        <f>HYPERLINK("https://klasma.github.io/Logging_1904/klagomål/A 43413-2024 FSC-klagomål.docx", "A 43413-2024")</f>
        <v/>
      </c>
      <c r="AB38">
        <f>HYPERLINK("https://klasma.github.io/Logging_1904/klagomålsmail/A 43413-2024 FSC-klagomål mail.docx", "A 43413-2024")</f>
        <v/>
      </c>
      <c r="AC38">
        <f>HYPERLINK("https://klasma.github.io/Logging_1904/tillsyn/A 43413-2024 tillsynsbegäran.docx", "A 43413-2024")</f>
        <v/>
      </c>
      <c r="AD38">
        <f>HYPERLINK("https://klasma.github.io/Logging_1904/tillsynsmail/A 43413-2024 tillsynsbegäran mail.docx", "A 43413-2024")</f>
        <v/>
      </c>
    </row>
    <row r="39" ht="15" customHeight="1">
      <c r="A39" t="inlineStr">
        <is>
          <t>A 23893-2023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46226</v>
      </c>
      <c r="F39" t="inlineStr">
        <is>
          <t>VÄSTMANLANDS LÄN</t>
        </is>
      </c>
      <c r="G39" t="inlineStr">
        <is>
          <t>SKINNSKATTEBERG</t>
        </is>
      </c>
      <c r="I39" t="n">
        <v>1.6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Knärot</t>
        </is>
      </c>
      <c r="W39">
        <f>HYPERLINK("https://klasma.github.io/Logging_1904/artfynd/A 23893-2023 artfynd.xlsx", "A 23893-2023")</f>
        <v/>
      </c>
      <c r="X39">
        <f>HYPERLINK("https://klasma.github.io/Logging_1904/kartor/A 23893-2023 karta.png", "A 23893-2023")</f>
        <v/>
      </c>
      <c r="Y39">
        <f>HYPERLINK("https://klasma.github.io/Logging_1904/kartor_geotiff/A 23893-2023 georefererad karta.tif", "A 23893-2023")</f>
        <v/>
      </c>
      <c r="Z39">
        <f>HYPERLINK("https://klasma.github.io/Logging_1904/knärot/A 23893-2023 karta knärot.png", "A 23893-2023")</f>
        <v/>
      </c>
      <c r="AA39">
        <f>HYPERLINK("https://klasma.github.io/Logging_1904/klagomål/A 23893-2023 FSC-klagomål.docx", "A 23893-2023")</f>
        <v/>
      </c>
      <c r="AB39">
        <f>HYPERLINK("https://klasma.github.io/Logging_1904/klagomålsmail/A 23893-2023 FSC-klagomål mail.docx", "A 23893-2023")</f>
        <v/>
      </c>
      <c r="AC39">
        <f>HYPERLINK("https://klasma.github.io/Logging_1904/tillsyn/A 23893-2023 tillsynsbegäran.docx", "A 23893-2023")</f>
        <v/>
      </c>
      <c r="AD39">
        <f>HYPERLINK("https://klasma.github.io/Logging_1904/tillsynsmail/A 23893-2023 tillsynsbegäran mail.docx", "A 23893-2023")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46226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12024-2023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44995</v>
      </c>
      <c r="E41" s="1" t="n">
        <v>46226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HYPERLINK("https://klasma.github.io/Logging_1904/artfynd/A 12024-2023 artfynd.xlsx", "A 12024-2023")</f>
        <v/>
      </c>
      <c r="X41">
        <f>HYPERLINK("https://klasma.github.io/Logging_1904/kartor/A 12024-2023 karta.png", "A 12024-2023")</f>
        <v/>
      </c>
      <c r="Y41">
        <f>HYPERLINK("https://klasma.github.io/Logging_1904/kartor_geotiff/A 12024-2023 georefererad karta.tif", "A 12024-2023")</f>
        <v/>
      </c>
      <c r="AA41">
        <f>HYPERLINK("https://klasma.github.io/Logging_1904/klagomål/A 12024-2023 FSC-klagomål.docx", "A 12024-2023")</f>
        <v/>
      </c>
      <c r="AB41">
        <f>HYPERLINK("https://klasma.github.io/Logging_1904/klagomålsmail/A 12024-2023 FSC-klagomål mail.docx", "A 12024-2023")</f>
        <v/>
      </c>
      <c r="AC41">
        <f>HYPERLINK("https://klasma.github.io/Logging_1904/tillsyn/A 12024-2023 tillsynsbegäran.docx", "A 12024-2023")</f>
        <v/>
      </c>
      <c r="AD41">
        <f>HYPERLINK("https://klasma.github.io/Logging_1904/tillsynsmail/A 12024-2023 tillsynsbegäran mail.docx", "A 12024-2023")</f>
        <v/>
      </c>
    </row>
    <row r="42" ht="15" customHeight="1">
      <c r="A42" t="inlineStr">
        <is>
          <t>A 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46226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9490-2024 artfynd.xlsx", "A 9490-2024")</f>
        <v/>
      </c>
      <c r="X42">
        <f>HYPERLINK("https://klasma.github.io/Logging_1904/kartor/A 9490-2024 karta.png", "A 9490-2024")</f>
        <v/>
      </c>
      <c r="Y42">
        <f>HYPERLINK("https://klasma.github.io/Logging_1904/kartor_geotiff/A 9490-2024 georefererad karta.tif", "A 9490-2024")</f>
        <v/>
      </c>
      <c r="AA42">
        <f>HYPERLINK("https://klasma.github.io/Logging_1904/klagomål/A 9490-2024 FSC-klagomål.docx", "A 9490-2024")</f>
        <v/>
      </c>
      <c r="AB42">
        <f>HYPERLINK("https://klasma.github.io/Logging_1904/klagomålsmail/A 9490-2024 FSC-klagomål mail.docx", "A 9490-2024")</f>
        <v/>
      </c>
      <c r="AC42">
        <f>HYPERLINK("https://klasma.github.io/Logging_1904/tillsyn/A 9490-2024 tillsynsbegäran.docx", "A 9490-2024")</f>
        <v/>
      </c>
      <c r="AD42">
        <f>HYPERLINK("https://klasma.github.io/Logging_1904/tillsynsmail/A 9490-2024 tillsynsbegäran mail.docx", "A 9490-2024")</f>
        <v/>
      </c>
      <c r="AE42">
        <f>HYPERLINK("https://klasma.github.io/Logging_1904/fåglar/A 9490-2024 prioriterade fågelarter.docx", "A 9490-2024")</f>
        <v/>
      </c>
    </row>
    <row r="43" ht="15" customHeight="1">
      <c r="A43" t="inlineStr">
        <is>
          <t>A 4000-2024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46226</v>
      </c>
      <c r="F43" t="inlineStr">
        <is>
          <t>VÄSTMANLANDS LÄN</t>
        </is>
      </c>
      <c r="G43" t="inlineStr">
        <is>
          <t>SKINNSKATTEBERG</t>
        </is>
      </c>
      <c r="I43" t="n">
        <v>14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Klasefibbla</t>
        </is>
      </c>
      <c r="W43">
        <f>HYPERLINK("https://klasma.github.io/Logging_1904/artfynd/A 4000-2024 artfynd.xlsx", "A 4000-2024")</f>
        <v/>
      </c>
      <c r="X43">
        <f>HYPERLINK("https://klasma.github.io/Logging_1904/kartor/A 4000-2024 karta.png", "A 4000-2024")</f>
        <v/>
      </c>
      <c r="Y43">
        <f>HYPERLINK("https://klasma.github.io/Logging_1904/kartor_geotiff/A 4000-2024 georefererad karta.tif", "A 4000-2024")</f>
        <v/>
      </c>
      <c r="AA43">
        <f>HYPERLINK("https://klasma.github.io/Logging_1904/klagomål/A 4000-2024 FSC-klagomål.docx", "A 4000-2024")</f>
        <v/>
      </c>
      <c r="AB43">
        <f>HYPERLINK("https://klasma.github.io/Logging_1904/klagomålsmail/A 4000-2024 FSC-klagomål mail.docx", "A 4000-2024")</f>
        <v/>
      </c>
      <c r="AC43">
        <f>HYPERLINK("https://klasma.github.io/Logging_1904/tillsyn/A 4000-2024 tillsynsbegäran.docx", "A 4000-2024")</f>
        <v/>
      </c>
      <c r="AD43">
        <f>HYPERLINK("https://klasma.github.io/Logging_1904/tillsynsmail/A 4000-2024 tillsynsbegäran mail.docx", "A 4000-2024")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46226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46226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46226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46226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46226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46226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46226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46226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46226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46226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46226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46226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46226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46226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46226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46226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46226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46226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46226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46226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46226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46226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46226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46226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46226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46226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46226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46226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45407</v>
      </c>
      <c r="E72" s="1" t="n">
        <v>46226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46226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46226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46226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45762</v>
      </c>
      <c r="E76" s="1" t="n">
        <v>46226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46226</v>
      </c>
      <c r="F77" t="inlineStr">
        <is>
          <t>VÄSTMANLANDS LÄN</t>
        </is>
      </c>
      <c r="G77" t="inlineStr">
        <is>
          <t>SKINNSKATTEBERG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46226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45237</v>
      </c>
      <c r="E79" s="1" t="n">
        <v>46226</v>
      </c>
      <c r="F79" t="inlineStr">
        <is>
          <t>VÄSTMANLANDS LÄN</t>
        </is>
      </c>
      <c r="G79" t="inlineStr">
        <is>
          <t>SKINNSKATTEBERG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46226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46226</v>
      </c>
      <c r="F81" t="inlineStr">
        <is>
          <t>VÄSTMANLANDS LÄN</t>
        </is>
      </c>
      <c r="G81" t="inlineStr">
        <is>
          <t>SKINNSKATTEBERG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46226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46226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46226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46226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46226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46226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46226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45637</v>
      </c>
      <c r="E89" s="1" t="n">
        <v>46226</v>
      </c>
      <c r="F89" t="inlineStr">
        <is>
          <t>VÄSTMANLANDS LÄN</t>
        </is>
      </c>
      <c r="G89" t="inlineStr">
        <is>
          <t>SKINNSKATTEBERG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46226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46226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45375</v>
      </c>
      <c r="E92" s="1" t="n">
        <v>46226</v>
      </c>
      <c r="F92" t="inlineStr">
        <is>
          <t>VÄSTMANLANDS LÄN</t>
        </is>
      </c>
      <c r="G92" t="inlineStr">
        <is>
          <t>SKINNSKATTEBERG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46226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45250</v>
      </c>
      <c r="E94" s="1" t="n">
        <v>46226</v>
      </c>
      <c r="F94" t="inlineStr">
        <is>
          <t>VÄSTMANLANDS LÄN</t>
        </is>
      </c>
      <c r="G94" t="inlineStr">
        <is>
          <t>SKINNSKATTEBERG</t>
        </is>
      </c>
      <c r="I94" t="n">
        <v>10.1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45247</v>
      </c>
      <c r="E95" s="1" t="n">
        <v>46226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46226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52696-2024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46226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46226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53145-2021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44468</v>
      </c>
      <c r="E99" s="1" t="n">
        <v>46226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45407</v>
      </c>
      <c r="E100" s="1" t="n">
        <v>46226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44935</v>
      </c>
      <c r="E101" s="1" t="n">
        <v>46226</v>
      </c>
      <c r="F101" t="inlineStr">
        <is>
          <t>VÄSTMANLANDS LÄN</t>
        </is>
      </c>
      <c r="G101" t="inlineStr">
        <is>
          <t>SKINNSKATTEBERG</t>
        </is>
      </c>
      <c r="I101" t="n">
        <v>10.5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46226</v>
      </c>
      <c r="F102" t="inlineStr">
        <is>
          <t>VÄSTMANLANDS LÄN</t>
        </is>
      </c>
      <c r="G102" t="inlineStr">
        <is>
          <t>SKINNSKATTEBERG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6601-2026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46056</v>
      </c>
      <c r="E103" s="1" t="n">
        <v>46226</v>
      </c>
      <c r="F103" t="inlineStr">
        <is>
          <t>VÄSTMANLANDS LÄN</t>
        </is>
      </c>
      <c r="G103" t="inlineStr">
        <is>
          <t>SKINNSKATTEBERG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46226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45571</v>
      </c>
      <c r="E105" s="1" t="n">
        <v>46226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45480</v>
      </c>
      <c r="E106" s="1" t="n">
        <v>46226</v>
      </c>
      <c r="F106" t="inlineStr">
        <is>
          <t>VÄSTMANLANDS LÄN</t>
        </is>
      </c>
      <c r="G106" t="inlineStr">
        <is>
          <t>SKINNSKATTEBERG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45532</v>
      </c>
      <c r="E107" s="1" t="n">
        <v>46226</v>
      </c>
      <c r="F107" t="inlineStr">
        <is>
          <t>VÄSTMANLANDS LÄN</t>
        </is>
      </c>
      <c r="G107" t="inlineStr">
        <is>
          <t>SKINNSKATTEBERG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46226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44859</v>
      </c>
      <c r="E109" s="1" t="n">
        <v>46226</v>
      </c>
      <c r="F109" t="inlineStr">
        <is>
          <t>VÄSTMANLANDS LÄN</t>
        </is>
      </c>
      <c r="G109" t="inlineStr">
        <is>
          <t>SKINNSKATTEBERG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46226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28831-2025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45820</v>
      </c>
      <c r="E111" s="1" t="n">
        <v>46226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46226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28873-2025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45820</v>
      </c>
      <c r="E113" s="1" t="n">
        <v>46226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40776-2025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45897</v>
      </c>
      <c r="E114" s="1" t="n">
        <v>46226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46226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46226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40783-2025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46226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40782-2025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45897</v>
      </c>
      <c r="E118" s="1" t="n">
        <v>46226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46226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29808-2025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45825</v>
      </c>
      <c r="E120" s="1" t="n">
        <v>46226</v>
      </c>
      <c r="F120" t="inlineStr">
        <is>
          <t>VÄSTMANLANDS LÄN</t>
        </is>
      </c>
      <c r="G120" t="inlineStr">
        <is>
          <t>SKINNSKATTEBERG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29810-2025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45825</v>
      </c>
      <c r="E121" s="1" t="n">
        <v>46226</v>
      </c>
      <c r="F121" t="inlineStr">
        <is>
          <t>VÄSTMANLANDS LÄN</t>
        </is>
      </c>
      <c r="G121" t="inlineStr">
        <is>
          <t>SKINNSKATTEBERG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46226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45245</v>
      </c>
      <c r="E123" s="1" t="n">
        <v>46226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43185-2025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46226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46226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13350-2026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46226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44603</v>
      </c>
      <c r="E127" s="1" t="n">
        <v>46226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Kyrkan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13353-2026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46226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13355-2026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46094</v>
      </c>
      <c r="E129" s="1" t="n">
        <v>46226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46226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45827</v>
      </c>
      <c r="E131" s="1" t="n">
        <v>46226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30439-2025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45827</v>
      </c>
      <c r="E132" s="1" t="n">
        <v>46226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45915</v>
      </c>
      <c r="E133" s="1" t="n">
        <v>46226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44184-2025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45915</v>
      </c>
      <c r="E134" s="1" t="n">
        <v>46226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46226</v>
      </c>
      <c r="F135" t="inlineStr">
        <is>
          <t>VÄSTMANLANDS LÄN</t>
        </is>
      </c>
      <c r="G135" t="inlineStr">
        <is>
          <t>SKINNSKATTEBERG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41581-2025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45901</v>
      </c>
      <c r="E136" s="1" t="n">
        <v>46226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46226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46226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46226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46226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46226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46226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46226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46226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57747-2023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45246</v>
      </c>
      <c r="E145" s="1" t="n">
        <v>46226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45832</v>
      </c>
      <c r="E146" s="1" t="n">
        <v>46226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46226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15732-2026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46226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15955-2026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46108</v>
      </c>
      <c r="E149" s="1" t="n">
        <v>46226</v>
      </c>
      <c r="F149" t="inlineStr">
        <is>
          <t>VÄSTMANLANDS LÄN</t>
        </is>
      </c>
      <c r="G149" t="inlineStr">
        <is>
          <t>SKINNSKATTEBERG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46226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46226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46107</v>
      </c>
      <c r="E152" s="1" t="n">
        <v>46226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31234-2025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45832</v>
      </c>
      <c r="E153" s="1" t="n">
        <v>46226</v>
      </c>
      <c r="F153" t="inlineStr">
        <is>
          <t>VÄSTMANLANDS LÄN</t>
        </is>
      </c>
      <c r="G153" t="inlineStr">
        <is>
          <t>SKINNSKATTEBERG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16136-2026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46108</v>
      </c>
      <c r="E154" s="1" t="n">
        <v>46226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46226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46226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46226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46226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17098-2026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46114</v>
      </c>
      <c r="E159" s="1" t="n">
        <v>46226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46226</v>
      </c>
      <c r="F160" t="inlineStr">
        <is>
          <t>VÄSTMANLANDS LÄN</t>
        </is>
      </c>
      <c r="G160" t="inlineStr">
        <is>
          <t>SKINNSKATTEBERG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46226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46226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45393</v>
      </c>
      <c r="E163" s="1" t="n">
        <v>46226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45754</v>
      </c>
      <c r="E164" s="1" t="n">
        <v>46226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46226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46226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46124</v>
      </c>
      <c r="E167" s="1" t="n">
        <v>46226</v>
      </c>
      <c r="F167" t="inlineStr">
        <is>
          <t>VÄSTMANLANDS LÄN</t>
        </is>
      </c>
      <c r="G167" t="inlineStr">
        <is>
          <t>SKINNSKATTEBERG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45198</v>
      </c>
      <c r="E168" s="1" t="n">
        <v>46226</v>
      </c>
      <c r="F168" t="inlineStr">
        <is>
          <t>VÄSTMANLANDS LÄN</t>
        </is>
      </c>
      <c r="G168" t="inlineStr">
        <is>
          <t>SKINNSKATTEBERG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46226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45947</v>
      </c>
      <c r="E170" s="1" t="n">
        <v>46226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51028-2025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45947</v>
      </c>
      <c r="E171" s="1" t="n">
        <v>46226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46226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46226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45063</v>
      </c>
      <c r="E174" s="1" t="n">
        <v>46226</v>
      </c>
      <c r="F174" t="inlineStr">
        <is>
          <t>VÄSTMANLANDS LÄN</t>
        </is>
      </c>
      <c r="G174" t="inlineStr">
        <is>
          <t>SKINNSKATTEBERG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45063</v>
      </c>
      <c r="E175" s="1" t="n">
        <v>46226</v>
      </c>
      <c r="F175" t="inlineStr">
        <is>
          <t>VÄSTMANLANDS LÄN</t>
        </is>
      </c>
      <c r="G175" t="inlineStr">
        <is>
          <t>SKINNSKATTEBERG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46226</v>
      </c>
      <c r="F176" t="inlineStr">
        <is>
          <t>VÄSTMANLANDS LÄN</t>
        </is>
      </c>
      <c r="G176" t="inlineStr">
        <is>
          <t>SKINNSKATTEBERG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45114</v>
      </c>
      <c r="E177" s="1" t="n">
        <v>46226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46226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19540-2026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46134</v>
      </c>
      <c r="E179" s="1" t="n">
        <v>46226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19541-2026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46134</v>
      </c>
      <c r="E180" s="1" t="n">
        <v>46226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19582-2026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46134</v>
      </c>
      <c r="E181" s="1" t="n">
        <v>46226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46226</v>
      </c>
      <c r="F182" t="inlineStr">
        <is>
          <t>VÄSTMANLANDS LÄN</t>
        </is>
      </c>
      <c r="G182" t="inlineStr">
        <is>
          <t>SKINNSKATTEBERG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46226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45571</v>
      </c>
      <c r="E184" s="1" t="n">
        <v>46226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45571</v>
      </c>
      <c r="E185" s="1" t="n">
        <v>46226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46226</v>
      </c>
      <c r="F186" t="inlineStr">
        <is>
          <t>VÄSTMANLANDS LÄN</t>
        </is>
      </c>
      <c r="G186" t="inlineStr">
        <is>
          <t>SKINNSKATTEBERG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46226</v>
      </c>
      <c r="F187" t="inlineStr">
        <is>
          <t>VÄSTMANLANDS LÄN</t>
        </is>
      </c>
      <c r="G187" t="inlineStr">
        <is>
          <t>SKINNSKATTEBERG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20248-2024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45434</v>
      </c>
      <c r="E188" s="1" t="n">
        <v>46226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46226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46226</v>
      </c>
      <c r="F190" t="inlineStr">
        <is>
          <t>VÄSTMANLANDS LÄN</t>
        </is>
      </c>
      <c r="G190" t="inlineStr">
        <is>
          <t>SKINNSKATTEBERG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45447</v>
      </c>
      <c r="E191" s="1" t="n">
        <v>46226</v>
      </c>
      <c r="F191" t="inlineStr">
        <is>
          <t>VÄSTMANLANDS LÄN</t>
        </is>
      </c>
      <c r="G191" t="inlineStr">
        <is>
          <t>SKINNSKATTEBERG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46226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45848</v>
      </c>
      <c r="E193" s="1" t="n">
        <v>46226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46226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46226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46226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45853</v>
      </c>
      <c r="E197" s="1" t="n">
        <v>46226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45554</v>
      </c>
      <c r="E198" s="1" t="n">
        <v>46226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35205-2025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45853</v>
      </c>
      <c r="E199" s="1" t="n">
        <v>46226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46226</v>
      </c>
      <c r="F200" t="inlineStr">
        <is>
          <t>VÄSTMANLANDS LÄN</t>
        </is>
      </c>
      <c r="G200" t="inlineStr">
        <is>
          <t>SKINNSKATTEBERG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46226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16729-2024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45410</v>
      </c>
      <c r="E202" s="1" t="n">
        <v>46226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46226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46226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56465-2025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45975</v>
      </c>
      <c r="E205" s="1" t="n">
        <v>46226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45534</v>
      </c>
      <c r="E206" s="1" t="n">
        <v>46226</v>
      </c>
      <c r="F206" t="inlineStr">
        <is>
          <t>VÄSTMANLANDS LÄN</t>
        </is>
      </c>
      <c r="G206" t="inlineStr">
        <is>
          <t>SKINNSKATTEBERG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45979</v>
      </c>
      <c r="E207" s="1" t="n">
        <v>46226</v>
      </c>
      <c r="F207" t="inlineStr">
        <is>
          <t>VÄSTMANLANDS LÄN</t>
        </is>
      </c>
      <c r="G207" t="inlineStr">
        <is>
          <t>SKINNSKATTEBERG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46226</v>
      </c>
      <c r="F208" t="inlineStr">
        <is>
          <t>VÄSTMANLANDS LÄN</t>
        </is>
      </c>
      <c r="G208" t="inlineStr">
        <is>
          <t>SKINNSKATTEBERG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46226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27329-2023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45096</v>
      </c>
      <c r="E210" s="1" t="n">
        <v>46226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46226</v>
      </c>
      <c r="F211" t="inlineStr">
        <is>
          <t>VÄSTMANLANDS LÄN</t>
        </is>
      </c>
      <c r="G211" t="inlineStr">
        <is>
          <t>SKINNSKATTEBERG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45740</v>
      </c>
      <c r="E212" s="1" t="n">
        <v>46226</v>
      </c>
      <c r="F212" t="inlineStr">
        <is>
          <t>VÄSTMANLANDS LÄN</t>
        </is>
      </c>
      <c r="G212" t="inlineStr">
        <is>
          <t>SKINNSKATTEBERG</t>
        </is>
      </c>
      <c r="I212" t="n">
        <v>10.4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46226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45407</v>
      </c>
      <c r="E214" s="1" t="n">
        <v>46226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45376</v>
      </c>
      <c r="E215" s="1" t="n">
        <v>46226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46226</v>
      </c>
      <c r="F216" t="inlineStr">
        <is>
          <t>VÄSTMANLANDS LÄN</t>
        </is>
      </c>
      <c r="G216" t="inlineStr">
        <is>
          <t>SKINNSKATTEBERG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45987</v>
      </c>
      <c r="E217" s="1" t="n">
        <v>46226</v>
      </c>
      <c r="F217" t="inlineStr">
        <is>
          <t>VÄSTMANLANDS LÄN</t>
        </is>
      </c>
      <c r="G217" t="inlineStr">
        <is>
          <t>SKINNSKATTEBERG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46226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Kyrkan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46226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45068</v>
      </c>
      <c r="E220" s="1" t="n">
        <v>46226</v>
      </c>
      <c r="F220" t="inlineStr">
        <is>
          <t>VÄSTMANLANDS LÄN</t>
        </is>
      </c>
      <c r="G220" t="inlineStr">
        <is>
          <t>SKINNSKATTEBERG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46226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46226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25843-2023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45090</v>
      </c>
      <c r="E223" s="1" t="n">
        <v>46226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46226</v>
      </c>
      <c r="F224" t="inlineStr">
        <is>
          <t>VÄSTMANLANDS LÄN</t>
        </is>
      </c>
      <c r="G224" t="inlineStr">
        <is>
          <t>SKINNSKATTEBERG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46226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20563-2026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46140</v>
      </c>
      <c r="E226" s="1" t="n">
        <v>46226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46226</v>
      </c>
      <c r="F227" t="inlineStr">
        <is>
          <t>VÄSTMANLANDS LÄN</t>
        </is>
      </c>
      <c r="G227" t="inlineStr">
        <is>
          <t>SKINNSKATTEBERG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46226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44903</v>
      </c>
      <c r="E229" s="1" t="n">
        <v>46226</v>
      </c>
      <c r="F229" t="inlineStr">
        <is>
          <t>VÄSTMANLANDS LÄN</t>
        </is>
      </c>
      <c r="G229" t="inlineStr">
        <is>
          <t>SKINNSKATTEBERG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13676-2022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44648</v>
      </c>
      <c r="E230" s="1" t="n">
        <v>46226</v>
      </c>
      <c r="F230" t="inlineStr">
        <is>
          <t>VÄSTMANLANDS LÄN</t>
        </is>
      </c>
      <c r="G230" t="inlineStr">
        <is>
          <t>SKINNSKATTEBERG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46226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46226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46226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46226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46185</v>
      </c>
      <c r="E235" s="1" t="n">
        <v>46226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62934-2025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46009</v>
      </c>
      <c r="E236" s="1" t="n">
        <v>46226</v>
      </c>
      <c r="F236" t="inlineStr">
        <is>
          <t>VÄSTMANLANDS LÄN</t>
        </is>
      </c>
      <c r="G236" t="inlineStr">
        <is>
          <t>SKINNSKATTEBERG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45901</v>
      </c>
      <c r="E237" s="1" t="n">
        <v>46226</v>
      </c>
      <c r="F237" t="inlineStr">
        <is>
          <t>VÄSTMANLANDS LÄN</t>
        </is>
      </c>
      <c r="G237" t="inlineStr">
        <is>
          <t>SKINNSKATTEBERG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46226</v>
      </c>
      <c r="F238" t="inlineStr">
        <is>
          <t>VÄSTMANLANDS LÄN</t>
        </is>
      </c>
      <c r="G238" t="inlineStr">
        <is>
          <t>SKINNSKATTEBERG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46226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46226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46226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46226</v>
      </c>
      <c r="F242" t="inlineStr">
        <is>
          <t>VÄSTMANLANDS LÄN</t>
        </is>
      </c>
      <c r="G242" t="inlineStr">
        <is>
          <t>SKINNSKATTEBERG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46226</v>
      </c>
      <c r="F243" t="inlineStr">
        <is>
          <t>VÄSTMANLANDS LÄN</t>
        </is>
      </c>
      <c r="G243" t="inlineStr">
        <is>
          <t>SKINNSKATTEBERG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27919-2026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46226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27637-2026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46226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46226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46191</v>
      </c>
      <c r="E247" s="1" t="n">
        <v>46226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46190</v>
      </c>
      <c r="E248" s="1" t="n">
        <v>46226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27639-2026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46190</v>
      </c>
      <c r="E249" s="1" t="n">
        <v>46226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46195</v>
      </c>
      <c r="E250" s="1" t="n">
        <v>46226</v>
      </c>
      <c r="F250" t="inlineStr">
        <is>
          <t>VÄSTMANLANDS LÄN</t>
        </is>
      </c>
      <c r="G250" t="inlineStr">
        <is>
          <t>SKINNSKATTEBERG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46226</v>
      </c>
      <c r="F251" t="inlineStr">
        <is>
          <t>VÄSTMANLANDS LÄN</t>
        </is>
      </c>
      <c r="G251" t="inlineStr">
        <is>
          <t>SKINNSKATTEBERG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46037</v>
      </c>
      <c r="E252" s="1" t="n">
        <v>46226</v>
      </c>
      <c r="F252" t="inlineStr">
        <is>
          <t>VÄSTMANLANDS LÄN</t>
        </is>
      </c>
      <c r="G252" t="inlineStr">
        <is>
          <t>SKINNSKATTEBERG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46226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46226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45177</v>
      </c>
      <c r="E255" s="1" t="n">
        <v>46226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46226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46226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55428-2021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44475</v>
      </c>
      <c r="E258" s="1" t="n">
        <v>46226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53880-2021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44469</v>
      </c>
      <c r="E259" s="1" t="n">
        <v>46226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46226</v>
      </c>
      <c r="F260" t="inlineStr">
        <is>
          <t>VÄSTMANLANDS LÄN</t>
        </is>
      </c>
      <c r="G260" t="inlineStr">
        <is>
          <t>SKINNSKATTEBERG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46226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52600-2021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44466</v>
      </c>
      <c r="E262" s="1" t="n">
        <v>46226</v>
      </c>
      <c r="F262" t="inlineStr">
        <is>
          <t>VÄSTMANLANDS LÄN</t>
        </is>
      </c>
      <c r="G262" t="inlineStr">
        <is>
          <t>SKINNSKATTEBERG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5704-2026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46051</v>
      </c>
      <c r="E263" s="1" t="n">
        <v>46226</v>
      </c>
      <c r="F263" t="inlineStr">
        <is>
          <t>VÄSTMANLANDS LÄN</t>
        </is>
      </c>
      <c r="G263" t="inlineStr">
        <is>
          <t>SKINNSKATTEBERG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46197</v>
      </c>
      <c r="E264" s="1" t="n">
        <v>46226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46197</v>
      </c>
      <c r="E265" s="1" t="n">
        <v>46226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53183-2021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44468</v>
      </c>
      <c r="E266" s="1" t="n">
        <v>46226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45420</v>
      </c>
      <c r="E267" s="1" t="n">
        <v>46226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5693-2026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46051</v>
      </c>
      <c r="E268" s="1" t="n">
        <v>46226</v>
      </c>
      <c r="F268" t="inlineStr">
        <is>
          <t>VÄSTMANLANDS LÄN</t>
        </is>
      </c>
      <c r="G268" t="inlineStr">
        <is>
          <t>SKINNSKATTEBERG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5675-2026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46051</v>
      </c>
      <c r="E269" s="1" t="n">
        <v>46226</v>
      </c>
      <c r="F269" t="inlineStr">
        <is>
          <t>VÄSTMANLANDS LÄN</t>
        </is>
      </c>
      <c r="G269" t="inlineStr">
        <is>
          <t>SKINNSKATTEBERG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22779-2026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46157</v>
      </c>
      <c r="E270" s="1" t="n">
        <v>46226</v>
      </c>
      <c r="F270" t="inlineStr">
        <is>
          <t>VÄSTMANLANDS LÄN</t>
        </is>
      </c>
      <c r="G270" t="inlineStr">
        <is>
          <t>SKINNSKATTEBERG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46226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29021-2026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46199</v>
      </c>
      <c r="E272" s="1" t="n">
        <v>46226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44462</v>
      </c>
      <c r="E273" s="1" t="n">
        <v>46226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46226</v>
      </c>
      <c r="F274" t="inlineStr">
        <is>
          <t>VÄSTMANLANDS LÄN</t>
        </is>
      </c>
      <c r="G274" t="inlineStr">
        <is>
          <t>SKINNSKATTEBERG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29026-2026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46199</v>
      </c>
      <c r="E275" s="1" t="n">
        <v>46226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53142-2021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44468</v>
      </c>
      <c r="E276" s="1" t="n">
        <v>46226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15737-2024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45404</v>
      </c>
      <c r="E277" s="1" t="n">
        <v>46226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45512</v>
      </c>
      <c r="E278" s="1" t="n">
        <v>46226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46200</v>
      </c>
      <c r="E279" s="1" t="n">
        <v>46226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46200</v>
      </c>
      <c r="E280" s="1" t="n">
        <v>46226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46226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51475-2024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45604</v>
      </c>
      <c r="E282" s="1" t="n">
        <v>46226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46226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46226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46226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46226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45407</v>
      </c>
      <c r="E287" s="1" t="n">
        <v>46226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49847-2021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44455</v>
      </c>
      <c r="E288" s="1" t="n">
        <v>46226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36288-2022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44803</v>
      </c>
      <c r="E289" s="1" t="n">
        <v>46226</v>
      </c>
      <c r="F289" t="inlineStr">
        <is>
          <t>VÄSTMANLANDS LÄN</t>
        </is>
      </c>
      <c r="G289" t="inlineStr">
        <is>
          <t>SKINNSKATTEBERG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46168</v>
      </c>
      <c r="E290" s="1" t="n">
        <v>46226</v>
      </c>
      <c r="F290" t="inlineStr">
        <is>
          <t>VÄSTMANLANDS LÄN</t>
        </is>
      </c>
      <c r="G290" t="inlineStr">
        <is>
          <t>SKINNSKATTEBERG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46210</v>
      </c>
      <c r="E291" s="1" t="n">
        <v>46226</v>
      </c>
      <c r="F291" t="inlineStr">
        <is>
          <t>VÄSTMANLANDS LÄN</t>
        </is>
      </c>
      <c r="G291" t="inlineStr">
        <is>
          <t>SKINNSKATTEBERG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46170</v>
      </c>
      <c r="E292" s="1" t="n">
        <v>46226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46226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46226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46170</v>
      </c>
      <c r="E295" s="1" t="n">
        <v>46226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46226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46209</v>
      </c>
      <c r="E297" s="1" t="n">
        <v>46226</v>
      </c>
      <c r="F297" t="inlineStr">
        <is>
          <t>VÄSTMANLANDS LÄN</t>
        </is>
      </c>
      <c r="G297" t="inlineStr">
        <is>
          <t>SKINNSKATTEBERG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46226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45054</v>
      </c>
      <c r="E299" s="1" t="n">
        <v>46226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45056</v>
      </c>
      <c r="E300" s="1" t="n">
        <v>46226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13713-2024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45390</v>
      </c>
      <c r="E301" s="1" t="n">
        <v>46226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45447</v>
      </c>
      <c r="E302" s="1" t="n">
        <v>46226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25638-2026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46226</v>
      </c>
      <c r="F303" t="inlineStr">
        <is>
          <t>VÄSTMANLANDS LÄN</t>
        </is>
      </c>
      <c r="G303" t="inlineStr">
        <is>
          <t>SKINNSKATTEBERG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46226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46226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25640-2026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46226</v>
      </c>
      <c r="F306" t="inlineStr">
        <is>
          <t>VÄSTMANLANDS LÄN</t>
        </is>
      </c>
      <c r="G306" t="inlineStr">
        <is>
          <t>SKINNSKATTEBERG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45485</v>
      </c>
      <c r="E307" s="1" t="n">
        <v>46226</v>
      </c>
      <c r="F307" t="inlineStr">
        <is>
          <t>VÄSTMANLANDS LÄN</t>
        </is>
      </c>
      <c r="G307" t="inlineStr">
        <is>
          <t>SKINNSKATTEBERG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46226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26356-2026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46182</v>
      </c>
      <c r="E309" s="1" t="n">
        <v>46226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46226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13385-2024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45387</v>
      </c>
      <c r="E311" s="1" t="n">
        <v>46226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45063</v>
      </c>
      <c r="E312" s="1" t="n">
        <v>46226</v>
      </c>
      <c r="F312" t="inlineStr">
        <is>
          <t>VÄSTMANLANDS LÄN</t>
        </is>
      </c>
      <c r="G312" t="inlineStr">
        <is>
          <t>SKINNSKATTEBERG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45401</v>
      </c>
      <c r="E313" s="1" t="n">
        <v>46226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46182</v>
      </c>
      <c r="E314" s="1" t="n">
        <v>46226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37432-2023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45156</v>
      </c>
      <c r="E315" s="1" t="n">
        <v>46226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46226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40545-2023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45170</v>
      </c>
      <c r="E317" s="1" t="n">
        <v>46226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40998-2024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45558</v>
      </c>
      <c r="E318" s="1" t="n">
        <v>46226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46226</v>
      </c>
      <c r="F319" t="inlineStr">
        <is>
          <t>VÄSTMANLANDS LÄN</t>
        </is>
      </c>
      <c r="G319" t="inlineStr">
        <is>
          <t>SKINNSKATTEBERG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44693-2024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45574</v>
      </c>
      <c r="E320" s="1" t="n">
        <v>46226</v>
      </c>
      <c r="F320" t="inlineStr">
        <is>
          <t>VÄSTMANLANDS LÄN</t>
        </is>
      </c>
      <c r="G320" t="inlineStr">
        <is>
          <t>SKINNSKATTEBERG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44694-2024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45574</v>
      </c>
      <c r="E321" s="1" t="n">
        <v>46226</v>
      </c>
      <c r="F321" t="inlineStr">
        <is>
          <t>VÄSTMANLANDS LÄN</t>
        </is>
      </c>
      <c r="G321" t="inlineStr">
        <is>
          <t>SKINNSKATTEBERG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38738-2021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44410</v>
      </c>
      <c r="E322" s="1" t="n">
        <v>46226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45082</v>
      </c>
      <c r="E323" s="1" t="n">
        <v>46226</v>
      </c>
      <c r="F323" t="inlineStr">
        <is>
          <t>VÄSTMANLANDS LÄN</t>
        </is>
      </c>
      <c r="G323" t="inlineStr">
        <is>
          <t>SKINNSKATTEBERG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61181-2021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46226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45128</v>
      </c>
      <c r="E325" s="1" t="n">
        <v>46226</v>
      </c>
      <c r="F325" t="inlineStr">
        <is>
          <t>VÄSTMANLANDS LÄN</t>
        </is>
      </c>
      <c r="G325" t="inlineStr">
        <is>
          <t>SKINNSKATTEBERG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45169</v>
      </c>
      <c r="E326" s="1" t="n">
        <v>46226</v>
      </c>
      <c r="F326" t="inlineStr">
        <is>
          <t>VÄSTMANLANDS LÄN</t>
        </is>
      </c>
      <c r="G326" t="inlineStr">
        <is>
          <t>SKINNSKATTEBERG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45554</v>
      </c>
      <c r="E327" s="1" t="n">
        <v>46226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46226</v>
      </c>
      <c r="F328" t="inlineStr">
        <is>
          <t>VÄSTMANLANDS LÄN</t>
        </is>
      </c>
      <c r="G328" t="inlineStr">
        <is>
          <t>SKINNSKATTEBERG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46226</v>
      </c>
      <c r="F329" t="inlineStr">
        <is>
          <t>VÄSTMANLANDS LÄN</t>
        </is>
      </c>
      <c r="G329" t="inlineStr">
        <is>
          <t>SKINNSKATTEBERG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44965</v>
      </c>
      <c r="E330" s="1" t="n">
        <v>46226</v>
      </c>
      <c r="F330" t="inlineStr">
        <is>
          <t>VÄSTMANLANDS LÄN</t>
        </is>
      </c>
      <c r="G330" t="inlineStr">
        <is>
          <t>SKINNSKATTEBERG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46226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13553-2023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45006</v>
      </c>
      <c r="E332" s="1" t="n">
        <v>46226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Allmännings- och besparingsskogar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45385</v>
      </c>
      <c r="E333" s="1" t="n">
        <v>46226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15561-2024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45401</v>
      </c>
      <c r="E334" s="1" t="n">
        <v>46226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44967</v>
      </c>
      <c r="E335" s="1" t="n">
        <v>46226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45568</v>
      </c>
      <c r="E336" s="1" t="n">
        <v>46226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60355-2024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45643</v>
      </c>
      <c r="E337" s="1" t="n">
        <v>46226</v>
      </c>
      <c r="F337" t="inlineStr">
        <is>
          <t>VÄSTMANLANDS LÄN</t>
        </is>
      </c>
      <c r="G337" t="inlineStr">
        <is>
          <t>SKINNSKATTEBERG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45435</v>
      </c>
      <c r="E338" s="1" t="n">
        <v>46226</v>
      </c>
      <c r="F338" t="inlineStr">
        <is>
          <t>VÄSTMANLANDS LÄN</t>
        </is>
      </c>
      <c r="G338" t="inlineStr">
        <is>
          <t>SKINNSKATTEBERG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11992-2023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44995</v>
      </c>
      <c r="E339" s="1" t="n">
        <v>46226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44806</v>
      </c>
      <c r="E340" s="1" t="n">
        <v>46226</v>
      </c>
      <c r="F340" t="inlineStr">
        <is>
          <t>VÄSTMANLANDS LÄN</t>
        </is>
      </c>
      <c r="G340" t="inlineStr">
        <is>
          <t>SKINNSKATTEBERG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54657-2022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44883</v>
      </c>
      <c r="E341" s="1" t="n">
        <v>46226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45554</v>
      </c>
      <c r="E342" s="1" t="n">
        <v>46226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66584-2021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44519</v>
      </c>
      <c r="E343" s="1" t="n">
        <v>46226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37342-2023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45156</v>
      </c>
      <c r="E344" s="1" t="n">
        <v>46226</v>
      </c>
      <c r="F344" t="inlineStr">
        <is>
          <t>VÄSTMANLANDS LÄN</t>
        </is>
      </c>
      <c r="G344" t="inlineStr">
        <is>
          <t>SKINNSKATTEBERG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46226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45504</v>
      </c>
      <c r="E346" s="1" t="n">
        <v>46226</v>
      </c>
      <c r="F346" t="inlineStr">
        <is>
          <t>VÄSTMANLANDS LÄN</t>
        </is>
      </c>
      <c r="G346" t="inlineStr">
        <is>
          <t>SKINNSKATTEBERG</t>
        </is>
      </c>
      <c r="I346" t="n">
        <v>17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45306</v>
      </c>
      <c r="E347" s="1" t="n">
        <v>46226</v>
      </c>
      <c r="F347" t="inlineStr">
        <is>
          <t>VÄSTMANLANDS LÄN</t>
        </is>
      </c>
      <c r="G347" t="inlineStr">
        <is>
          <t>SKINNSKATTEBERG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45306</v>
      </c>
      <c r="E348" s="1" t="n">
        <v>46226</v>
      </c>
      <c r="F348" t="inlineStr">
        <is>
          <t>VÄSTMANLANDS LÄN</t>
        </is>
      </c>
      <c r="G348" t="inlineStr">
        <is>
          <t>SKINNSKATTEBERG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45306</v>
      </c>
      <c r="E349" s="1" t="n">
        <v>46226</v>
      </c>
      <c r="F349" t="inlineStr">
        <is>
          <t>VÄSTMANLANDS LÄN</t>
        </is>
      </c>
      <c r="G349" t="inlineStr">
        <is>
          <t>SKINNSKATTEBERG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40497-2023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45170</v>
      </c>
      <c r="E350" s="1" t="n">
        <v>46226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15184-2025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45744</v>
      </c>
      <c r="E351" s="1" t="n">
        <v>46226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46226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45555</v>
      </c>
      <c r="E353" s="1" t="n">
        <v>46226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42425-2023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45180</v>
      </c>
      <c r="E354" s="1" t="n">
        <v>46226</v>
      </c>
      <c r="F354" t="inlineStr">
        <is>
          <t>VÄSTMANLANDS LÄN</t>
        </is>
      </c>
      <c r="G354" t="inlineStr">
        <is>
          <t>SKINNSKATTEBERG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45264</v>
      </c>
      <c r="E355" s="1" t="n">
        <v>46226</v>
      </c>
      <c r="F355" t="inlineStr">
        <is>
          <t>VÄSTMANLANDS LÄN</t>
        </is>
      </c>
      <c r="G355" t="inlineStr">
        <is>
          <t>SKINNSKATTEBERG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45520</v>
      </c>
      <c r="E356" s="1" t="n">
        <v>46226</v>
      </c>
      <c r="F356" t="inlineStr">
        <is>
          <t>VÄSTMANLANDS LÄN</t>
        </is>
      </c>
      <c r="G356" t="inlineStr">
        <is>
          <t>SKINNSKATTEBERG</t>
        </is>
      </c>
      <c r="I356" t="n">
        <v>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22394-2022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44713</v>
      </c>
      <c r="E357" s="1" t="n">
        <v>46226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46226</v>
      </c>
      <c r="F358" t="inlineStr">
        <is>
          <t>VÄSTMANLANDS LÄN</t>
        </is>
      </c>
      <c r="G358" t="inlineStr">
        <is>
          <t>SKINNSKATTEBERG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35834-2024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45532</v>
      </c>
      <c r="E359" s="1" t="n">
        <v>46226</v>
      </c>
      <c r="F359" t="inlineStr">
        <is>
          <t>VÄSTMANLANDS LÄN</t>
        </is>
      </c>
      <c r="G359" t="inlineStr">
        <is>
          <t>SKINNSKATTEBERG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45554</v>
      </c>
      <c r="E360" s="1" t="n">
        <v>46226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45048</v>
      </c>
      <c r="E361" s="1" t="n">
        <v>46226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35683-2024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45532</v>
      </c>
      <c r="E362" s="1" t="n">
        <v>46226</v>
      </c>
      <c r="F362" t="inlineStr">
        <is>
          <t>VÄSTMANLANDS LÄN</t>
        </is>
      </c>
      <c r="G362" t="inlineStr">
        <is>
          <t>SKINNSKATTEBERG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31268-2023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45114</v>
      </c>
      <c r="E363" s="1" t="n">
        <v>46226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45506</v>
      </c>
      <c r="E364" s="1" t="n">
        <v>46226</v>
      </c>
      <c r="F364" t="inlineStr">
        <is>
          <t>VÄSTMANLANDS LÄN</t>
        </is>
      </c>
      <c r="G364" t="inlineStr">
        <is>
          <t>SKINNSKATTEBERG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45686</v>
      </c>
      <c r="E365" s="1" t="n">
        <v>46226</v>
      </c>
      <c r="F365" t="inlineStr">
        <is>
          <t>VÄSTMANLANDS LÄN</t>
        </is>
      </c>
      <c r="G365" t="inlineStr">
        <is>
          <t>SKINNSKATTEBERG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45170</v>
      </c>
      <c r="E366" s="1" t="n">
        <v>46226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45252</v>
      </c>
      <c r="E367" s="1" t="n">
        <v>46226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45014</v>
      </c>
      <c r="E368" s="1" t="n">
        <v>46226</v>
      </c>
      <c r="F368" t="inlineStr">
        <is>
          <t>VÄSTMANLANDS LÄN</t>
        </is>
      </c>
      <c r="G368" t="inlineStr">
        <is>
          <t>SKINNSKATTEBERG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14736-2023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45014</v>
      </c>
      <c r="E369" s="1" t="n">
        <v>46226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45762</v>
      </c>
      <c r="E370" s="1" t="n">
        <v>46226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46226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40901-2021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44421</v>
      </c>
      <c r="E372" s="1" t="n">
        <v>46226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45592</v>
      </c>
      <c r="E373" s="1" t="n">
        <v>46226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20947-2025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46226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46226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12158-2024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46226</v>
      </c>
      <c r="F376" t="inlineStr">
        <is>
          <t>VÄSTMANLANDS LÄN</t>
        </is>
      </c>
      <c r="G376" t="inlineStr">
        <is>
          <t>SKINNSKATTEBERG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37730-2024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46226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46226</v>
      </c>
      <c r="F378" t="inlineStr">
        <is>
          <t>VÄSTMANLANDS LÄN</t>
        </is>
      </c>
      <c r="G378" t="inlineStr">
        <is>
          <t>SKINNSKATTEBERG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46226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46226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45480</v>
      </c>
      <c r="E381" s="1" t="n">
        <v>46226</v>
      </c>
      <c r="F381" t="inlineStr">
        <is>
          <t>VÄSTMANLANDS LÄN</t>
        </is>
      </c>
      <c r="G381" t="inlineStr">
        <is>
          <t>SKINNSKATTEBERG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22285-2025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45786</v>
      </c>
      <c r="E382" s="1" t="n">
        <v>46226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46226</v>
      </c>
      <c r="F383" t="inlineStr">
        <is>
          <t>VÄSTMANLANDS LÄN</t>
        </is>
      </c>
      <c r="G383" t="inlineStr">
        <is>
          <t>SKINNSKATTEBERG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35051-2024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45527</v>
      </c>
      <c r="E384" s="1" t="n">
        <v>46226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45476</v>
      </c>
      <c r="E385" s="1" t="n">
        <v>46226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25846-2025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45804</v>
      </c>
      <c r="E386" s="1" t="n">
        <v>46226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46226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46226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46226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46226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46226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46226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46226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46226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46226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46226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1868-2026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46199</v>
      </c>
      <c r="E397" s="1" t="n">
        <v>46226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>
      <c r="A398" t="inlineStr">
        <is>
          <t>S 1678-2026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46182</v>
      </c>
      <c r="E398" s="1" t="n">
        <v>46226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2026-07-23T01:47:04Z</dcterms:created>
  <dcterms:modified xmlns:dcterms="http://purl.org/dc/terms/" xmlns:xsi="http://www.w3.org/2001/XMLSchema-instance" xsi:type="dcterms:W3CDTF">2026-07-23T01:47:04Z</dcterms:modified>
</cp:coreProperties>
</file>