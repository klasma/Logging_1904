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45512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46602-2019</t>
        </is>
      </c>
      <c r="B3" s="1" t="n">
        <v>43719</v>
      </c>
      <c r="C3" s="1" t="n">
        <v>45512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padda
Fläcknycklar</t>
        </is>
      </c>
      <c r="S3">
        <f>HYPERLINK("https://klasma.github.io/Logging_1904/artfynd/A 46602-2019 artfynd.xlsx", "A 46602-2019")</f>
        <v/>
      </c>
      <c r="T3">
        <f>HYPERLINK("https://klasma.github.io/Logging_1904/kartor/A 46602-2019 karta.png", "A 46602-2019")</f>
        <v/>
      </c>
      <c r="V3">
        <f>HYPERLINK("https://klasma.github.io/Logging_1904/klagomål/A 46602-2019 FSC-klagomål.docx", "A 46602-2019")</f>
        <v/>
      </c>
      <c r="W3">
        <f>HYPERLINK("https://klasma.github.io/Logging_1904/klagomålsmail/A 46602-2019 FSC-klagomål mail.docx", "A 46602-2019")</f>
        <v/>
      </c>
      <c r="X3">
        <f>HYPERLINK("https://klasma.github.io/Logging_1904/tillsyn/A 46602-2019 tillsynsbegäran.docx", "A 46602-2019")</f>
        <v/>
      </c>
      <c r="Y3">
        <f>HYPERLINK("https://klasma.github.io/Logging_1904/tillsynsmail/A 46602-2019 tillsynsbegäran mail.docx", "A 46602-2019")</f>
        <v/>
      </c>
    </row>
    <row r="4" ht="15" customHeight="1">
      <c r="A4" t="inlineStr">
        <is>
          <t>A 51340-2019</t>
        </is>
      </c>
      <c r="B4" s="1" t="n">
        <v>43740</v>
      </c>
      <c r="C4" s="1" t="n">
        <v>45512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Furustumpbagge
Motaggsvamp
Dropptaggsvamp</t>
        </is>
      </c>
      <c r="S4">
        <f>HYPERLINK("https://klasma.github.io/Logging_1904/artfynd/A 51340-2019 artfynd.xlsx", "A 51340-2019")</f>
        <v/>
      </c>
      <c r="T4">
        <f>HYPERLINK("https://klasma.github.io/Logging_1904/kartor/A 51340-2019 karta.png", "A 51340-2019")</f>
        <v/>
      </c>
      <c r="V4">
        <f>HYPERLINK("https://klasma.github.io/Logging_1904/klagomål/A 51340-2019 FSC-klagomål.docx", "A 51340-2019")</f>
        <v/>
      </c>
      <c r="W4">
        <f>HYPERLINK("https://klasma.github.io/Logging_1904/klagomålsmail/A 51340-2019 FSC-klagomål mail.docx", "A 51340-2019")</f>
        <v/>
      </c>
      <c r="X4">
        <f>HYPERLINK("https://klasma.github.io/Logging_1904/tillsyn/A 51340-2019 tillsynsbegäran.docx", "A 51340-2019")</f>
        <v/>
      </c>
      <c r="Y4">
        <f>HYPERLINK("https://klasma.github.io/Logging_1904/tillsynsmail/A 51340-2019 tillsynsbegäran mail.docx", "A 51340-2019")</f>
        <v/>
      </c>
    </row>
    <row r="5" ht="15" customHeight="1">
      <c r="A5" t="inlineStr">
        <is>
          <t>A 29457-2020</t>
        </is>
      </c>
      <c r="B5" s="1" t="n">
        <v>44004</v>
      </c>
      <c r="C5" s="1" t="n">
        <v>45512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Vedskivlav
Nästlav</t>
        </is>
      </c>
      <c r="S5">
        <f>HYPERLINK("https://klasma.github.io/Logging_1904/artfynd/A 29457-2020 artfynd.xlsx", "A 29457-2020")</f>
        <v/>
      </c>
      <c r="T5">
        <f>HYPERLINK("https://klasma.github.io/Logging_1904/kartor/A 29457-2020 karta.png", "A 29457-2020")</f>
        <v/>
      </c>
      <c r="V5">
        <f>HYPERLINK("https://klasma.github.io/Logging_1904/klagomål/A 29457-2020 FSC-klagomål.docx", "A 29457-2020")</f>
        <v/>
      </c>
      <c r="W5">
        <f>HYPERLINK("https://klasma.github.io/Logging_1904/klagomålsmail/A 29457-2020 FSC-klagomål mail.docx", "A 29457-2020")</f>
        <v/>
      </c>
      <c r="X5">
        <f>HYPERLINK("https://klasma.github.io/Logging_1904/tillsyn/A 29457-2020 tillsynsbegäran.docx", "A 29457-2020")</f>
        <v/>
      </c>
      <c r="Y5">
        <f>HYPERLINK("https://klasma.github.io/Logging_1904/tillsynsmail/A 29457-2020 tillsynsbegäran mail.docx", "A 29457-2020")</f>
        <v/>
      </c>
    </row>
    <row r="6" ht="15" customHeight="1">
      <c r="A6" t="inlineStr">
        <is>
          <t>A 24089-2023</t>
        </is>
      </c>
      <c r="B6" s="1" t="n">
        <v>45079</v>
      </c>
      <c r="C6" s="1" t="n">
        <v>45512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Svart trolldruva
Underviol
Vårärt</t>
        </is>
      </c>
      <c r="S6">
        <f>HYPERLINK("https://klasma.github.io/Logging_1904/artfynd/A 24089-2023 artfynd.xlsx", "A 24089-2023")</f>
        <v/>
      </c>
      <c r="T6">
        <f>HYPERLINK("https://klasma.github.io/Logging_1904/kartor/A 24089-2023 karta.png", "A 24089-2023")</f>
        <v/>
      </c>
      <c r="V6">
        <f>HYPERLINK("https://klasma.github.io/Logging_1904/klagomål/A 24089-2023 FSC-klagomål.docx", "A 24089-2023")</f>
        <v/>
      </c>
      <c r="W6">
        <f>HYPERLINK("https://klasma.github.io/Logging_1904/klagomålsmail/A 24089-2023 FSC-klagomål mail.docx", "A 24089-2023")</f>
        <v/>
      </c>
      <c r="X6">
        <f>HYPERLINK("https://klasma.github.io/Logging_1904/tillsyn/A 24089-2023 tillsynsbegäran.docx", "A 24089-2023")</f>
        <v/>
      </c>
      <c r="Y6">
        <f>HYPERLINK("https://klasma.github.io/Logging_1904/tillsynsmail/A 24089-2023 tillsynsbegäran mail.docx", "A 24089-2023")</f>
        <v/>
      </c>
    </row>
    <row r="7" ht="15" customHeight="1">
      <c r="A7" t="inlineStr">
        <is>
          <t>A 18515-2024</t>
        </is>
      </c>
      <c r="B7" s="1" t="n">
        <v>45425</v>
      </c>
      <c r="C7" s="1" t="n">
        <v>45512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46592-2019</t>
        </is>
      </c>
      <c r="B8" s="1" t="n">
        <v>43719</v>
      </c>
      <c r="C8" s="1" t="n">
        <v>45512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Åkergroda</t>
        </is>
      </c>
      <c r="S8">
        <f>HYPERLINK("https://klasma.github.io/Logging_1904/artfynd/A 46592-2019 artfynd.xlsx", "A 46592-2019")</f>
        <v/>
      </c>
      <c r="T8">
        <f>HYPERLINK("https://klasma.github.io/Logging_1904/kartor/A 46592-2019 karta.png", "A 46592-2019")</f>
        <v/>
      </c>
      <c r="V8">
        <f>HYPERLINK("https://klasma.github.io/Logging_1904/klagomål/A 46592-2019 FSC-klagomål.docx", "A 46592-2019")</f>
        <v/>
      </c>
      <c r="W8">
        <f>HYPERLINK("https://klasma.github.io/Logging_1904/klagomålsmail/A 46592-2019 FSC-klagomål mail.docx", "A 46592-2019")</f>
        <v/>
      </c>
      <c r="X8">
        <f>HYPERLINK("https://klasma.github.io/Logging_1904/tillsyn/A 46592-2019 tillsynsbegäran.docx", "A 46592-2019")</f>
        <v/>
      </c>
      <c r="Y8">
        <f>HYPERLINK("https://klasma.github.io/Logging_1904/tillsynsmail/A 46592-2019 tillsynsbegäran mail.docx", "A 46592-2019")</f>
        <v/>
      </c>
      <c r="Z8">
        <f>HYPERLINK("https://klasma.github.io/Logging_1904/fåglar/A 46592-2019 prioriterade fågelarter.docx", "A 46592-2019")</f>
        <v/>
      </c>
    </row>
    <row r="9" ht="15" customHeight="1">
      <c r="A9" t="inlineStr">
        <is>
          <t>A 51396-2019</t>
        </is>
      </c>
      <c r="B9" s="1" t="n">
        <v>43740</v>
      </c>
      <c r="C9" s="1" t="n">
        <v>45512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Skarp dropptaggsvamp</t>
        </is>
      </c>
      <c r="S9">
        <f>HYPERLINK("https://klasma.github.io/Logging_1904/artfynd/A 51396-2019 artfynd.xlsx", "A 51396-2019")</f>
        <v/>
      </c>
      <c r="T9">
        <f>HYPERLINK("https://klasma.github.io/Logging_1904/kartor/A 51396-2019 karta.png", "A 51396-2019")</f>
        <v/>
      </c>
      <c r="V9">
        <f>HYPERLINK("https://klasma.github.io/Logging_1904/klagomål/A 51396-2019 FSC-klagomål.docx", "A 51396-2019")</f>
        <v/>
      </c>
      <c r="W9">
        <f>HYPERLINK("https://klasma.github.io/Logging_1904/klagomålsmail/A 51396-2019 FSC-klagomål mail.docx", "A 51396-2019")</f>
        <v/>
      </c>
      <c r="X9">
        <f>HYPERLINK("https://klasma.github.io/Logging_1904/tillsyn/A 51396-2019 tillsynsbegäran.docx", "A 51396-2019")</f>
        <v/>
      </c>
      <c r="Y9">
        <f>HYPERLINK("https://klasma.github.io/Logging_1904/tillsynsmail/A 51396-2019 tillsynsbegäran mail.docx", "A 51396-2019")</f>
        <v/>
      </c>
    </row>
    <row r="10" ht="15" customHeight="1">
      <c r="A10" t="inlineStr">
        <is>
          <t>A 51399-2019</t>
        </is>
      </c>
      <c r="B10" s="1" t="n">
        <v>43740</v>
      </c>
      <c r="C10" s="1" t="n">
        <v>45512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51399-2019 artfynd.xlsx", "A 51399-2019")</f>
        <v/>
      </c>
      <c r="T10">
        <f>HYPERLINK("https://klasma.github.io/Logging_1904/kartor/A 51399-2019 karta.png", "A 51399-2019")</f>
        <v/>
      </c>
      <c r="V10">
        <f>HYPERLINK("https://klasma.github.io/Logging_1904/klagomål/A 51399-2019 FSC-klagomål.docx", "A 51399-2019")</f>
        <v/>
      </c>
      <c r="W10">
        <f>HYPERLINK("https://klasma.github.io/Logging_1904/klagomålsmail/A 51399-2019 FSC-klagomål mail.docx", "A 51399-2019")</f>
        <v/>
      </c>
      <c r="X10">
        <f>HYPERLINK("https://klasma.github.io/Logging_1904/tillsyn/A 51399-2019 tillsynsbegäran.docx", "A 51399-2019")</f>
        <v/>
      </c>
      <c r="Y10">
        <f>HYPERLINK("https://klasma.github.io/Logging_1904/tillsynsmail/A 51399-2019 tillsynsbegäran mail.docx", "A 51399-2019")</f>
        <v/>
      </c>
    </row>
    <row r="11" ht="15" customHeight="1">
      <c r="A11" t="inlineStr">
        <is>
          <t>A 56822-2019</t>
        </is>
      </c>
      <c r="B11" s="1" t="n">
        <v>43764</v>
      </c>
      <c r="C11" s="1" t="n">
        <v>45512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märgborre
Vedticka</t>
        </is>
      </c>
      <c r="S11">
        <f>HYPERLINK("https://klasma.github.io/Logging_1904/artfynd/A 56822-2019 artfynd.xlsx", "A 56822-2019")</f>
        <v/>
      </c>
      <c r="T11">
        <f>HYPERLINK("https://klasma.github.io/Logging_1904/kartor/A 56822-2019 karta.png", "A 56822-2019")</f>
        <v/>
      </c>
      <c r="V11">
        <f>HYPERLINK("https://klasma.github.io/Logging_1904/klagomål/A 56822-2019 FSC-klagomål.docx", "A 56822-2019")</f>
        <v/>
      </c>
      <c r="W11">
        <f>HYPERLINK("https://klasma.github.io/Logging_1904/klagomålsmail/A 56822-2019 FSC-klagomål mail.docx", "A 56822-2019")</f>
        <v/>
      </c>
      <c r="X11">
        <f>HYPERLINK("https://klasma.github.io/Logging_1904/tillsyn/A 56822-2019 tillsynsbegäran.docx", "A 56822-2019")</f>
        <v/>
      </c>
      <c r="Y11">
        <f>HYPERLINK("https://klasma.github.io/Logging_1904/tillsynsmail/A 56822-2019 tillsynsbegäran mail.docx", "A 56822-2019")</f>
        <v/>
      </c>
    </row>
    <row r="12" ht="15" customHeight="1">
      <c r="A12" t="inlineStr">
        <is>
          <t>A 56823-2019</t>
        </is>
      </c>
      <c r="B12" s="1" t="n">
        <v>43764</v>
      </c>
      <c r="C12" s="1" t="n">
        <v>45512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Tallgångbagge
Mindre märgborre</t>
        </is>
      </c>
      <c r="S12">
        <f>HYPERLINK("https://klasma.github.io/Logging_1904/artfynd/A 56823-2019 artfynd.xlsx", "A 56823-2019")</f>
        <v/>
      </c>
      <c r="T12">
        <f>HYPERLINK("https://klasma.github.io/Logging_1904/kartor/A 56823-2019 karta.png", "A 56823-2019")</f>
        <v/>
      </c>
      <c r="V12">
        <f>HYPERLINK("https://klasma.github.io/Logging_1904/klagomål/A 56823-2019 FSC-klagomål.docx", "A 56823-2019")</f>
        <v/>
      </c>
      <c r="W12">
        <f>HYPERLINK("https://klasma.github.io/Logging_1904/klagomålsmail/A 56823-2019 FSC-klagomål mail.docx", "A 56823-2019")</f>
        <v/>
      </c>
      <c r="X12">
        <f>HYPERLINK("https://klasma.github.io/Logging_1904/tillsyn/A 56823-2019 tillsynsbegäran.docx", "A 56823-2019")</f>
        <v/>
      </c>
      <c r="Y12">
        <f>HYPERLINK("https://klasma.github.io/Logging_1904/tillsynsmail/A 56823-2019 tillsynsbegäran mail.docx", "A 56823-2019")</f>
        <v/>
      </c>
    </row>
    <row r="13" ht="15" customHeight="1">
      <c r="A13" t="inlineStr">
        <is>
          <t>A 50960-2020</t>
        </is>
      </c>
      <c r="B13" s="1" t="n">
        <v>44111</v>
      </c>
      <c r="C13" s="1" t="n">
        <v>45512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HYPERLINK("https://klasma.github.io/Logging_1904/artfynd/A 50960-2020 artfynd.xlsx", "A 50960-2020")</f>
        <v/>
      </c>
      <c r="T13">
        <f>HYPERLINK("https://klasma.github.io/Logging_1904/kartor/A 50960-2020 karta.png", "A 50960-2020")</f>
        <v/>
      </c>
      <c r="V13">
        <f>HYPERLINK("https://klasma.github.io/Logging_1904/klagomål/A 50960-2020 FSC-klagomål.docx", "A 50960-2020")</f>
        <v/>
      </c>
      <c r="W13">
        <f>HYPERLINK("https://klasma.github.io/Logging_1904/klagomålsmail/A 50960-2020 FSC-klagomål mail.docx", "A 50960-2020")</f>
        <v/>
      </c>
      <c r="X13">
        <f>HYPERLINK("https://klasma.github.io/Logging_1904/tillsyn/A 50960-2020 tillsynsbegäran.docx", "A 50960-2020")</f>
        <v/>
      </c>
      <c r="Y13">
        <f>HYPERLINK("https://klasma.github.io/Logging_1904/tillsynsmail/A 50960-2020 tillsynsbegäran mail.docx", "A 50960-2020")</f>
        <v/>
      </c>
    </row>
    <row r="14" ht="15" customHeight="1">
      <c r="A14" t="inlineStr">
        <is>
          <t>A 65300-2021</t>
        </is>
      </c>
      <c r="B14" s="1" t="n">
        <v>44515</v>
      </c>
      <c r="C14" s="1" t="n">
        <v>45512</v>
      </c>
      <c r="D14" t="inlineStr">
        <is>
          <t>VÄSTMANLANDS LÄN</t>
        </is>
      </c>
      <c r="E14" t="inlineStr">
        <is>
          <t>SKINNSKATTEBERG</t>
        </is>
      </c>
      <c r="G14" t="n">
        <v>30.2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Blåsippa</t>
        </is>
      </c>
      <c r="S14">
        <f>HYPERLINK("https://klasma.github.io/Logging_1904/artfynd/A 65300-2021 artfynd.xlsx", "A 65300-2021")</f>
        <v/>
      </c>
      <c r="T14">
        <f>HYPERLINK("https://klasma.github.io/Logging_1904/kartor/A 65300-2021 karta.png", "A 65300-2021")</f>
        <v/>
      </c>
      <c r="V14">
        <f>HYPERLINK("https://klasma.github.io/Logging_1904/klagomål/A 65300-2021 FSC-klagomål.docx", "A 65300-2021")</f>
        <v/>
      </c>
      <c r="W14">
        <f>HYPERLINK("https://klasma.github.io/Logging_1904/klagomålsmail/A 65300-2021 FSC-klagomål mail.docx", "A 65300-2021")</f>
        <v/>
      </c>
      <c r="X14">
        <f>HYPERLINK("https://klasma.github.io/Logging_1904/tillsyn/A 65300-2021 tillsynsbegäran.docx", "A 65300-2021")</f>
        <v/>
      </c>
      <c r="Y14">
        <f>HYPERLINK("https://klasma.github.io/Logging_1904/tillsynsmail/A 65300-2021 tillsynsbegäran mail.docx", "A 65300-2021")</f>
        <v/>
      </c>
    </row>
    <row r="15" ht="15" customHeight="1">
      <c r="A15" t="inlineStr">
        <is>
          <t>A 6182-2023</t>
        </is>
      </c>
      <c r="B15" s="1" t="n">
        <v>44964</v>
      </c>
      <c r="C15" s="1" t="n">
        <v>45512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Lopplummer</t>
        </is>
      </c>
      <c r="S15">
        <f>HYPERLINK("https://klasma.github.io/Logging_1904/artfynd/A 6182-2023 artfynd.xlsx", "A 6182-2023")</f>
        <v/>
      </c>
      <c r="T15">
        <f>HYPERLINK("https://klasma.github.io/Logging_1904/kartor/A 6182-2023 karta.png", "A 6182-2023")</f>
        <v/>
      </c>
      <c r="V15">
        <f>HYPERLINK("https://klasma.github.io/Logging_1904/klagomål/A 6182-2023 FSC-klagomål.docx", "A 6182-2023")</f>
        <v/>
      </c>
      <c r="W15">
        <f>HYPERLINK("https://klasma.github.io/Logging_1904/klagomålsmail/A 6182-2023 FSC-klagomål mail.docx", "A 6182-2023")</f>
        <v/>
      </c>
      <c r="X15">
        <f>HYPERLINK("https://klasma.github.io/Logging_1904/tillsyn/A 6182-2023 tillsynsbegäran.docx", "A 6182-2023")</f>
        <v/>
      </c>
      <c r="Y15">
        <f>HYPERLINK("https://klasma.github.io/Logging_1904/tillsynsmail/A 6182-2023 tillsynsbegäran mail.docx", "A 6182-2023")</f>
        <v/>
      </c>
    </row>
    <row r="16" ht="15" customHeight="1">
      <c r="A16" t="inlineStr">
        <is>
          <t>A 27670-2019</t>
        </is>
      </c>
      <c r="B16" s="1" t="n">
        <v>43619</v>
      </c>
      <c r="C16" s="1" t="n">
        <v>45512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HYPERLINK("https://klasma.github.io/Logging_1904/artfynd/A 27670-2019 artfynd.xlsx", "A 27670-2019")</f>
        <v/>
      </c>
      <c r="T16">
        <f>HYPERLINK("https://klasma.github.io/Logging_1904/kartor/A 27670-2019 karta.png", "A 27670-2019")</f>
        <v/>
      </c>
      <c r="V16">
        <f>HYPERLINK("https://klasma.github.io/Logging_1904/klagomål/A 27670-2019 FSC-klagomål.docx", "A 27670-2019")</f>
        <v/>
      </c>
      <c r="W16">
        <f>HYPERLINK("https://klasma.github.io/Logging_1904/klagomålsmail/A 27670-2019 FSC-klagomål mail.docx", "A 27670-2019")</f>
        <v/>
      </c>
      <c r="X16">
        <f>HYPERLINK("https://klasma.github.io/Logging_1904/tillsyn/A 27670-2019 tillsynsbegäran.docx", "A 27670-2019")</f>
        <v/>
      </c>
      <c r="Y16">
        <f>HYPERLINK("https://klasma.github.io/Logging_1904/tillsynsmail/A 27670-2019 tillsynsbegäran mail.docx", "A 27670-2019")</f>
        <v/>
      </c>
    </row>
    <row r="17" ht="15" customHeight="1">
      <c r="A17" t="inlineStr">
        <is>
          <t>A 51400-2019</t>
        </is>
      </c>
      <c r="B17" s="1" t="n">
        <v>43740</v>
      </c>
      <c r="C17" s="1" t="n">
        <v>45512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HYPERLINK("https://klasma.github.io/Logging_1904/artfynd/A 51400-2019 artfynd.xlsx", "A 51400-2019")</f>
        <v/>
      </c>
      <c r="T17">
        <f>HYPERLINK("https://klasma.github.io/Logging_1904/kartor/A 51400-2019 karta.png", "A 51400-2019")</f>
        <v/>
      </c>
      <c r="V17">
        <f>HYPERLINK("https://klasma.github.io/Logging_1904/klagomål/A 51400-2019 FSC-klagomål.docx", "A 51400-2019")</f>
        <v/>
      </c>
      <c r="W17">
        <f>HYPERLINK("https://klasma.github.io/Logging_1904/klagomålsmail/A 51400-2019 FSC-klagomål mail.docx", "A 51400-2019")</f>
        <v/>
      </c>
      <c r="X17">
        <f>HYPERLINK("https://klasma.github.io/Logging_1904/tillsyn/A 51400-2019 tillsynsbegäran.docx", "A 51400-2019")</f>
        <v/>
      </c>
      <c r="Y17">
        <f>HYPERLINK("https://klasma.github.io/Logging_1904/tillsynsmail/A 51400-2019 tillsynsbegäran mail.docx", "A 51400-2019")</f>
        <v/>
      </c>
    </row>
    <row r="18" ht="15" customHeight="1">
      <c r="A18" t="inlineStr">
        <is>
          <t>A 59346-2019</t>
        </is>
      </c>
      <c r="B18" s="1" t="n">
        <v>43775</v>
      </c>
      <c r="C18" s="1" t="n">
        <v>45512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Bandad skulderbock</t>
        </is>
      </c>
      <c r="S18">
        <f>HYPERLINK("https://klasma.github.io/Logging_1904/artfynd/A 59346-2019 artfynd.xlsx", "A 59346-2019")</f>
        <v/>
      </c>
      <c r="T18">
        <f>HYPERLINK("https://klasma.github.io/Logging_1904/kartor/A 59346-2019 karta.png", "A 59346-2019")</f>
        <v/>
      </c>
      <c r="V18">
        <f>HYPERLINK("https://klasma.github.io/Logging_1904/klagomål/A 59346-2019 FSC-klagomål.docx", "A 59346-2019")</f>
        <v/>
      </c>
      <c r="W18">
        <f>HYPERLINK("https://klasma.github.io/Logging_1904/klagomålsmail/A 59346-2019 FSC-klagomål mail.docx", "A 59346-2019")</f>
        <v/>
      </c>
      <c r="X18">
        <f>HYPERLINK("https://klasma.github.io/Logging_1904/tillsyn/A 59346-2019 tillsynsbegäran.docx", "A 59346-2019")</f>
        <v/>
      </c>
      <c r="Y18">
        <f>HYPERLINK("https://klasma.github.io/Logging_1904/tillsynsmail/A 59346-2019 tillsynsbegäran mail.docx", "A 59346-2019")</f>
        <v/>
      </c>
    </row>
    <row r="19" ht="15" customHeight="1">
      <c r="A19" t="inlineStr">
        <is>
          <t>A 12592-2020</t>
        </is>
      </c>
      <c r="B19" s="1" t="n">
        <v>43899</v>
      </c>
      <c r="C19" s="1" t="n">
        <v>45512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12592-2020 artfynd.xlsx", "A 12592-2020")</f>
        <v/>
      </c>
      <c r="T19">
        <f>HYPERLINK("https://klasma.github.io/Logging_1904/kartor/A 12592-2020 karta.png", "A 12592-2020")</f>
        <v/>
      </c>
      <c r="V19">
        <f>HYPERLINK("https://klasma.github.io/Logging_1904/klagomål/A 12592-2020 FSC-klagomål.docx", "A 12592-2020")</f>
        <v/>
      </c>
      <c r="W19">
        <f>HYPERLINK("https://klasma.github.io/Logging_1904/klagomålsmail/A 12592-2020 FSC-klagomål mail.docx", "A 12592-2020")</f>
        <v/>
      </c>
      <c r="X19">
        <f>HYPERLINK("https://klasma.github.io/Logging_1904/tillsyn/A 12592-2020 tillsynsbegäran.docx", "A 12592-2020")</f>
        <v/>
      </c>
      <c r="Y19">
        <f>HYPERLINK("https://klasma.github.io/Logging_1904/tillsynsmail/A 12592-2020 tillsynsbegäran mail.docx", "A 12592-2020")</f>
        <v/>
      </c>
    </row>
    <row r="20" ht="15" customHeight="1">
      <c r="A20" t="inlineStr">
        <is>
          <t>A 33393-2020</t>
        </is>
      </c>
      <c r="B20" s="1" t="n">
        <v>44022</v>
      </c>
      <c r="C20" s="1" t="n">
        <v>45512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HYPERLINK("https://klasma.github.io/Logging_1904/artfynd/A 33393-2020 artfynd.xlsx", "A 33393-2020")</f>
        <v/>
      </c>
      <c r="T20">
        <f>HYPERLINK("https://klasma.github.io/Logging_1904/kartor/A 33393-2020 karta.png", "A 33393-2020")</f>
        <v/>
      </c>
      <c r="V20">
        <f>HYPERLINK("https://klasma.github.io/Logging_1904/klagomål/A 33393-2020 FSC-klagomål.docx", "A 33393-2020")</f>
        <v/>
      </c>
      <c r="W20">
        <f>HYPERLINK("https://klasma.github.io/Logging_1904/klagomålsmail/A 33393-2020 FSC-klagomål mail.docx", "A 33393-2020")</f>
        <v/>
      </c>
      <c r="X20">
        <f>HYPERLINK("https://klasma.github.io/Logging_1904/tillsyn/A 33393-2020 tillsynsbegäran.docx", "A 33393-2020")</f>
        <v/>
      </c>
      <c r="Y20">
        <f>HYPERLINK("https://klasma.github.io/Logging_1904/tillsynsmail/A 33393-2020 tillsynsbegäran mail.docx", "A 33393-2020")</f>
        <v/>
      </c>
    </row>
    <row r="21" ht="15" customHeight="1">
      <c r="A21" t="inlineStr">
        <is>
          <t>A 38226-2020</t>
        </is>
      </c>
      <c r="B21" s="1" t="n">
        <v>44060</v>
      </c>
      <c r="C21" s="1" t="n">
        <v>45512</v>
      </c>
      <c r="D21" t="inlineStr">
        <is>
          <t>VÄSTMANLANDS LÄN</t>
        </is>
      </c>
      <c r="E21" t="inlineStr">
        <is>
          <t>SKINNSKATTEBERG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HYPERLINK("https://klasma.github.io/Logging_1904/artfynd/A 38226-2020 artfynd.xlsx", "A 38226-2020")</f>
        <v/>
      </c>
      <c r="T21">
        <f>HYPERLINK("https://klasma.github.io/Logging_1904/kartor/A 38226-2020 karta.png", "A 38226-2020")</f>
        <v/>
      </c>
      <c r="V21">
        <f>HYPERLINK("https://klasma.github.io/Logging_1904/klagomål/A 38226-2020 FSC-klagomål.docx", "A 38226-2020")</f>
        <v/>
      </c>
      <c r="W21">
        <f>HYPERLINK("https://klasma.github.io/Logging_1904/klagomålsmail/A 38226-2020 FSC-klagomål mail.docx", "A 38226-2020")</f>
        <v/>
      </c>
      <c r="X21">
        <f>HYPERLINK("https://klasma.github.io/Logging_1904/tillsyn/A 38226-2020 tillsynsbegäran.docx", "A 38226-2020")</f>
        <v/>
      </c>
      <c r="Y21">
        <f>HYPERLINK("https://klasma.github.io/Logging_1904/tillsynsmail/A 38226-2020 tillsynsbegäran mail.docx", "A 38226-2020")</f>
        <v/>
      </c>
    </row>
    <row r="22" ht="15" customHeight="1">
      <c r="A22" t="inlineStr">
        <is>
          <t>A 22099-2021</t>
        </is>
      </c>
      <c r="B22" s="1" t="n">
        <v>44323</v>
      </c>
      <c r="C22" s="1" t="n">
        <v>45512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HYPERLINK("https://klasma.github.io/Logging_1904/artfynd/A 22099-2021 artfynd.xlsx", "A 22099-2021")</f>
        <v/>
      </c>
      <c r="T22">
        <f>HYPERLINK("https://klasma.github.io/Logging_1904/kartor/A 22099-2021 karta.png", "A 22099-2021")</f>
        <v/>
      </c>
      <c r="V22">
        <f>HYPERLINK("https://klasma.github.io/Logging_1904/klagomål/A 22099-2021 FSC-klagomål.docx", "A 22099-2021")</f>
        <v/>
      </c>
      <c r="W22">
        <f>HYPERLINK("https://klasma.github.io/Logging_1904/klagomålsmail/A 22099-2021 FSC-klagomål mail.docx", "A 22099-2021")</f>
        <v/>
      </c>
      <c r="X22">
        <f>HYPERLINK("https://klasma.github.io/Logging_1904/tillsyn/A 22099-2021 tillsynsbegäran.docx", "A 22099-2021")</f>
        <v/>
      </c>
      <c r="Y22">
        <f>HYPERLINK("https://klasma.github.io/Logging_1904/tillsynsmail/A 22099-2021 tillsynsbegäran mail.docx", "A 22099-2021")</f>
        <v/>
      </c>
    </row>
    <row r="23" ht="15" customHeight="1">
      <c r="A23" t="inlineStr">
        <is>
          <t>A 42073-2021</t>
        </is>
      </c>
      <c r="B23" s="1" t="n">
        <v>44426</v>
      </c>
      <c r="C23" s="1" t="n">
        <v>45512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42073-2021 artfynd.xlsx", "A 42073-2021")</f>
        <v/>
      </c>
      <c r="T23">
        <f>HYPERLINK("https://klasma.github.io/Logging_1904/kartor/A 42073-2021 karta.png", "A 42073-2021")</f>
        <v/>
      </c>
      <c r="V23">
        <f>HYPERLINK("https://klasma.github.io/Logging_1904/klagomål/A 42073-2021 FSC-klagomål.docx", "A 42073-2021")</f>
        <v/>
      </c>
      <c r="W23">
        <f>HYPERLINK("https://klasma.github.io/Logging_1904/klagomålsmail/A 42073-2021 FSC-klagomål mail.docx", "A 42073-2021")</f>
        <v/>
      </c>
      <c r="X23">
        <f>HYPERLINK("https://klasma.github.io/Logging_1904/tillsyn/A 42073-2021 tillsynsbegäran.docx", "A 42073-2021")</f>
        <v/>
      </c>
      <c r="Y23">
        <f>HYPERLINK("https://klasma.github.io/Logging_1904/tillsynsmail/A 42073-2021 tillsynsbegäran mail.docx", "A 42073-2021")</f>
        <v/>
      </c>
    </row>
    <row r="24" ht="15" customHeight="1">
      <c r="A24" t="inlineStr">
        <is>
          <t>A 60242-2021</t>
        </is>
      </c>
      <c r="B24" s="1" t="n">
        <v>44495</v>
      </c>
      <c r="C24" s="1" t="n">
        <v>45512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60242-2021 artfynd.xlsx", "A 60242-2021")</f>
        <v/>
      </c>
      <c r="T24">
        <f>HYPERLINK("https://klasma.github.io/Logging_1904/kartor/A 60242-2021 karta.png", "A 60242-2021")</f>
        <v/>
      </c>
      <c r="V24">
        <f>HYPERLINK("https://klasma.github.io/Logging_1904/klagomål/A 60242-2021 FSC-klagomål.docx", "A 60242-2021")</f>
        <v/>
      </c>
      <c r="W24">
        <f>HYPERLINK("https://klasma.github.io/Logging_1904/klagomålsmail/A 60242-2021 FSC-klagomål mail.docx", "A 60242-2021")</f>
        <v/>
      </c>
      <c r="X24">
        <f>HYPERLINK("https://klasma.github.io/Logging_1904/tillsyn/A 60242-2021 tillsynsbegäran.docx", "A 60242-2021")</f>
        <v/>
      </c>
      <c r="Y24">
        <f>HYPERLINK("https://klasma.github.io/Logging_1904/tillsynsmail/A 60242-2021 tillsynsbegäran mail.docx", "A 60242-2021")</f>
        <v/>
      </c>
    </row>
    <row r="25" ht="15" customHeight="1">
      <c r="A25" t="inlineStr">
        <is>
          <t>A 56915-2022</t>
        </is>
      </c>
      <c r="B25" s="1" t="n">
        <v>44894</v>
      </c>
      <c r="C25" s="1" t="n">
        <v>45512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HYPERLINK("https://klasma.github.io/Logging_1904/artfynd/A 56915-2022 artfynd.xlsx", "A 56915-2022")</f>
        <v/>
      </c>
      <c r="T25">
        <f>HYPERLINK("https://klasma.github.io/Logging_1904/kartor/A 56915-2022 karta.png", "A 56915-2022")</f>
        <v/>
      </c>
      <c r="V25">
        <f>HYPERLINK("https://klasma.github.io/Logging_1904/klagomål/A 56915-2022 FSC-klagomål.docx", "A 56915-2022")</f>
        <v/>
      </c>
      <c r="W25">
        <f>HYPERLINK("https://klasma.github.io/Logging_1904/klagomålsmail/A 56915-2022 FSC-klagomål mail.docx", "A 56915-2022")</f>
        <v/>
      </c>
      <c r="X25">
        <f>HYPERLINK("https://klasma.github.io/Logging_1904/tillsyn/A 56915-2022 tillsynsbegäran.docx", "A 56915-2022")</f>
        <v/>
      </c>
      <c r="Y25">
        <f>HYPERLINK("https://klasma.github.io/Logging_1904/tillsynsmail/A 56915-2022 tillsynsbegäran mail.docx", "A 56915-2022")</f>
        <v/>
      </c>
    </row>
    <row r="26" ht="15" customHeight="1">
      <c r="A26" t="inlineStr">
        <is>
          <t>A 61212-2022</t>
        </is>
      </c>
      <c r="B26" s="1" t="n">
        <v>44908</v>
      </c>
      <c r="C26" s="1" t="n">
        <v>45512</v>
      </c>
      <c r="D26" t="inlineStr">
        <is>
          <t>VÄSTMANLANDS LÄN</t>
        </is>
      </c>
      <c r="E26" t="inlineStr">
        <is>
          <t>SKINNSKATTEBERG</t>
        </is>
      </c>
      <c r="G26" t="n">
        <v>17.4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HYPERLINK("https://klasma.github.io/Logging_1904/artfynd/A 61212-2022 artfynd.xlsx", "A 61212-2022")</f>
        <v/>
      </c>
      <c r="T26">
        <f>HYPERLINK("https://klasma.github.io/Logging_1904/kartor/A 61212-2022 karta.png", "A 61212-2022")</f>
        <v/>
      </c>
      <c r="V26">
        <f>HYPERLINK("https://klasma.github.io/Logging_1904/klagomål/A 61212-2022 FSC-klagomål.docx", "A 61212-2022")</f>
        <v/>
      </c>
      <c r="W26">
        <f>HYPERLINK("https://klasma.github.io/Logging_1904/klagomålsmail/A 61212-2022 FSC-klagomål mail.docx", "A 61212-2022")</f>
        <v/>
      </c>
      <c r="X26">
        <f>HYPERLINK("https://klasma.github.io/Logging_1904/tillsyn/A 61212-2022 tillsynsbegäran.docx", "A 61212-2022")</f>
        <v/>
      </c>
      <c r="Y26">
        <f>HYPERLINK("https://klasma.github.io/Logging_1904/tillsynsmail/A 61212-2022 tillsynsbegäran mail.docx", "A 61212-2022")</f>
        <v/>
      </c>
    </row>
    <row r="27" ht="15" customHeight="1">
      <c r="A27" t="inlineStr">
        <is>
          <t>A 14171-2023</t>
        </is>
      </c>
      <c r="B27" s="1" t="n">
        <v>45009</v>
      </c>
      <c r="C27" s="1" t="n">
        <v>45512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14171-2023 artfynd.xlsx", "A 14171-2023")</f>
        <v/>
      </c>
      <c r="T27">
        <f>HYPERLINK("https://klasma.github.io/Logging_1904/kartor/A 14171-2023 karta.png", "A 14171-2023")</f>
        <v/>
      </c>
      <c r="V27">
        <f>HYPERLINK("https://klasma.github.io/Logging_1904/klagomål/A 14171-2023 FSC-klagomål.docx", "A 14171-2023")</f>
        <v/>
      </c>
      <c r="W27">
        <f>HYPERLINK("https://klasma.github.io/Logging_1904/klagomålsmail/A 14171-2023 FSC-klagomål mail.docx", "A 14171-2023")</f>
        <v/>
      </c>
      <c r="X27">
        <f>HYPERLINK("https://klasma.github.io/Logging_1904/tillsyn/A 14171-2023 tillsynsbegäran.docx", "A 14171-2023")</f>
        <v/>
      </c>
      <c r="Y27">
        <f>HYPERLINK("https://klasma.github.io/Logging_1904/tillsynsmail/A 14171-2023 tillsynsbegäran mail.docx", "A 14171-2023")</f>
        <v/>
      </c>
    </row>
    <row r="28" ht="15" customHeight="1">
      <c r="A28" t="inlineStr">
        <is>
          <t>A 18648-2023</t>
        </is>
      </c>
      <c r="B28" s="1" t="n">
        <v>45043</v>
      </c>
      <c r="C28" s="1" t="n">
        <v>45512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HYPERLINK("https://klasma.github.io/Logging_1904/artfynd/A 18648-2023 artfynd.xlsx", "A 18648-2023")</f>
        <v/>
      </c>
      <c r="T28">
        <f>HYPERLINK("https://klasma.github.io/Logging_1904/kartor/A 18648-2023 karta.png", "A 18648-2023")</f>
        <v/>
      </c>
      <c r="V28">
        <f>HYPERLINK("https://klasma.github.io/Logging_1904/klagomål/A 18648-2023 FSC-klagomål.docx", "A 18648-2023")</f>
        <v/>
      </c>
      <c r="W28">
        <f>HYPERLINK("https://klasma.github.io/Logging_1904/klagomålsmail/A 18648-2023 FSC-klagomål mail.docx", "A 18648-2023")</f>
        <v/>
      </c>
      <c r="X28">
        <f>HYPERLINK("https://klasma.github.io/Logging_1904/tillsyn/A 18648-2023 tillsynsbegäran.docx", "A 18648-2023")</f>
        <v/>
      </c>
      <c r="Y28">
        <f>HYPERLINK("https://klasma.github.io/Logging_1904/tillsynsmail/A 18648-2023 tillsynsbegäran mail.docx", "A 18648-2023")</f>
        <v/>
      </c>
    </row>
    <row r="29" ht="15" customHeight="1">
      <c r="A29" t="inlineStr">
        <is>
          <t>A 38712-2023</t>
        </is>
      </c>
      <c r="B29" s="1" t="n">
        <v>45163</v>
      </c>
      <c r="C29" s="1" t="n">
        <v>45512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HYPERLINK("https://klasma.github.io/Logging_1904/artfynd/A 38712-2023 artfynd.xlsx", "A 38712-2023")</f>
        <v/>
      </c>
      <c r="T29">
        <f>HYPERLINK("https://klasma.github.io/Logging_1904/kartor/A 38712-2023 karta.png", "A 38712-2023")</f>
        <v/>
      </c>
      <c r="V29">
        <f>HYPERLINK("https://klasma.github.io/Logging_1904/klagomål/A 38712-2023 FSC-klagomål.docx", "A 38712-2023")</f>
        <v/>
      </c>
      <c r="W29">
        <f>HYPERLINK("https://klasma.github.io/Logging_1904/klagomålsmail/A 38712-2023 FSC-klagomål mail.docx", "A 38712-2023")</f>
        <v/>
      </c>
      <c r="X29">
        <f>HYPERLINK("https://klasma.github.io/Logging_1904/tillsyn/A 38712-2023 tillsynsbegäran.docx", "A 38712-2023")</f>
        <v/>
      </c>
      <c r="Y29">
        <f>HYPERLINK("https://klasma.github.io/Logging_1904/tillsynsmail/A 38712-2023 tillsynsbegäran mail.docx", "A 38712-2023")</f>
        <v/>
      </c>
    </row>
    <row r="30" ht="15" customHeight="1">
      <c r="A30" t="inlineStr">
        <is>
          <t>A 45374-2023</t>
        </is>
      </c>
      <c r="B30" s="1" t="n">
        <v>45193</v>
      </c>
      <c r="C30" s="1" t="n">
        <v>45512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Purpurmylia</t>
        </is>
      </c>
      <c r="S30">
        <f>HYPERLINK("https://klasma.github.io/Logging_1904/artfynd/A 45374-2023 artfynd.xlsx", "A 45374-2023")</f>
        <v/>
      </c>
      <c r="T30">
        <f>HYPERLINK("https://klasma.github.io/Logging_1904/kartor/A 45374-2023 karta.png", "A 45374-2023")</f>
        <v/>
      </c>
      <c r="V30">
        <f>HYPERLINK("https://klasma.github.io/Logging_1904/klagomål/A 45374-2023 FSC-klagomål.docx", "A 45374-2023")</f>
        <v/>
      </c>
      <c r="W30">
        <f>HYPERLINK("https://klasma.github.io/Logging_1904/klagomålsmail/A 45374-2023 FSC-klagomål mail.docx", "A 45374-2023")</f>
        <v/>
      </c>
      <c r="X30">
        <f>HYPERLINK("https://klasma.github.io/Logging_1904/tillsyn/A 45374-2023 tillsynsbegäran.docx", "A 45374-2023")</f>
        <v/>
      </c>
      <c r="Y30">
        <f>HYPERLINK("https://klasma.github.io/Logging_1904/tillsynsmail/A 45374-2023 tillsynsbegäran mail.docx", "A 45374-2023")</f>
        <v/>
      </c>
    </row>
    <row r="31" ht="15" customHeight="1">
      <c r="A31" t="inlineStr">
        <is>
          <t>A 58244-2023</t>
        </is>
      </c>
      <c r="B31" s="1" t="n">
        <v>45250</v>
      </c>
      <c r="C31" s="1" t="n">
        <v>45512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58244-2023 artfynd.xlsx", "A 58244-2023")</f>
        <v/>
      </c>
      <c r="T31">
        <f>HYPERLINK("https://klasma.github.io/Logging_1904/kartor/A 58244-2023 karta.png", "A 58244-2023")</f>
        <v/>
      </c>
      <c r="V31">
        <f>HYPERLINK("https://klasma.github.io/Logging_1904/klagomål/A 58244-2023 FSC-klagomål.docx", "A 58244-2023")</f>
        <v/>
      </c>
      <c r="W31">
        <f>HYPERLINK("https://klasma.github.io/Logging_1904/klagomålsmail/A 58244-2023 FSC-klagomål mail.docx", "A 58244-2023")</f>
        <v/>
      </c>
      <c r="X31">
        <f>HYPERLINK("https://klasma.github.io/Logging_1904/tillsyn/A 58244-2023 tillsynsbegäran.docx", "A 58244-2023")</f>
        <v/>
      </c>
      <c r="Y31">
        <f>HYPERLINK("https://klasma.github.io/Logging_1904/tillsynsmail/A 58244-2023 tillsynsbegäran mail.docx", "A 58244-2023")</f>
        <v/>
      </c>
    </row>
    <row r="32" ht="15" customHeight="1">
      <c r="A32" t="inlineStr">
        <is>
          <t>A 17381-2024</t>
        </is>
      </c>
      <c r="B32" s="1" t="n">
        <v>45414</v>
      </c>
      <c r="C32" s="1" t="n">
        <v>45512</v>
      </c>
      <c r="D32" t="inlineStr">
        <is>
          <t>VÄSTMANLANDS LÄN</t>
        </is>
      </c>
      <c r="E32" t="inlineStr">
        <is>
          <t>SKINNSKATTEBERG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17381-2024 artfynd.xlsx", "A 17381-2024")</f>
        <v/>
      </c>
      <c r="T32">
        <f>HYPERLINK("https://klasma.github.io/Logging_1904/kartor/A 17381-2024 karta.png", "A 17381-2024")</f>
        <v/>
      </c>
      <c r="V32">
        <f>HYPERLINK("https://klasma.github.io/Logging_1904/klagomål/A 17381-2024 FSC-klagomål.docx", "A 17381-2024")</f>
        <v/>
      </c>
      <c r="W32">
        <f>HYPERLINK("https://klasma.github.io/Logging_1904/klagomålsmail/A 17381-2024 FSC-klagomål mail.docx", "A 17381-2024")</f>
        <v/>
      </c>
      <c r="X32">
        <f>HYPERLINK("https://klasma.github.io/Logging_1904/tillsyn/A 17381-2024 tillsynsbegäran.docx", "A 17381-2024")</f>
        <v/>
      </c>
      <c r="Y32">
        <f>HYPERLINK("https://klasma.github.io/Logging_1904/tillsynsmail/A 17381-2024 tillsynsbegäran mail.docx", "A 17381-2024")</f>
        <v/>
      </c>
    </row>
    <row r="33" ht="15" customHeight="1">
      <c r="A33" t="inlineStr">
        <is>
          <t>A 21574-2024</t>
        </is>
      </c>
      <c r="B33" s="1" t="n">
        <v>45441</v>
      </c>
      <c r="C33" s="1" t="n">
        <v>45512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21574-2024 artfynd.xlsx", "A 21574-2024")</f>
        <v/>
      </c>
      <c r="T33">
        <f>HYPERLINK("https://klasma.github.io/Logging_1904/kartor/A 21574-2024 karta.png", "A 21574-2024")</f>
        <v/>
      </c>
      <c r="V33">
        <f>HYPERLINK("https://klasma.github.io/Logging_1904/klagomål/A 21574-2024 FSC-klagomål.docx", "A 21574-2024")</f>
        <v/>
      </c>
      <c r="W33">
        <f>HYPERLINK("https://klasma.github.io/Logging_1904/klagomålsmail/A 21574-2024 FSC-klagomål mail.docx", "A 21574-2024")</f>
        <v/>
      </c>
      <c r="X33">
        <f>HYPERLINK("https://klasma.github.io/Logging_1904/tillsyn/A 21574-2024 tillsynsbegäran.docx", "A 21574-2024")</f>
        <v/>
      </c>
      <c r="Y33">
        <f>HYPERLINK("https://klasma.github.io/Logging_1904/tillsynsmail/A 21574-2024 tillsynsbegäran mail.docx", "A 21574-2024")</f>
        <v/>
      </c>
    </row>
    <row r="34" ht="15" customHeight="1">
      <c r="A34" t="inlineStr">
        <is>
          <t>A 20254-2019</t>
        </is>
      </c>
      <c r="B34" s="1" t="n">
        <v>43571</v>
      </c>
      <c r="C34" s="1" t="n">
        <v>45512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21997-2019</t>
        </is>
      </c>
      <c r="B35" s="1" t="n">
        <v>43584</v>
      </c>
      <c r="C35" s="1" t="n">
        <v>45512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23090-2019</t>
        </is>
      </c>
      <c r="B36" s="1" t="n">
        <v>43592</v>
      </c>
      <c r="C36" s="1" t="n">
        <v>45512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23433-2019</t>
        </is>
      </c>
      <c r="B37" s="1" t="n">
        <v>43593</v>
      </c>
      <c r="C37" s="1" t="n">
        <v>45512</v>
      </c>
      <c r="D37" t="inlineStr">
        <is>
          <t>VÄSTMANLANDS LÄN</t>
        </is>
      </c>
      <c r="E37" t="inlineStr">
        <is>
          <t>SKINNSKATTEBERG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24383-2019</t>
        </is>
      </c>
      <c r="B38" s="1" t="n">
        <v>43599</v>
      </c>
      <c r="C38" s="1" t="n">
        <v>45512</v>
      </c>
      <c r="D38" t="inlineStr">
        <is>
          <t>VÄSTMANLANDS LÄN</t>
        </is>
      </c>
      <c r="E38" t="inlineStr">
        <is>
          <t>SKINNSKATTEBERG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24539-2019</t>
        </is>
      </c>
      <c r="B39" s="1" t="n">
        <v>43600</v>
      </c>
      <c r="C39" s="1" t="n">
        <v>45512</v>
      </c>
      <c r="D39" t="inlineStr">
        <is>
          <t>VÄSTMANLANDS LÄN</t>
        </is>
      </c>
      <c r="E39" t="inlineStr">
        <is>
          <t>SKINNSKATTEBERG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24985-2019</t>
        </is>
      </c>
      <c r="B40" s="1" t="n">
        <v>43602</v>
      </c>
      <c r="C40" s="1" t="n">
        <v>45512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24978-2019</t>
        </is>
      </c>
      <c r="B41" s="1" t="n">
        <v>43602</v>
      </c>
      <c r="C41" s="1" t="n">
        <v>45512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24882-2019</t>
        </is>
      </c>
      <c r="B42" s="1" t="n">
        <v>43602</v>
      </c>
      <c r="C42" s="1" t="n">
        <v>45512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24892-2019</t>
        </is>
      </c>
      <c r="B43" s="1" t="n">
        <v>43602</v>
      </c>
      <c r="C43" s="1" t="n">
        <v>45512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25324-2019</t>
        </is>
      </c>
      <c r="B44" s="1" t="n">
        <v>43606</v>
      </c>
      <c r="C44" s="1" t="n">
        <v>45512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25743-2019</t>
        </is>
      </c>
      <c r="B45" s="1" t="n">
        <v>43608</v>
      </c>
      <c r="C45" s="1" t="n">
        <v>45512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26467-2019</t>
        </is>
      </c>
      <c r="B46" s="1" t="n">
        <v>43612</v>
      </c>
      <c r="C46" s="1" t="n">
        <v>45512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26472-2019</t>
        </is>
      </c>
      <c r="B47" s="1" t="n">
        <v>43612</v>
      </c>
      <c r="C47" s="1" t="n">
        <v>45512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27093-2019</t>
        </is>
      </c>
      <c r="B48" s="1" t="n">
        <v>43614</v>
      </c>
      <c r="C48" s="1" t="n">
        <v>45512</v>
      </c>
      <c r="D48" t="inlineStr">
        <is>
          <t>VÄSTMANLANDS LÄN</t>
        </is>
      </c>
      <c r="E48" t="inlineStr">
        <is>
          <t>SKINNSKATTEBERG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27472-2019</t>
        </is>
      </c>
      <c r="B49" s="1" t="n">
        <v>43619</v>
      </c>
      <c r="C49" s="1" t="n">
        <v>45512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27832-2019</t>
        </is>
      </c>
      <c r="B50" s="1" t="n">
        <v>43620</v>
      </c>
      <c r="C50" s="1" t="n">
        <v>45512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29418-2019</t>
        </is>
      </c>
      <c r="B51" s="1" t="n">
        <v>43629</v>
      </c>
      <c r="C51" s="1" t="n">
        <v>45512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30161-2019</t>
        </is>
      </c>
      <c r="B52" s="1" t="n">
        <v>43634</v>
      </c>
      <c r="C52" s="1" t="n">
        <v>45512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31725-2019</t>
        </is>
      </c>
      <c r="B53" s="1" t="n">
        <v>43642</v>
      </c>
      <c r="C53" s="1" t="n">
        <v>45512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31721-2019</t>
        </is>
      </c>
      <c r="B54" s="1" t="n">
        <v>43642</v>
      </c>
      <c r="C54" s="1" t="n">
        <v>45512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31643-2019</t>
        </is>
      </c>
      <c r="B55" s="1" t="n">
        <v>43642</v>
      </c>
      <c r="C55" s="1" t="n">
        <v>45512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32430-2019</t>
        </is>
      </c>
      <c r="B56" s="1" t="n">
        <v>43644</v>
      </c>
      <c r="C56" s="1" t="n">
        <v>45512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34565-2019</t>
        </is>
      </c>
      <c r="B57" s="1" t="n">
        <v>43647</v>
      </c>
      <c r="C57" s="1" t="n">
        <v>45512</v>
      </c>
      <c r="D57" t="inlineStr">
        <is>
          <t>VÄSTMANLANDS LÄN</t>
        </is>
      </c>
      <c r="E57" t="inlineStr">
        <is>
          <t>SKINNSKATTEBERG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32850-2019</t>
        </is>
      </c>
      <c r="B58" s="1" t="n">
        <v>43648</v>
      </c>
      <c r="C58" s="1" t="n">
        <v>45512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32856-2019</t>
        </is>
      </c>
      <c r="B59" s="1" t="n">
        <v>43648</v>
      </c>
      <c r="C59" s="1" t="n">
        <v>45512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33647-2019</t>
        </is>
      </c>
      <c r="B60" s="1" t="n">
        <v>43651</v>
      </c>
      <c r="C60" s="1" t="n">
        <v>45512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33581-2019</t>
        </is>
      </c>
      <c r="B61" s="1" t="n">
        <v>43651</v>
      </c>
      <c r="C61" s="1" t="n">
        <v>45512</v>
      </c>
      <c r="D61" t="inlineStr">
        <is>
          <t>VÄSTMANLANDS LÄN</t>
        </is>
      </c>
      <c r="E61" t="inlineStr">
        <is>
          <t>SKINNSKATTEBERG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38158-2019</t>
        </is>
      </c>
      <c r="B62" s="1" t="n">
        <v>43683</v>
      </c>
      <c r="C62" s="1" t="n">
        <v>45512</v>
      </c>
      <c r="D62" t="inlineStr">
        <is>
          <t>VÄSTMANLANDS LÄN</t>
        </is>
      </c>
      <c r="E62" t="inlineStr">
        <is>
          <t>SKINNSKATTEBERG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38087-2019</t>
        </is>
      </c>
      <c r="B63" s="1" t="n">
        <v>43683</v>
      </c>
      <c r="C63" s="1" t="n">
        <v>45512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40439-2019</t>
        </is>
      </c>
      <c r="B64" s="1" t="n">
        <v>43696</v>
      </c>
      <c r="C64" s="1" t="n">
        <v>45512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40598-2019</t>
        </is>
      </c>
      <c r="B65" s="1" t="n">
        <v>43696</v>
      </c>
      <c r="C65" s="1" t="n">
        <v>45512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41300-2019</t>
        </is>
      </c>
      <c r="B66" s="1" t="n">
        <v>43698</v>
      </c>
      <c r="C66" s="1" t="n">
        <v>45512</v>
      </c>
      <c r="D66" t="inlineStr">
        <is>
          <t>VÄSTMANLANDS LÄN</t>
        </is>
      </c>
      <c r="E66" t="inlineStr">
        <is>
          <t>SKINNSKATTEBERG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41630-2019</t>
        </is>
      </c>
      <c r="B67" s="1" t="n">
        <v>43699</v>
      </c>
      <c r="C67" s="1" t="n">
        <v>45512</v>
      </c>
      <c r="D67" t="inlineStr">
        <is>
          <t>VÄSTMANLANDS LÄN</t>
        </is>
      </c>
      <c r="E67" t="inlineStr">
        <is>
          <t>SKINNSKATTEBERG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43866-2019</t>
        </is>
      </c>
      <c r="B68" s="1" t="n">
        <v>43707</v>
      </c>
      <c r="C68" s="1" t="n">
        <v>45512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43865-2019</t>
        </is>
      </c>
      <c r="B69" s="1" t="n">
        <v>43707</v>
      </c>
      <c r="C69" s="1" t="n">
        <v>45512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46523-2019</t>
        </is>
      </c>
      <c r="B70" s="1" t="n">
        <v>43719</v>
      </c>
      <c r="C70" s="1" t="n">
        <v>45512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46586-2019</t>
        </is>
      </c>
      <c r="B71" s="1" t="n">
        <v>43719</v>
      </c>
      <c r="C71" s="1" t="n">
        <v>45512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46588-2019</t>
        </is>
      </c>
      <c r="B72" s="1" t="n">
        <v>43719</v>
      </c>
      <c r="C72" s="1" t="n">
        <v>45512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46591-2019</t>
        </is>
      </c>
      <c r="B73" s="1" t="n">
        <v>43719</v>
      </c>
      <c r="C73" s="1" t="n">
        <v>45512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47351-2019</t>
        </is>
      </c>
      <c r="B74" s="1" t="n">
        <v>43721</v>
      </c>
      <c r="C74" s="1" t="n">
        <v>45512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47354-2019</t>
        </is>
      </c>
      <c r="B75" s="1" t="n">
        <v>43721</v>
      </c>
      <c r="C75" s="1" t="n">
        <v>45512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47465-2019</t>
        </is>
      </c>
      <c r="B76" s="1" t="n">
        <v>43724</v>
      </c>
      <c r="C76" s="1" t="n">
        <v>45512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47500-2019</t>
        </is>
      </c>
      <c r="B77" s="1" t="n">
        <v>43724</v>
      </c>
      <c r="C77" s="1" t="n">
        <v>45512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48451-2019</t>
        </is>
      </c>
      <c r="B78" s="1" t="n">
        <v>43727</v>
      </c>
      <c r="C78" s="1" t="n">
        <v>45512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49138-2019</t>
        </is>
      </c>
      <c r="B79" s="1" t="n">
        <v>43731</v>
      </c>
      <c r="C79" s="1" t="n">
        <v>45512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49409-2019</t>
        </is>
      </c>
      <c r="B80" s="1" t="n">
        <v>43732</v>
      </c>
      <c r="C80" s="1" t="n">
        <v>45512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50839-2019</t>
        </is>
      </c>
      <c r="B81" s="1" t="n">
        <v>43738</v>
      </c>
      <c r="C81" s="1" t="n">
        <v>45512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50877-2019</t>
        </is>
      </c>
      <c r="B82" s="1" t="n">
        <v>43738</v>
      </c>
      <c r="C82" s="1" t="n">
        <v>45512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51129-2019</t>
        </is>
      </c>
      <c r="B83" s="1" t="n">
        <v>43739</v>
      </c>
      <c r="C83" s="1" t="n">
        <v>45512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51224-2019</t>
        </is>
      </c>
      <c r="B84" s="1" t="n">
        <v>43739</v>
      </c>
      <c r="C84" s="1" t="n">
        <v>45512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52765-2019</t>
        </is>
      </c>
      <c r="B85" s="1" t="n">
        <v>43739</v>
      </c>
      <c r="C85" s="1" t="n">
        <v>45512</v>
      </c>
      <c r="D85" t="inlineStr">
        <is>
          <t>VÄSTMANLANDS LÄN</t>
        </is>
      </c>
      <c r="E85" t="inlineStr">
        <is>
          <t>SKINNSKATTEBERG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51345-2019</t>
        </is>
      </c>
      <c r="B86" s="1" t="n">
        <v>43740</v>
      </c>
      <c r="C86" s="1" t="n">
        <v>45512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52669-2019</t>
        </is>
      </c>
      <c r="B87" s="1" t="n">
        <v>43746</v>
      </c>
      <c r="C87" s="1" t="n">
        <v>45512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53640-2019</t>
        </is>
      </c>
      <c r="B88" s="1" t="n">
        <v>43749</v>
      </c>
      <c r="C88" s="1" t="n">
        <v>45512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53641-2019</t>
        </is>
      </c>
      <c r="B89" s="1" t="n">
        <v>43749</v>
      </c>
      <c r="C89" s="1" t="n">
        <v>45512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53637-2019</t>
        </is>
      </c>
      <c r="B90" s="1" t="n">
        <v>43749</v>
      </c>
      <c r="C90" s="1" t="n">
        <v>45512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54076-2019</t>
        </is>
      </c>
      <c r="B91" s="1" t="n">
        <v>43752</v>
      </c>
      <c r="C91" s="1" t="n">
        <v>45512</v>
      </c>
      <c r="D91" t="inlineStr">
        <is>
          <t>VÄSTMANLANDS LÄN</t>
        </is>
      </c>
      <c r="E91" t="inlineStr">
        <is>
          <t>SKINNSKATTEBERG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55253-2019</t>
        </is>
      </c>
      <c r="B92" s="1" t="n">
        <v>43756</v>
      </c>
      <c r="C92" s="1" t="n">
        <v>45512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55254-2019</t>
        </is>
      </c>
      <c r="B93" s="1" t="n">
        <v>43756</v>
      </c>
      <c r="C93" s="1" t="n">
        <v>45512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59444-2019</t>
        </is>
      </c>
      <c r="B94" s="1" t="n">
        <v>43776</v>
      </c>
      <c r="C94" s="1" t="n">
        <v>45512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59878-2019</t>
        </is>
      </c>
      <c r="B95" s="1" t="n">
        <v>43777</v>
      </c>
      <c r="C95" s="1" t="n">
        <v>45512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59875-2019</t>
        </is>
      </c>
      <c r="B96" s="1" t="n">
        <v>43777</v>
      </c>
      <c r="C96" s="1" t="n">
        <v>45512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61102-2019</t>
        </is>
      </c>
      <c r="B97" s="1" t="n">
        <v>43780</v>
      </c>
      <c r="C97" s="1" t="n">
        <v>45512</v>
      </c>
      <c r="D97" t="inlineStr">
        <is>
          <t>VÄSTMANLANDS LÄN</t>
        </is>
      </c>
      <c r="E97" t="inlineStr">
        <is>
          <t>SKINNSKATTEBERG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61414-2019</t>
        </is>
      </c>
      <c r="B98" s="1" t="n">
        <v>43780</v>
      </c>
      <c r="C98" s="1" t="n">
        <v>45512</v>
      </c>
      <c r="D98" t="inlineStr">
        <is>
          <t>VÄSTMANLANDS LÄN</t>
        </is>
      </c>
      <c r="E98" t="inlineStr">
        <is>
          <t>SKINNSKATTEBERG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60781-2019</t>
        </is>
      </c>
      <c r="B99" s="1" t="n">
        <v>43781</v>
      </c>
      <c r="C99" s="1" t="n">
        <v>45512</v>
      </c>
      <c r="D99" t="inlineStr">
        <is>
          <t>VÄSTMANLANDS LÄN</t>
        </is>
      </c>
      <c r="E99" t="inlineStr">
        <is>
          <t>SKINNSKATTEBERG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61155-2019</t>
        </is>
      </c>
      <c r="B100" s="1" t="n">
        <v>43782</v>
      </c>
      <c r="C100" s="1" t="n">
        <v>45512</v>
      </c>
      <c r="D100" t="inlineStr">
        <is>
          <t>VÄSTMANLANDS LÄN</t>
        </is>
      </c>
      <c r="E100" t="inlineStr">
        <is>
          <t>SKINNSKATTEBERG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61166-2019</t>
        </is>
      </c>
      <c r="B101" s="1" t="n">
        <v>43782</v>
      </c>
      <c r="C101" s="1" t="n">
        <v>45512</v>
      </c>
      <c r="D101" t="inlineStr">
        <is>
          <t>VÄSTMANLANDS LÄN</t>
        </is>
      </c>
      <c r="E101" t="inlineStr">
        <is>
          <t>SKINNSKATTEBERG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61146-2019</t>
        </is>
      </c>
      <c r="B102" s="1" t="n">
        <v>43782</v>
      </c>
      <c r="C102" s="1" t="n">
        <v>45512</v>
      </c>
      <c r="D102" t="inlineStr">
        <is>
          <t>VÄSTMANLANDS LÄN</t>
        </is>
      </c>
      <c r="E102" t="inlineStr">
        <is>
          <t>SKINNSKATTEBERG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61034-2019</t>
        </is>
      </c>
      <c r="B103" s="1" t="n">
        <v>43782</v>
      </c>
      <c r="C103" s="1" t="n">
        <v>45512</v>
      </c>
      <c r="D103" t="inlineStr">
        <is>
          <t>VÄSTMANLANDS LÄN</t>
        </is>
      </c>
      <c r="E103" t="inlineStr">
        <is>
          <t>SKINNSKATTEBERG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61445-2019</t>
        </is>
      </c>
      <c r="B104" s="1" t="n">
        <v>43783</v>
      </c>
      <c r="C104" s="1" t="n">
        <v>45512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62752-2019</t>
        </is>
      </c>
      <c r="B105" s="1" t="n">
        <v>43790</v>
      </c>
      <c r="C105" s="1" t="n">
        <v>45512</v>
      </c>
      <c r="D105" t="inlineStr">
        <is>
          <t>VÄSTMANLANDS LÄN</t>
        </is>
      </c>
      <c r="E105" t="inlineStr">
        <is>
          <t>SKINNSKATTEBERG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63296-2019</t>
        </is>
      </c>
      <c r="B106" s="1" t="n">
        <v>43794</v>
      </c>
      <c r="C106" s="1" t="n">
        <v>45512</v>
      </c>
      <c r="D106" t="inlineStr">
        <is>
          <t>VÄSTMANLANDS LÄN</t>
        </is>
      </c>
      <c r="E106" t="inlineStr">
        <is>
          <t>SKINNSKATTEBERG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64512-2019</t>
        </is>
      </c>
      <c r="B107" s="1" t="n">
        <v>43796</v>
      </c>
      <c r="C107" s="1" t="n">
        <v>45512</v>
      </c>
      <c r="D107" t="inlineStr">
        <is>
          <t>VÄSTMANLANDS LÄN</t>
        </is>
      </c>
      <c r="E107" t="inlineStr">
        <is>
          <t>SKINNSKATTEBERG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67284-2019</t>
        </is>
      </c>
      <c r="B108" s="1" t="n">
        <v>43796</v>
      </c>
      <c r="C108" s="1" t="n">
        <v>45512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65950-2019</t>
        </is>
      </c>
      <c r="B109" s="1" t="n">
        <v>43805</v>
      </c>
      <c r="C109" s="1" t="n">
        <v>45512</v>
      </c>
      <c r="D109" t="inlineStr">
        <is>
          <t>VÄSTMANLANDS LÄN</t>
        </is>
      </c>
      <c r="E109" t="inlineStr">
        <is>
          <t>SKINNSKATTEBERG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65955-2019</t>
        </is>
      </c>
      <c r="B110" s="1" t="n">
        <v>43805</v>
      </c>
      <c r="C110" s="1" t="n">
        <v>45512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65953-2019</t>
        </is>
      </c>
      <c r="B111" s="1" t="n">
        <v>43805</v>
      </c>
      <c r="C111" s="1" t="n">
        <v>45512</v>
      </c>
      <c r="D111" t="inlineStr">
        <is>
          <t>VÄSTMANLANDS LÄN</t>
        </is>
      </c>
      <c r="E111" t="inlineStr">
        <is>
          <t>SKINNSKATTEBERG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67357-2019</t>
        </is>
      </c>
      <c r="B112" s="1" t="n">
        <v>43812</v>
      </c>
      <c r="C112" s="1" t="n">
        <v>45512</v>
      </c>
      <c r="D112" t="inlineStr">
        <is>
          <t>VÄSTMANLANDS LÄN</t>
        </is>
      </c>
      <c r="E112" t="inlineStr">
        <is>
          <t>SKINNSKATTEBERG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67602-2019</t>
        </is>
      </c>
      <c r="B113" s="1" t="n">
        <v>43815</v>
      </c>
      <c r="C113" s="1" t="n">
        <v>45512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68366-2019</t>
        </is>
      </c>
      <c r="B114" s="1" t="n">
        <v>43818</v>
      </c>
      <c r="C114" s="1" t="n">
        <v>45512</v>
      </c>
      <c r="D114" t="inlineStr">
        <is>
          <t>VÄSTMANLANDS LÄN</t>
        </is>
      </c>
      <c r="E114" t="inlineStr">
        <is>
          <t>SKINNSKATTEBERG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2429-2020</t>
        </is>
      </c>
      <c r="B115" s="1" t="n">
        <v>43847</v>
      </c>
      <c r="C115" s="1" t="n">
        <v>45512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5110-2020</t>
        </is>
      </c>
      <c r="B116" s="1" t="n">
        <v>43853</v>
      </c>
      <c r="C116" s="1" t="n">
        <v>45512</v>
      </c>
      <c r="D116" t="inlineStr">
        <is>
          <t>VÄSTMANLANDS LÄN</t>
        </is>
      </c>
      <c r="E116" t="inlineStr">
        <is>
          <t>SKINNSKATTEBERG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5551-2020</t>
        </is>
      </c>
      <c r="B117" s="1" t="n">
        <v>43859</v>
      </c>
      <c r="C117" s="1" t="n">
        <v>45512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5560-2020</t>
        </is>
      </c>
      <c r="B118" s="1" t="n">
        <v>43859</v>
      </c>
      <c r="C118" s="1" t="n">
        <v>45512</v>
      </c>
      <c r="D118" t="inlineStr">
        <is>
          <t>VÄSTMANLANDS LÄN</t>
        </is>
      </c>
      <c r="E118" t="inlineStr">
        <is>
          <t>SKINNSKATTEBERG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5554-2020</t>
        </is>
      </c>
      <c r="B119" s="1" t="n">
        <v>43859</v>
      </c>
      <c r="C119" s="1" t="n">
        <v>45512</v>
      </c>
      <c r="D119" t="inlineStr">
        <is>
          <t>VÄSTMANLANDS LÄN</t>
        </is>
      </c>
      <c r="E119" t="inlineStr">
        <is>
          <t>SKINNSKATTEBERG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5561-2020</t>
        </is>
      </c>
      <c r="B120" s="1" t="n">
        <v>43859</v>
      </c>
      <c r="C120" s="1" t="n">
        <v>45512</v>
      </c>
      <c r="D120" t="inlineStr">
        <is>
          <t>VÄSTMANLANDS LÄN</t>
        </is>
      </c>
      <c r="E120" t="inlineStr">
        <is>
          <t>SKINNSKATTEBERG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6330-2020</t>
        </is>
      </c>
      <c r="B121" s="1" t="n">
        <v>43866</v>
      </c>
      <c r="C121" s="1" t="n">
        <v>45512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6327-2020</t>
        </is>
      </c>
      <c r="B122" s="1" t="n">
        <v>43866</v>
      </c>
      <c r="C122" s="1" t="n">
        <v>45512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7269-2020</t>
        </is>
      </c>
      <c r="B123" s="1" t="n">
        <v>43871</v>
      </c>
      <c r="C123" s="1" t="n">
        <v>45512</v>
      </c>
      <c r="D123" t="inlineStr">
        <is>
          <t>VÄSTMANLANDS LÄN</t>
        </is>
      </c>
      <c r="E123" t="inlineStr">
        <is>
          <t>SKINNSKATTEBERG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7797-2020</t>
        </is>
      </c>
      <c r="B124" s="1" t="n">
        <v>43873</v>
      </c>
      <c r="C124" s="1" t="n">
        <v>45512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9896-2020</t>
        </is>
      </c>
      <c r="B125" s="1" t="n">
        <v>43882</v>
      </c>
      <c r="C125" s="1" t="n">
        <v>45512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11912-2020</t>
        </is>
      </c>
      <c r="B126" s="1" t="n">
        <v>43888</v>
      </c>
      <c r="C126" s="1" t="n">
        <v>45512</v>
      </c>
      <c r="D126" t="inlineStr">
        <is>
          <t>VÄSTMANLANDS LÄN</t>
        </is>
      </c>
      <c r="E126" t="inlineStr">
        <is>
          <t>SKINNSKATTEBERG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11551-2020</t>
        </is>
      </c>
      <c r="B127" s="1" t="n">
        <v>43893</v>
      </c>
      <c r="C127" s="1" t="n">
        <v>45512</v>
      </c>
      <c r="D127" t="inlineStr">
        <is>
          <t>VÄSTMANLANDS LÄN</t>
        </is>
      </c>
      <c r="E127" t="inlineStr">
        <is>
          <t>SKINNSKATTEBERG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23108-2020</t>
        </is>
      </c>
      <c r="B128" s="1" t="n">
        <v>43965</v>
      </c>
      <c r="C128" s="1" t="n">
        <v>45512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25416-2020</t>
        </is>
      </c>
      <c r="B129" s="1" t="n">
        <v>43982</v>
      </c>
      <c r="C129" s="1" t="n">
        <v>45512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25477-2020</t>
        </is>
      </c>
      <c r="B130" s="1" t="n">
        <v>43983</v>
      </c>
      <c r="C130" s="1" t="n">
        <v>45512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26221-2020</t>
        </is>
      </c>
      <c r="B131" s="1" t="n">
        <v>43986</v>
      </c>
      <c r="C131" s="1" t="n">
        <v>45512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26455-2020</t>
        </is>
      </c>
      <c r="B132" s="1" t="n">
        <v>43987</v>
      </c>
      <c r="C132" s="1" t="n">
        <v>45512</v>
      </c>
      <c r="D132" t="inlineStr">
        <is>
          <t>VÄSTMANLANDS LÄN</t>
        </is>
      </c>
      <c r="E132" t="inlineStr">
        <is>
          <t>SKINNSKATTEBERG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31151-2020</t>
        </is>
      </c>
      <c r="B133" s="1" t="n">
        <v>44012</v>
      </c>
      <c r="C133" s="1" t="n">
        <v>45512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31671-2020</t>
        </is>
      </c>
      <c r="B134" s="1" t="n">
        <v>44014</v>
      </c>
      <c r="C134" s="1" t="n">
        <v>45512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32361-2020</t>
        </is>
      </c>
      <c r="B135" s="1" t="n">
        <v>44017</v>
      </c>
      <c r="C135" s="1" t="n">
        <v>45512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33358-2020</t>
        </is>
      </c>
      <c r="B136" s="1" t="n">
        <v>44022</v>
      </c>
      <c r="C136" s="1" t="n">
        <v>45512</v>
      </c>
      <c r="D136" t="inlineStr">
        <is>
          <t>VÄSTMANLANDS LÄN</t>
        </is>
      </c>
      <c r="E136" t="inlineStr">
        <is>
          <t>SKINNSKATTEBERG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33363-2020</t>
        </is>
      </c>
      <c r="B137" s="1" t="n">
        <v>44022</v>
      </c>
      <c r="C137" s="1" t="n">
        <v>45512</v>
      </c>
      <c r="D137" t="inlineStr">
        <is>
          <t>VÄSTMANLANDS LÄN</t>
        </is>
      </c>
      <c r="E137" t="inlineStr">
        <is>
          <t>SKINNSKATTEBERG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34402-2020</t>
        </is>
      </c>
      <c r="B138" s="1" t="n">
        <v>44029</v>
      </c>
      <c r="C138" s="1" t="n">
        <v>45512</v>
      </c>
      <c r="D138" t="inlineStr">
        <is>
          <t>VÄSTMANLANDS LÄN</t>
        </is>
      </c>
      <c r="E138" t="inlineStr">
        <is>
          <t>SKINNSKATTEBERG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34602-2020</t>
        </is>
      </c>
      <c r="B139" s="1" t="n">
        <v>44034</v>
      </c>
      <c r="C139" s="1" t="n">
        <v>45512</v>
      </c>
      <c r="D139" t="inlineStr">
        <is>
          <t>VÄSTMANLANDS LÄN</t>
        </is>
      </c>
      <c r="E139" t="inlineStr">
        <is>
          <t>SKINNSKATTEBERG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35765-2020</t>
        </is>
      </c>
      <c r="B140" s="1" t="n">
        <v>44046</v>
      </c>
      <c r="C140" s="1" t="n">
        <v>45512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36598-2020</t>
        </is>
      </c>
      <c r="B141" s="1" t="n">
        <v>44050</v>
      </c>
      <c r="C141" s="1" t="n">
        <v>45512</v>
      </c>
      <c r="D141" t="inlineStr">
        <is>
          <t>VÄSTMANLANDS LÄN</t>
        </is>
      </c>
      <c r="E141" t="inlineStr">
        <is>
          <t>SKINNSKATTEBERG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39707-2020</t>
        </is>
      </c>
      <c r="B142" s="1" t="n">
        <v>44066</v>
      </c>
      <c r="C142" s="1" t="n">
        <v>45512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39705-2020</t>
        </is>
      </c>
      <c r="B143" s="1" t="n">
        <v>44066</v>
      </c>
      <c r="C143" s="1" t="n">
        <v>45512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39706-2020</t>
        </is>
      </c>
      <c r="B144" s="1" t="n">
        <v>44066</v>
      </c>
      <c r="C144" s="1" t="n">
        <v>45512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39709-2020</t>
        </is>
      </c>
      <c r="B145" s="1" t="n">
        <v>44066</v>
      </c>
      <c r="C145" s="1" t="n">
        <v>45512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39876-2020</t>
        </is>
      </c>
      <c r="B146" s="1" t="n">
        <v>44067</v>
      </c>
      <c r="C146" s="1" t="n">
        <v>45512</v>
      </c>
      <c r="D146" t="inlineStr">
        <is>
          <t>VÄSTMANLANDS LÄN</t>
        </is>
      </c>
      <c r="E146" t="inlineStr">
        <is>
          <t>SKINNSKATTEBERG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41441-2020</t>
        </is>
      </c>
      <c r="B147" s="1" t="n">
        <v>44073</v>
      </c>
      <c r="C147" s="1" t="n">
        <v>45512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41420-2020</t>
        </is>
      </c>
      <c r="B148" s="1" t="n">
        <v>44073</v>
      </c>
      <c r="C148" s="1" t="n">
        <v>45512</v>
      </c>
      <c r="D148" t="inlineStr">
        <is>
          <t>VÄSTMANLANDS LÄN</t>
        </is>
      </c>
      <c r="E148" t="inlineStr">
        <is>
          <t>SKINNSKATTEBERG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41987-2020</t>
        </is>
      </c>
      <c r="B149" s="1" t="n">
        <v>44075</v>
      </c>
      <c r="C149" s="1" t="n">
        <v>45512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44152-2020</t>
        </is>
      </c>
      <c r="B150" s="1" t="n">
        <v>44083</v>
      </c>
      <c r="C150" s="1" t="n">
        <v>45512</v>
      </c>
      <c r="D150" t="inlineStr">
        <is>
          <t>VÄSTMANLANDS LÄN</t>
        </is>
      </c>
      <c r="E150" t="inlineStr">
        <is>
          <t>SKINNSKATTEBERG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46415-2020</t>
        </is>
      </c>
      <c r="B151" s="1" t="n">
        <v>44094</v>
      </c>
      <c r="C151" s="1" t="n">
        <v>45512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46416-2020</t>
        </is>
      </c>
      <c r="B152" s="1" t="n">
        <v>44094</v>
      </c>
      <c r="C152" s="1" t="n">
        <v>45512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46417-2020</t>
        </is>
      </c>
      <c r="B153" s="1" t="n">
        <v>44094</v>
      </c>
      <c r="C153" s="1" t="n">
        <v>45512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46412-2020</t>
        </is>
      </c>
      <c r="B154" s="1" t="n">
        <v>44094</v>
      </c>
      <c r="C154" s="1" t="n">
        <v>45512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47772-2020</t>
        </is>
      </c>
      <c r="B155" s="1" t="n">
        <v>44096</v>
      </c>
      <c r="C155" s="1" t="n">
        <v>45512</v>
      </c>
      <c r="D155" t="inlineStr">
        <is>
          <t>VÄSTMANLANDS LÄN</t>
        </is>
      </c>
      <c r="E155" t="inlineStr">
        <is>
          <t>SKINNSKATTEBERG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47801-2020</t>
        </is>
      </c>
      <c r="B156" s="1" t="n">
        <v>44098</v>
      </c>
      <c r="C156" s="1" t="n">
        <v>45512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47806-2020</t>
        </is>
      </c>
      <c r="B157" s="1" t="n">
        <v>44098</v>
      </c>
      <c r="C157" s="1" t="n">
        <v>45512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47803-2020</t>
        </is>
      </c>
      <c r="B158" s="1" t="n">
        <v>44098</v>
      </c>
      <c r="C158" s="1" t="n">
        <v>45512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47795-2020</t>
        </is>
      </c>
      <c r="B159" s="1" t="n">
        <v>44098</v>
      </c>
      <c r="C159" s="1" t="n">
        <v>45512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47805-2020</t>
        </is>
      </c>
      <c r="B160" s="1" t="n">
        <v>44098</v>
      </c>
      <c r="C160" s="1" t="n">
        <v>45512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47813-2020</t>
        </is>
      </c>
      <c r="B161" s="1" t="n">
        <v>44098</v>
      </c>
      <c r="C161" s="1" t="n">
        <v>45512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47804-2020</t>
        </is>
      </c>
      <c r="B162" s="1" t="n">
        <v>44098</v>
      </c>
      <c r="C162" s="1" t="n">
        <v>45512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47810-2020</t>
        </is>
      </c>
      <c r="B163" s="1" t="n">
        <v>44098</v>
      </c>
      <c r="C163" s="1" t="n">
        <v>45512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47807-2020</t>
        </is>
      </c>
      <c r="B164" s="1" t="n">
        <v>44098</v>
      </c>
      <c r="C164" s="1" t="n">
        <v>45512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48084-2020</t>
        </is>
      </c>
      <c r="B165" s="1" t="n">
        <v>44100</v>
      </c>
      <c r="C165" s="1" t="n">
        <v>45512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48108-2020</t>
        </is>
      </c>
      <c r="B166" s="1" t="n">
        <v>44101</v>
      </c>
      <c r="C166" s="1" t="n">
        <v>45512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49554-2020</t>
        </is>
      </c>
      <c r="B167" s="1" t="n">
        <v>44103</v>
      </c>
      <c r="C167" s="1" t="n">
        <v>45512</v>
      </c>
      <c r="D167" t="inlineStr">
        <is>
          <t>VÄSTMANLANDS LÄN</t>
        </is>
      </c>
      <c r="E167" t="inlineStr">
        <is>
          <t>SKINNSKATTEBERG</t>
        </is>
      </c>
      <c r="G167" t="n">
        <v>21.8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49113-2020</t>
        </is>
      </c>
      <c r="B168" s="1" t="n">
        <v>44104</v>
      </c>
      <c r="C168" s="1" t="n">
        <v>45512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49112-2020</t>
        </is>
      </c>
      <c r="B169" s="1" t="n">
        <v>44104</v>
      </c>
      <c r="C169" s="1" t="n">
        <v>45512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49111-2020</t>
        </is>
      </c>
      <c r="B170" s="1" t="n">
        <v>44104</v>
      </c>
      <c r="C170" s="1" t="n">
        <v>45512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49115-2020</t>
        </is>
      </c>
      <c r="B171" s="1" t="n">
        <v>44104</v>
      </c>
      <c r="C171" s="1" t="n">
        <v>45512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49117-2020</t>
        </is>
      </c>
      <c r="B172" s="1" t="n">
        <v>44104</v>
      </c>
      <c r="C172" s="1" t="n">
        <v>45512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49110-2020</t>
        </is>
      </c>
      <c r="B173" s="1" t="n">
        <v>44104</v>
      </c>
      <c r="C173" s="1" t="n">
        <v>45512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49114-2020</t>
        </is>
      </c>
      <c r="B174" s="1" t="n">
        <v>44104</v>
      </c>
      <c r="C174" s="1" t="n">
        <v>45512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50172-2020</t>
        </is>
      </c>
      <c r="B175" s="1" t="n">
        <v>44109</v>
      </c>
      <c r="C175" s="1" t="n">
        <v>45512</v>
      </c>
      <c r="D175" t="inlineStr">
        <is>
          <t>VÄSTMANLANDS LÄN</t>
        </is>
      </c>
      <c r="E175" t="inlineStr">
        <is>
          <t>SKINNSKATTEBERG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52084-2020</t>
        </is>
      </c>
      <c r="B176" s="1" t="n">
        <v>44117</v>
      </c>
      <c r="C176" s="1" t="n">
        <v>45512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54423-2020</t>
        </is>
      </c>
      <c r="B177" s="1" t="n">
        <v>44126</v>
      </c>
      <c r="C177" s="1" t="n">
        <v>45512</v>
      </c>
      <c r="D177" t="inlineStr">
        <is>
          <t>VÄSTMANLANDS LÄN</t>
        </is>
      </c>
      <c r="E177" t="inlineStr">
        <is>
          <t>SKINNSKATTEBERG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54977-2020</t>
        </is>
      </c>
      <c r="B178" s="1" t="n">
        <v>44130</v>
      </c>
      <c r="C178" s="1" t="n">
        <v>45512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57923-2020</t>
        </is>
      </c>
      <c r="B179" s="1" t="n">
        <v>44141</v>
      </c>
      <c r="C179" s="1" t="n">
        <v>45512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58008-2020</t>
        </is>
      </c>
      <c r="B180" s="1" t="n">
        <v>44144</v>
      </c>
      <c r="C180" s="1" t="n">
        <v>45512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58015-2020</t>
        </is>
      </c>
      <c r="B181" s="1" t="n">
        <v>44144</v>
      </c>
      <c r="C181" s="1" t="n">
        <v>45512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58494-2020</t>
        </is>
      </c>
      <c r="B182" s="1" t="n">
        <v>44145</v>
      </c>
      <c r="C182" s="1" t="n">
        <v>45512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58734-2020</t>
        </is>
      </c>
      <c r="B183" s="1" t="n">
        <v>44146</v>
      </c>
      <c r="C183" s="1" t="n">
        <v>45512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58737-2020</t>
        </is>
      </c>
      <c r="B184" s="1" t="n">
        <v>44146</v>
      </c>
      <c r="C184" s="1" t="n">
        <v>45512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59395-2020</t>
        </is>
      </c>
      <c r="B185" s="1" t="n">
        <v>44147</v>
      </c>
      <c r="C185" s="1" t="n">
        <v>45512</v>
      </c>
      <c r="D185" t="inlineStr">
        <is>
          <t>VÄSTMANLANDS LÄN</t>
        </is>
      </c>
      <c r="E185" t="inlineStr">
        <is>
          <t>SKINNSKATTEBERG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60134-2020</t>
        </is>
      </c>
      <c r="B186" s="1" t="n">
        <v>44152</v>
      </c>
      <c r="C186" s="1" t="n">
        <v>45512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HYPERLINK("https://klasma.github.io/Logging_1904/knärot/A 60134-2020 karta knärot.png", "A 60134-2020")</f>
        <v/>
      </c>
      <c r="V186">
        <f>HYPERLINK("https://klasma.github.io/Logging_1904/klagomål/A 60134-2020 FSC-klagomål.docx", "A 60134-2020")</f>
        <v/>
      </c>
      <c r="W186">
        <f>HYPERLINK("https://klasma.github.io/Logging_1904/klagomålsmail/A 60134-2020 FSC-klagomål mail.docx", "A 60134-2020")</f>
        <v/>
      </c>
      <c r="X186">
        <f>HYPERLINK("https://klasma.github.io/Logging_1904/tillsyn/A 60134-2020 tillsynsbegäran.docx", "A 60134-2020")</f>
        <v/>
      </c>
      <c r="Y186">
        <f>HYPERLINK("https://klasma.github.io/Logging_1904/tillsynsmail/A 60134-2020 tillsynsbegäran mail.docx", "A 60134-2020")</f>
        <v/>
      </c>
    </row>
    <row r="187" ht="15" customHeight="1">
      <c r="A187" t="inlineStr">
        <is>
          <t>A 60797-2020</t>
        </is>
      </c>
      <c r="B187" s="1" t="n">
        <v>44154</v>
      </c>
      <c r="C187" s="1" t="n">
        <v>45512</v>
      </c>
      <c r="D187" t="inlineStr">
        <is>
          <t>VÄSTMANLANDS LÄN</t>
        </is>
      </c>
      <c r="E187" t="inlineStr">
        <is>
          <t>SKINNSKATTEBERG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62395-2020</t>
        </is>
      </c>
      <c r="B188" s="1" t="n">
        <v>44160</v>
      </c>
      <c r="C188" s="1" t="n">
        <v>45512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63457-2020</t>
        </is>
      </c>
      <c r="B189" s="1" t="n">
        <v>44165</v>
      </c>
      <c r="C189" s="1" t="n">
        <v>45512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64464-2020</t>
        </is>
      </c>
      <c r="B190" s="1" t="n">
        <v>44168</v>
      </c>
      <c r="C190" s="1" t="n">
        <v>45512</v>
      </c>
      <c r="D190" t="inlineStr">
        <is>
          <t>VÄSTMANLANDS LÄN</t>
        </is>
      </c>
      <c r="E190" t="inlineStr">
        <is>
          <t>SKINNSKATTEBERG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65521-2020</t>
        </is>
      </c>
      <c r="B191" s="1" t="n">
        <v>44173</v>
      </c>
      <c r="C191" s="1" t="n">
        <v>45512</v>
      </c>
      <c r="D191" t="inlineStr">
        <is>
          <t>VÄSTMANLANDS LÄN</t>
        </is>
      </c>
      <c r="E191" t="inlineStr">
        <is>
          <t>SKINNSKATTEBERG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66704-2020</t>
        </is>
      </c>
      <c r="B192" s="1" t="n">
        <v>44179</v>
      </c>
      <c r="C192" s="1" t="n">
        <v>45512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66952-2020</t>
        </is>
      </c>
      <c r="B193" s="1" t="n">
        <v>44180</v>
      </c>
      <c r="C193" s="1" t="n">
        <v>45512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68824-2020</t>
        </is>
      </c>
      <c r="B194" s="1" t="n">
        <v>44186</v>
      </c>
      <c r="C194" s="1" t="n">
        <v>45512</v>
      </c>
      <c r="D194" t="inlineStr">
        <is>
          <t>VÄSTMANLANDS LÄN</t>
        </is>
      </c>
      <c r="E194" t="inlineStr">
        <is>
          <t>SKINNSKATTEBERG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238-2021</t>
        </is>
      </c>
      <c r="B195" s="1" t="n">
        <v>44200</v>
      </c>
      <c r="C195" s="1" t="n">
        <v>45512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852-2021</t>
        </is>
      </c>
      <c r="B196" s="1" t="n">
        <v>44204</v>
      </c>
      <c r="C196" s="1" t="n">
        <v>45512</v>
      </c>
      <c r="D196" t="inlineStr">
        <is>
          <t>VÄSTMANLANDS LÄN</t>
        </is>
      </c>
      <c r="E196" t="inlineStr">
        <is>
          <t>SKINNSKATTEBERG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5700-2021</t>
        </is>
      </c>
      <c r="B197" s="1" t="n">
        <v>44230</v>
      </c>
      <c r="C197" s="1" t="n">
        <v>45512</v>
      </c>
      <c r="D197" t="inlineStr">
        <is>
          <t>VÄSTMANLANDS LÄN</t>
        </is>
      </c>
      <c r="E197" t="inlineStr">
        <is>
          <t>SKINNSKATTEBERG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5687-2021</t>
        </is>
      </c>
      <c r="B198" s="1" t="n">
        <v>44230</v>
      </c>
      <c r="C198" s="1" t="n">
        <v>45512</v>
      </c>
      <c r="D198" t="inlineStr">
        <is>
          <t>VÄSTMANLANDS LÄN</t>
        </is>
      </c>
      <c r="E198" t="inlineStr">
        <is>
          <t>SKINNSKATTEBERG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6516-2021</t>
        </is>
      </c>
      <c r="B199" s="1" t="n">
        <v>44236</v>
      </c>
      <c r="C199" s="1" t="n">
        <v>45512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6518-2021</t>
        </is>
      </c>
      <c r="B200" s="1" t="n">
        <v>44236</v>
      </c>
      <c r="C200" s="1" t="n">
        <v>45512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11381-2021</t>
        </is>
      </c>
      <c r="B201" s="1" t="n">
        <v>44263</v>
      </c>
      <c r="C201" s="1" t="n">
        <v>45512</v>
      </c>
      <c r="D201" t="inlineStr">
        <is>
          <t>VÄSTMANLANDS LÄN</t>
        </is>
      </c>
      <c r="E201" t="inlineStr">
        <is>
          <t>SKINNSKATTEBERG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12671-2021</t>
        </is>
      </c>
      <c r="B202" s="1" t="n">
        <v>44267</v>
      </c>
      <c r="C202" s="1" t="n">
        <v>45512</v>
      </c>
      <c r="D202" t="inlineStr">
        <is>
          <t>VÄSTMANLANDS LÄN</t>
        </is>
      </c>
      <c r="E202" t="inlineStr">
        <is>
          <t>SKINNSKATTEBERG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12672-2021</t>
        </is>
      </c>
      <c r="B203" s="1" t="n">
        <v>44267</v>
      </c>
      <c r="C203" s="1" t="n">
        <v>45512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12500-2021</t>
        </is>
      </c>
      <c r="B204" s="1" t="n">
        <v>44268</v>
      </c>
      <c r="C204" s="1" t="n">
        <v>45512</v>
      </c>
      <c r="D204" t="inlineStr">
        <is>
          <t>VÄSTMANLANDS LÄN</t>
        </is>
      </c>
      <c r="E204" t="inlineStr">
        <is>
          <t>SKINNSKATTEBERG</t>
        </is>
      </c>
      <c r="G204" t="n">
        <v>18.1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14124-2021</t>
        </is>
      </c>
      <c r="B205" s="1" t="n">
        <v>44278</v>
      </c>
      <c r="C205" s="1" t="n">
        <v>45512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15793-2021</t>
        </is>
      </c>
      <c r="B206" s="1" t="n">
        <v>44286</v>
      </c>
      <c r="C206" s="1" t="n">
        <v>45512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15840-2021</t>
        </is>
      </c>
      <c r="B207" s="1" t="n">
        <v>44286</v>
      </c>
      <c r="C207" s="1" t="n">
        <v>45512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16315-2021</t>
        </is>
      </c>
      <c r="B208" s="1" t="n">
        <v>44292</v>
      </c>
      <c r="C208" s="1" t="n">
        <v>45512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16415-2021</t>
        </is>
      </c>
      <c r="B209" s="1" t="n">
        <v>44293</v>
      </c>
      <c r="C209" s="1" t="n">
        <v>45512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17506-2021</t>
        </is>
      </c>
      <c r="B210" s="1" t="n">
        <v>44298</v>
      </c>
      <c r="C210" s="1" t="n">
        <v>45512</v>
      </c>
      <c r="D210" t="inlineStr">
        <is>
          <t>VÄSTMANLANDS LÄN</t>
        </is>
      </c>
      <c r="E210" t="inlineStr">
        <is>
          <t>SKINNSKATTEBERG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19002-2021</t>
        </is>
      </c>
      <c r="B211" s="1" t="n">
        <v>44308</v>
      </c>
      <c r="C211" s="1" t="n">
        <v>45512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19038-2021</t>
        </is>
      </c>
      <c r="B212" s="1" t="n">
        <v>44308</v>
      </c>
      <c r="C212" s="1" t="n">
        <v>45512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19000-2021</t>
        </is>
      </c>
      <c r="B213" s="1" t="n">
        <v>44308</v>
      </c>
      <c r="C213" s="1" t="n">
        <v>45512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19016-2021</t>
        </is>
      </c>
      <c r="B214" s="1" t="n">
        <v>44308</v>
      </c>
      <c r="C214" s="1" t="n">
        <v>45512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19035-2021</t>
        </is>
      </c>
      <c r="B215" s="1" t="n">
        <v>44308</v>
      </c>
      <c r="C215" s="1" t="n">
        <v>45512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19013-2021</t>
        </is>
      </c>
      <c r="B216" s="1" t="n">
        <v>44308</v>
      </c>
      <c r="C216" s="1" t="n">
        <v>45512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18957-2021</t>
        </is>
      </c>
      <c r="B217" s="1" t="n">
        <v>44308</v>
      </c>
      <c r="C217" s="1" t="n">
        <v>45512</v>
      </c>
      <c r="D217" t="inlineStr">
        <is>
          <t>VÄSTMANLANDS LÄN</t>
        </is>
      </c>
      <c r="E217" t="inlineStr">
        <is>
          <t>SKINNSKATTEBERG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22097-2021</t>
        </is>
      </c>
      <c r="B218" s="1" t="n">
        <v>44323</v>
      </c>
      <c r="C218" s="1" t="n">
        <v>45512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23110-2021</t>
        </is>
      </c>
      <c r="B219" s="1" t="n">
        <v>44330</v>
      </c>
      <c r="C219" s="1" t="n">
        <v>45512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23240-2021</t>
        </is>
      </c>
      <c r="B220" s="1" t="n">
        <v>44333</v>
      </c>
      <c r="C220" s="1" t="n">
        <v>45512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23795-2021</t>
        </is>
      </c>
      <c r="B221" s="1" t="n">
        <v>44335</v>
      </c>
      <c r="C221" s="1" t="n">
        <v>45512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23965-2021</t>
        </is>
      </c>
      <c r="B222" s="1" t="n">
        <v>44335</v>
      </c>
      <c r="C222" s="1" t="n">
        <v>45512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25219-2021</t>
        </is>
      </c>
      <c r="B223" s="1" t="n">
        <v>44342</v>
      </c>
      <c r="C223" s="1" t="n">
        <v>45512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25386-2021</t>
        </is>
      </c>
      <c r="B224" s="1" t="n">
        <v>44342</v>
      </c>
      <c r="C224" s="1" t="n">
        <v>45512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25536-2021</t>
        </is>
      </c>
      <c r="B225" s="1" t="n">
        <v>44343</v>
      </c>
      <c r="C225" s="1" t="n">
        <v>45512</v>
      </c>
      <c r="D225" t="inlineStr">
        <is>
          <t>VÄSTMANLANDS LÄN</t>
        </is>
      </c>
      <c r="E225" t="inlineStr">
        <is>
          <t>SKINNSKATTEBERG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27213-2021</t>
        </is>
      </c>
      <c r="B226" s="1" t="n">
        <v>44350</v>
      </c>
      <c r="C226" s="1" t="n">
        <v>45512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28173-2021</t>
        </is>
      </c>
      <c r="B227" s="1" t="n">
        <v>44355</v>
      </c>
      <c r="C227" s="1" t="n">
        <v>45512</v>
      </c>
      <c r="D227" t="inlineStr">
        <is>
          <t>VÄSTMANLANDS LÄN</t>
        </is>
      </c>
      <c r="E227" t="inlineStr">
        <is>
          <t>SKINNSKATTEBERG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31424-2021</t>
        </is>
      </c>
      <c r="B228" s="1" t="n">
        <v>44369</v>
      </c>
      <c r="C228" s="1" t="n">
        <v>45512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34897-2021</t>
        </is>
      </c>
      <c r="B229" s="1" t="n">
        <v>44383</v>
      </c>
      <c r="C229" s="1" t="n">
        <v>45512</v>
      </c>
      <c r="D229" t="inlineStr">
        <is>
          <t>VÄSTMANLANDS LÄN</t>
        </is>
      </c>
      <c r="E229" t="inlineStr">
        <is>
          <t>SKINNSKATTEBERG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38724-2021</t>
        </is>
      </c>
      <c r="B230" s="1" t="n">
        <v>44410</v>
      </c>
      <c r="C230" s="1" t="n">
        <v>45512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38738-2021</t>
        </is>
      </c>
      <c r="B231" s="1" t="n">
        <v>44410</v>
      </c>
      <c r="C231" s="1" t="n">
        <v>45512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38727-2021</t>
        </is>
      </c>
      <c r="B232" s="1" t="n">
        <v>44410</v>
      </c>
      <c r="C232" s="1" t="n">
        <v>45512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38732-2021</t>
        </is>
      </c>
      <c r="B233" s="1" t="n">
        <v>44410</v>
      </c>
      <c r="C233" s="1" t="n">
        <v>45512</v>
      </c>
      <c r="D233" t="inlineStr">
        <is>
          <t>VÄSTMANLANDS LÄN</t>
        </is>
      </c>
      <c r="E233" t="inlineStr">
        <is>
          <t>SKINNSKATTEBERG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38728-2021</t>
        </is>
      </c>
      <c r="B234" s="1" t="n">
        <v>44410</v>
      </c>
      <c r="C234" s="1" t="n">
        <v>45512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40910-2021</t>
        </is>
      </c>
      <c r="B235" s="1" t="n">
        <v>44421</v>
      </c>
      <c r="C235" s="1" t="n">
        <v>45512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40918-2021</t>
        </is>
      </c>
      <c r="B236" s="1" t="n">
        <v>44421</v>
      </c>
      <c r="C236" s="1" t="n">
        <v>45512</v>
      </c>
      <c r="D236" t="inlineStr">
        <is>
          <t>VÄSTMANLANDS LÄN</t>
        </is>
      </c>
      <c r="E236" t="inlineStr">
        <is>
          <t>SKINNSKATTEBERG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40909-2021</t>
        </is>
      </c>
      <c r="B237" s="1" t="n">
        <v>44421</v>
      </c>
      <c r="C237" s="1" t="n">
        <v>45512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40901-2021</t>
        </is>
      </c>
      <c r="B238" s="1" t="n">
        <v>44421</v>
      </c>
      <c r="C238" s="1" t="n">
        <v>45512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40907-2021</t>
        </is>
      </c>
      <c r="B239" s="1" t="n">
        <v>44421</v>
      </c>
      <c r="C239" s="1" t="n">
        <v>45512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40913-2021</t>
        </is>
      </c>
      <c r="B240" s="1" t="n">
        <v>44421</v>
      </c>
      <c r="C240" s="1" t="n">
        <v>45512</v>
      </c>
      <c r="D240" t="inlineStr">
        <is>
          <t>VÄSTMANLANDS LÄN</t>
        </is>
      </c>
      <c r="E240" t="inlineStr">
        <is>
          <t>SKINNSKATTEBERG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42071-2021</t>
        </is>
      </c>
      <c r="B241" s="1" t="n">
        <v>44426</v>
      </c>
      <c r="C241" s="1" t="n">
        <v>45512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42078-2021</t>
        </is>
      </c>
      <c r="B242" s="1" t="n">
        <v>44426</v>
      </c>
      <c r="C242" s="1" t="n">
        <v>45512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46469-2021</t>
        </is>
      </c>
      <c r="B243" s="1" t="n">
        <v>44445</v>
      </c>
      <c r="C243" s="1" t="n">
        <v>45512</v>
      </c>
      <c r="D243" t="inlineStr">
        <is>
          <t>VÄSTMANLANDS LÄN</t>
        </is>
      </c>
      <c r="E243" t="inlineStr">
        <is>
          <t>SKINNSKATTEBERG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47136-2021</t>
        </is>
      </c>
      <c r="B244" s="1" t="n">
        <v>44446</v>
      </c>
      <c r="C244" s="1" t="n">
        <v>45512</v>
      </c>
      <c r="D244" t="inlineStr">
        <is>
          <t>VÄSTMANLANDS LÄN</t>
        </is>
      </c>
      <c r="E244" t="inlineStr">
        <is>
          <t>SKINNSKATTEBERG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49847-2021</t>
        </is>
      </c>
      <c r="B245" s="1" t="n">
        <v>44455</v>
      </c>
      <c r="C245" s="1" t="n">
        <v>45512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51508-2021</t>
        </is>
      </c>
      <c r="B246" s="1" t="n">
        <v>44462</v>
      </c>
      <c r="C246" s="1" t="n">
        <v>45512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52587-2021</t>
        </is>
      </c>
      <c r="B247" s="1" t="n">
        <v>44466</v>
      </c>
      <c r="C247" s="1" t="n">
        <v>45512</v>
      </c>
      <c r="D247" t="inlineStr">
        <is>
          <t>VÄSTMANLANDS LÄN</t>
        </is>
      </c>
      <c r="E247" t="inlineStr">
        <is>
          <t>SKINNSKATTEBERG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52600-2021</t>
        </is>
      </c>
      <c r="B248" s="1" t="n">
        <v>44466</v>
      </c>
      <c r="C248" s="1" t="n">
        <v>45512</v>
      </c>
      <c r="D248" t="inlineStr">
        <is>
          <t>VÄSTMANLANDS LÄN</t>
        </is>
      </c>
      <c r="E248" t="inlineStr">
        <is>
          <t>SKINNSKATTEBERG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53183-2021</t>
        </is>
      </c>
      <c r="B249" s="1" t="n">
        <v>44468</v>
      </c>
      <c r="C249" s="1" t="n">
        <v>45512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53243-2021</t>
        </is>
      </c>
      <c r="B250" s="1" t="n">
        <v>44468</v>
      </c>
      <c r="C250" s="1" t="n">
        <v>45512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53142-2021</t>
        </is>
      </c>
      <c r="B251" s="1" t="n">
        <v>44468</v>
      </c>
      <c r="C251" s="1" t="n">
        <v>45512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53145-2021</t>
        </is>
      </c>
      <c r="B252" s="1" t="n">
        <v>44468</v>
      </c>
      <c r="C252" s="1" t="n">
        <v>45512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53885-2021</t>
        </is>
      </c>
      <c r="B253" s="1" t="n">
        <v>44469</v>
      </c>
      <c r="C253" s="1" t="n">
        <v>45512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53880-2021</t>
        </is>
      </c>
      <c r="B254" s="1" t="n">
        <v>44469</v>
      </c>
      <c r="C254" s="1" t="n">
        <v>45512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55369-2021</t>
        </is>
      </c>
      <c r="B255" s="1" t="n">
        <v>44475</v>
      </c>
      <c r="C255" s="1" t="n">
        <v>45512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55428-2021</t>
        </is>
      </c>
      <c r="B256" s="1" t="n">
        <v>44475</v>
      </c>
      <c r="C256" s="1" t="n">
        <v>45512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59119-2021</t>
        </is>
      </c>
      <c r="B257" s="1" t="n">
        <v>44489</v>
      </c>
      <c r="C257" s="1" t="n">
        <v>45512</v>
      </c>
      <c r="D257" t="inlineStr">
        <is>
          <t>VÄSTMANLANDS LÄN</t>
        </is>
      </c>
      <c r="E257" t="inlineStr">
        <is>
          <t>SKINNSKATTEBERG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59428-2021</t>
        </is>
      </c>
      <c r="B258" s="1" t="n">
        <v>44491</v>
      </c>
      <c r="C258" s="1" t="n">
        <v>45512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59417-2021</t>
        </is>
      </c>
      <c r="B259" s="1" t="n">
        <v>44491</v>
      </c>
      <c r="C259" s="1" t="n">
        <v>45512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59423-2021</t>
        </is>
      </c>
      <c r="B260" s="1" t="n">
        <v>44491</v>
      </c>
      <c r="C260" s="1" t="n">
        <v>45512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61181-2021</t>
        </is>
      </c>
      <c r="B261" s="1" t="n">
        <v>44498</v>
      </c>
      <c r="C261" s="1" t="n">
        <v>45512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62306-2021</t>
        </is>
      </c>
      <c r="B262" s="1" t="n">
        <v>44503</v>
      </c>
      <c r="C262" s="1" t="n">
        <v>45512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62312-2021</t>
        </is>
      </c>
      <c r="B263" s="1" t="n">
        <v>44503</v>
      </c>
      <c r="C263" s="1" t="n">
        <v>45512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63139-2021</t>
        </is>
      </c>
      <c r="B264" s="1" t="n">
        <v>44505</v>
      </c>
      <c r="C264" s="1" t="n">
        <v>45512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65387-2021</t>
        </is>
      </c>
      <c r="B265" s="1" t="n">
        <v>44515</v>
      </c>
      <c r="C265" s="1" t="n">
        <v>45512</v>
      </c>
      <c r="D265" t="inlineStr">
        <is>
          <t>VÄSTMANLANDS LÄN</t>
        </is>
      </c>
      <c r="E265" t="inlineStr">
        <is>
          <t>SKINNSKATTEBERG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65663-2021</t>
        </is>
      </c>
      <c r="B266" s="1" t="n">
        <v>44516</v>
      </c>
      <c r="C266" s="1" t="n">
        <v>45512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66571-2021</t>
        </is>
      </c>
      <c r="B267" s="1" t="n">
        <v>44519</v>
      </c>
      <c r="C267" s="1" t="n">
        <v>45512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66580-2021</t>
        </is>
      </c>
      <c r="B268" s="1" t="n">
        <v>44519</v>
      </c>
      <c r="C268" s="1" t="n">
        <v>45512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66587-2021</t>
        </is>
      </c>
      <c r="B269" s="1" t="n">
        <v>44519</v>
      </c>
      <c r="C269" s="1" t="n">
        <v>45512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66574-2021</t>
        </is>
      </c>
      <c r="B270" s="1" t="n">
        <v>44519</v>
      </c>
      <c r="C270" s="1" t="n">
        <v>45512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66584-2021</t>
        </is>
      </c>
      <c r="B271" s="1" t="n">
        <v>44519</v>
      </c>
      <c r="C271" s="1" t="n">
        <v>45512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66572-2021</t>
        </is>
      </c>
      <c r="B272" s="1" t="n">
        <v>44519</v>
      </c>
      <c r="C272" s="1" t="n">
        <v>45512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68540-2021</t>
        </is>
      </c>
      <c r="B273" s="1" t="n">
        <v>44529</v>
      </c>
      <c r="C273" s="1" t="n">
        <v>45512</v>
      </c>
      <c r="D273" t="inlineStr">
        <is>
          <t>VÄSTMANLANDS LÄN</t>
        </is>
      </c>
      <c r="E273" t="inlineStr">
        <is>
          <t>SKINNSKATTEBERG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68525-2021</t>
        </is>
      </c>
      <c r="B274" s="1" t="n">
        <v>44529</v>
      </c>
      <c r="C274" s="1" t="n">
        <v>45512</v>
      </c>
      <c r="D274" t="inlineStr">
        <is>
          <t>VÄSTMANLANDS LÄN</t>
        </is>
      </c>
      <c r="E274" t="inlineStr">
        <is>
          <t>SKINNSKATTEBERG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69256-2021</t>
        </is>
      </c>
      <c r="B275" s="1" t="n">
        <v>44531</v>
      </c>
      <c r="C275" s="1" t="n">
        <v>45512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69259-2021</t>
        </is>
      </c>
      <c r="B276" s="1" t="n">
        <v>44531</v>
      </c>
      <c r="C276" s="1" t="n">
        <v>45512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69276-2021</t>
        </is>
      </c>
      <c r="B277" s="1" t="n">
        <v>44531</v>
      </c>
      <c r="C277" s="1" t="n">
        <v>45512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71999-2021</t>
        </is>
      </c>
      <c r="B278" s="1" t="n">
        <v>44544</v>
      </c>
      <c r="C278" s="1" t="n">
        <v>45512</v>
      </c>
      <c r="D278" t="inlineStr">
        <is>
          <t>VÄSTMANLANDS LÄN</t>
        </is>
      </c>
      <c r="E278" t="inlineStr">
        <is>
          <t>SKINNSKATTEBERG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71996-2021</t>
        </is>
      </c>
      <c r="B279" s="1" t="n">
        <v>44544</v>
      </c>
      <c r="C279" s="1" t="n">
        <v>45512</v>
      </c>
      <c r="D279" t="inlineStr">
        <is>
          <t>VÄSTMANLANDS LÄN</t>
        </is>
      </c>
      <c r="E279" t="inlineStr">
        <is>
          <t>SKINNSKATTEBERG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72710-2021</t>
        </is>
      </c>
      <c r="B280" s="1" t="n">
        <v>44545</v>
      </c>
      <c r="C280" s="1" t="n">
        <v>45512</v>
      </c>
      <c r="D280" t="inlineStr">
        <is>
          <t>VÄSTMANLANDS LÄN</t>
        </is>
      </c>
      <c r="E280" t="inlineStr">
        <is>
          <t>SKINNSKATTEBERG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72503-2021</t>
        </is>
      </c>
      <c r="B281" s="1" t="n">
        <v>44545</v>
      </c>
      <c r="C281" s="1" t="n">
        <v>45512</v>
      </c>
      <c r="D281" t="inlineStr">
        <is>
          <t>VÄSTMANLANDS LÄN</t>
        </is>
      </c>
      <c r="E281" t="inlineStr">
        <is>
          <t>SKINNSKATTEBERG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72684-2021</t>
        </is>
      </c>
      <c r="B282" s="1" t="n">
        <v>44545</v>
      </c>
      <c r="C282" s="1" t="n">
        <v>45512</v>
      </c>
      <c r="D282" t="inlineStr">
        <is>
          <t>VÄSTMANLANDS LÄN</t>
        </is>
      </c>
      <c r="E282" t="inlineStr">
        <is>
          <t>SKINNSKATTEBERG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72634-2021</t>
        </is>
      </c>
      <c r="B283" s="1" t="n">
        <v>44545</v>
      </c>
      <c r="C283" s="1" t="n">
        <v>45512</v>
      </c>
      <c r="D283" t="inlineStr">
        <is>
          <t>VÄSTMANLANDS LÄN</t>
        </is>
      </c>
      <c r="E283" t="inlineStr">
        <is>
          <t>SKINNSKATTEBERG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73008-2021</t>
        </is>
      </c>
      <c r="B284" s="1" t="n">
        <v>44550</v>
      </c>
      <c r="C284" s="1" t="n">
        <v>45512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4043-2022</t>
        </is>
      </c>
      <c r="B285" s="1" t="n">
        <v>44588</v>
      </c>
      <c r="C285" s="1" t="n">
        <v>45512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Kyrkan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7097-2022</t>
        </is>
      </c>
      <c r="B286" s="1" t="n">
        <v>44603</v>
      </c>
      <c r="C286" s="1" t="n">
        <v>45512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7080-2022</t>
        </is>
      </c>
      <c r="B287" s="1" t="n">
        <v>44603</v>
      </c>
      <c r="C287" s="1" t="n">
        <v>45512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Kyrkan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7088-2022</t>
        </is>
      </c>
      <c r="B288" s="1" t="n">
        <v>44603</v>
      </c>
      <c r="C288" s="1" t="n">
        <v>45512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7103-2022</t>
        </is>
      </c>
      <c r="B289" s="1" t="n">
        <v>44603</v>
      </c>
      <c r="C289" s="1" t="n">
        <v>45512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10639-2022</t>
        </is>
      </c>
      <c r="B290" s="1" t="n">
        <v>44623</v>
      </c>
      <c r="C290" s="1" t="n">
        <v>45512</v>
      </c>
      <c r="D290" t="inlineStr">
        <is>
          <t>VÄSTMANLANDS LÄN</t>
        </is>
      </c>
      <c r="E290" t="inlineStr">
        <is>
          <t>SKINNSKATTEBERG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11327-2022</t>
        </is>
      </c>
      <c r="B291" s="1" t="n">
        <v>44629</v>
      </c>
      <c r="C291" s="1" t="n">
        <v>45512</v>
      </c>
      <c r="D291" t="inlineStr">
        <is>
          <t>VÄSTMANLANDS LÄN</t>
        </is>
      </c>
      <c r="E291" t="inlineStr">
        <is>
          <t>SKINNSKATTEBERG</t>
        </is>
      </c>
      <c r="G291" t="n">
        <v>37.6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13676-2022</t>
        </is>
      </c>
      <c r="B292" s="1" t="n">
        <v>44648</v>
      </c>
      <c r="C292" s="1" t="n">
        <v>45512</v>
      </c>
      <c r="D292" t="inlineStr">
        <is>
          <t>VÄSTMANLANDS LÄN</t>
        </is>
      </c>
      <c r="E292" t="inlineStr">
        <is>
          <t>SKINNSKATTEBERG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14204-2022</t>
        </is>
      </c>
      <c r="B293" s="1" t="n">
        <v>44651</v>
      </c>
      <c r="C293" s="1" t="n">
        <v>45512</v>
      </c>
      <c r="D293" t="inlineStr">
        <is>
          <t>VÄSTMANLANDS LÄN</t>
        </is>
      </c>
      <c r="E293" t="inlineStr">
        <is>
          <t>SKINNSKATTEBERG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16860-2022</t>
        </is>
      </c>
      <c r="B294" s="1" t="n">
        <v>44674</v>
      </c>
      <c r="C294" s="1" t="n">
        <v>45512</v>
      </c>
      <c r="D294" t="inlineStr">
        <is>
          <t>VÄSTMANLANDS LÄN</t>
        </is>
      </c>
      <c r="E294" t="inlineStr">
        <is>
          <t>SKINNSKATTEBERG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19877-2022</t>
        </is>
      </c>
      <c r="B295" s="1" t="n">
        <v>44697</v>
      </c>
      <c r="C295" s="1" t="n">
        <v>45512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21754-2022</t>
        </is>
      </c>
      <c r="B296" s="1" t="n">
        <v>44708</v>
      </c>
      <c r="C296" s="1" t="n">
        <v>45512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22113-2022</t>
        </is>
      </c>
      <c r="B297" s="1" t="n">
        <v>44712</v>
      </c>
      <c r="C297" s="1" t="n">
        <v>45512</v>
      </c>
      <c r="D297" t="inlineStr">
        <is>
          <t>VÄSTMANLANDS LÄN</t>
        </is>
      </c>
      <c r="E297" t="inlineStr">
        <is>
          <t>SKINNSKATTEBERG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22279-2022</t>
        </is>
      </c>
      <c r="B298" s="1" t="n">
        <v>44712</v>
      </c>
      <c r="C298" s="1" t="n">
        <v>45512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22394-2022</t>
        </is>
      </c>
      <c r="B299" s="1" t="n">
        <v>44713</v>
      </c>
      <c r="C299" s="1" t="n">
        <v>45512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24777-2022</t>
        </is>
      </c>
      <c r="B300" s="1" t="n">
        <v>44728</v>
      </c>
      <c r="C300" s="1" t="n">
        <v>45512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24793-2022</t>
        </is>
      </c>
      <c r="B301" s="1" t="n">
        <v>44728</v>
      </c>
      <c r="C301" s="1" t="n">
        <v>45512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25357-2022</t>
        </is>
      </c>
      <c r="B302" s="1" t="n">
        <v>44732</v>
      </c>
      <c r="C302" s="1" t="n">
        <v>45512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25406-2022</t>
        </is>
      </c>
      <c r="B303" s="1" t="n">
        <v>44732</v>
      </c>
      <c r="C303" s="1" t="n">
        <v>45512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25387-2022</t>
        </is>
      </c>
      <c r="B304" s="1" t="n">
        <v>44732</v>
      </c>
      <c r="C304" s="1" t="n">
        <v>45512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25410-2022</t>
        </is>
      </c>
      <c r="B305" s="1" t="n">
        <v>44732</v>
      </c>
      <c r="C305" s="1" t="n">
        <v>45512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26342-2022</t>
        </is>
      </c>
      <c r="B306" s="1" t="n">
        <v>44735</v>
      </c>
      <c r="C306" s="1" t="n">
        <v>45512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27164-2022</t>
        </is>
      </c>
      <c r="B307" s="1" t="n">
        <v>44741</v>
      </c>
      <c r="C307" s="1" t="n">
        <v>45512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31395-2022</t>
        </is>
      </c>
      <c r="B308" s="1" t="n">
        <v>44774</v>
      </c>
      <c r="C308" s="1" t="n">
        <v>45512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31403-2022</t>
        </is>
      </c>
      <c r="B309" s="1" t="n">
        <v>44774</v>
      </c>
      <c r="C309" s="1" t="n">
        <v>45512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33176-2022</t>
        </is>
      </c>
      <c r="B310" s="1" t="n">
        <v>44785</v>
      </c>
      <c r="C310" s="1" t="n">
        <v>45512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33177-2022</t>
        </is>
      </c>
      <c r="B311" s="1" t="n">
        <v>44785</v>
      </c>
      <c r="C311" s="1" t="n">
        <v>45512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33154-2022</t>
        </is>
      </c>
      <c r="B312" s="1" t="n">
        <v>44785</v>
      </c>
      <c r="C312" s="1" t="n">
        <v>45512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33179-2022</t>
        </is>
      </c>
      <c r="B313" s="1" t="n">
        <v>44785</v>
      </c>
      <c r="C313" s="1" t="n">
        <v>45512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33600-2022</t>
        </is>
      </c>
      <c r="B314" s="1" t="n">
        <v>44789</v>
      </c>
      <c r="C314" s="1" t="n">
        <v>45512</v>
      </c>
      <c r="D314" t="inlineStr">
        <is>
          <t>VÄSTMANLANDS LÄN</t>
        </is>
      </c>
      <c r="E314" t="inlineStr">
        <is>
          <t>SKINNSKATTEBERG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36270-2022</t>
        </is>
      </c>
      <c r="B315" s="1" t="n">
        <v>44803</v>
      </c>
      <c r="C315" s="1" t="n">
        <v>45512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36288-2022</t>
        </is>
      </c>
      <c r="B316" s="1" t="n">
        <v>44803</v>
      </c>
      <c r="C316" s="1" t="n">
        <v>45512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37210-2022</t>
        </is>
      </c>
      <c r="B317" s="1" t="n">
        <v>44806</v>
      </c>
      <c r="C317" s="1" t="n">
        <v>45512</v>
      </c>
      <c r="D317" t="inlineStr">
        <is>
          <t>VÄSTMANLANDS LÄN</t>
        </is>
      </c>
      <c r="E317" t="inlineStr">
        <is>
          <t>SKINNSKATTEBERG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39432-2022</t>
        </is>
      </c>
      <c r="B318" s="1" t="n">
        <v>44818</v>
      </c>
      <c r="C318" s="1" t="n">
        <v>45512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40499-2022</t>
        </is>
      </c>
      <c r="B319" s="1" t="n">
        <v>44823</v>
      </c>
      <c r="C319" s="1" t="n">
        <v>45512</v>
      </c>
      <c r="D319" t="inlineStr">
        <is>
          <t>VÄSTMANLANDS LÄN</t>
        </is>
      </c>
      <c r="E319" t="inlineStr">
        <is>
          <t>SKINNSKATTEBERG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41720-2022</t>
        </is>
      </c>
      <c r="B320" s="1" t="n">
        <v>44827</v>
      </c>
      <c r="C320" s="1" t="n">
        <v>45512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41717-2022</t>
        </is>
      </c>
      <c r="B321" s="1" t="n">
        <v>44827</v>
      </c>
      <c r="C321" s="1" t="n">
        <v>45512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41716-2022</t>
        </is>
      </c>
      <c r="B322" s="1" t="n">
        <v>44827</v>
      </c>
      <c r="C322" s="1" t="n">
        <v>45512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41732-2022</t>
        </is>
      </c>
      <c r="B323" s="1" t="n">
        <v>44827</v>
      </c>
      <c r="C323" s="1" t="n">
        <v>45512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41866-2022</t>
        </is>
      </c>
      <c r="B324" s="1" t="n">
        <v>44829</v>
      </c>
      <c r="C324" s="1" t="n">
        <v>45512</v>
      </c>
      <c r="D324" t="inlineStr">
        <is>
          <t>VÄSTMANLANDS LÄN</t>
        </is>
      </c>
      <c r="E324" t="inlineStr">
        <is>
          <t>SKINNSKATTEBERG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41868-2022</t>
        </is>
      </c>
      <c r="B325" s="1" t="n">
        <v>44829</v>
      </c>
      <c r="C325" s="1" t="n">
        <v>45512</v>
      </c>
      <c r="D325" t="inlineStr">
        <is>
          <t>VÄSTMANLANDS LÄN</t>
        </is>
      </c>
      <c r="E325" t="inlineStr">
        <is>
          <t>SKINNSKATTEBERG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43384-2022</t>
        </is>
      </c>
      <c r="B326" s="1" t="n">
        <v>44834</v>
      </c>
      <c r="C326" s="1" t="n">
        <v>45512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43349-2022</t>
        </is>
      </c>
      <c r="B327" s="1" t="n">
        <v>44834</v>
      </c>
      <c r="C327" s="1" t="n">
        <v>45512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43347-2022</t>
        </is>
      </c>
      <c r="B328" s="1" t="n">
        <v>44834</v>
      </c>
      <c r="C328" s="1" t="n">
        <v>45512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45008-2022</t>
        </is>
      </c>
      <c r="B329" s="1" t="n">
        <v>44841</v>
      </c>
      <c r="C329" s="1" t="n">
        <v>45512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45010-2022</t>
        </is>
      </c>
      <c r="B330" s="1" t="n">
        <v>44841</v>
      </c>
      <c r="C330" s="1" t="n">
        <v>45512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46909-2022</t>
        </is>
      </c>
      <c r="B331" s="1" t="n">
        <v>44851</v>
      </c>
      <c r="C331" s="1" t="n">
        <v>45512</v>
      </c>
      <c r="D331" t="inlineStr">
        <is>
          <t>VÄSTMANLANDS LÄN</t>
        </is>
      </c>
      <c r="E331" t="inlineStr">
        <is>
          <t>SKINNSKATTEBERG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47658-2022</t>
        </is>
      </c>
      <c r="B332" s="1" t="n">
        <v>44852</v>
      </c>
      <c r="C332" s="1" t="n">
        <v>45512</v>
      </c>
      <c r="D332" t="inlineStr">
        <is>
          <t>VÄSTMANLANDS LÄN</t>
        </is>
      </c>
      <c r="E332" t="inlineStr">
        <is>
          <t>SKINNSKATTEBERG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47653-2022</t>
        </is>
      </c>
      <c r="B333" s="1" t="n">
        <v>44852</v>
      </c>
      <c r="C333" s="1" t="n">
        <v>45512</v>
      </c>
      <c r="D333" t="inlineStr">
        <is>
          <t>VÄSTMANLANDS LÄN</t>
        </is>
      </c>
      <c r="E333" t="inlineStr">
        <is>
          <t>SKINNSKATTEBERG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48825-2022</t>
        </is>
      </c>
      <c r="B334" s="1" t="n">
        <v>44859</v>
      </c>
      <c r="C334" s="1" t="n">
        <v>45512</v>
      </c>
      <c r="D334" t="inlineStr">
        <is>
          <t>VÄSTMANLANDS LÄN</t>
        </is>
      </c>
      <c r="E334" t="inlineStr">
        <is>
          <t>SKINNSKATTEBERG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48828-2022</t>
        </is>
      </c>
      <c r="B335" s="1" t="n">
        <v>44859</v>
      </c>
      <c r="C335" s="1" t="n">
        <v>45512</v>
      </c>
      <c r="D335" t="inlineStr">
        <is>
          <t>VÄSTMANLANDS LÄN</t>
        </is>
      </c>
      <c r="E335" t="inlineStr">
        <is>
          <t>SKINNSKATTEBERG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49687-2022</t>
        </is>
      </c>
      <c r="B336" s="1" t="n">
        <v>44862</v>
      </c>
      <c r="C336" s="1" t="n">
        <v>45512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50974-2022</t>
        </is>
      </c>
      <c r="B337" s="1" t="n">
        <v>44867</v>
      </c>
      <c r="C337" s="1" t="n">
        <v>45512</v>
      </c>
      <c r="D337" t="inlineStr">
        <is>
          <t>VÄSTMANLANDS LÄN</t>
        </is>
      </c>
      <c r="E337" t="inlineStr">
        <is>
          <t>SKINNSKATTEBERG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50980-2022</t>
        </is>
      </c>
      <c r="B338" s="1" t="n">
        <v>44867</v>
      </c>
      <c r="C338" s="1" t="n">
        <v>45512</v>
      </c>
      <c r="D338" t="inlineStr">
        <is>
          <t>VÄSTMANLANDS LÄN</t>
        </is>
      </c>
      <c r="E338" t="inlineStr">
        <is>
          <t>SKINNSKATTEBERG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51662-2022</t>
        </is>
      </c>
      <c r="B339" s="1" t="n">
        <v>44872</v>
      </c>
      <c r="C339" s="1" t="n">
        <v>45512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53454-2022</t>
        </is>
      </c>
      <c r="B340" s="1" t="n">
        <v>44879</v>
      </c>
      <c r="C340" s="1" t="n">
        <v>45512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54657-2022</t>
        </is>
      </c>
      <c r="B341" s="1" t="n">
        <v>44883</v>
      </c>
      <c r="C341" s="1" t="n">
        <v>45512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56537-2022</t>
        </is>
      </c>
      <c r="B342" s="1" t="n">
        <v>44887</v>
      </c>
      <c r="C342" s="1" t="n">
        <v>45512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56259-2022</t>
        </is>
      </c>
      <c r="B343" s="1" t="n">
        <v>44890</v>
      </c>
      <c r="C343" s="1" t="n">
        <v>45512</v>
      </c>
      <c r="D343" t="inlineStr">
        <is>
          <t>VÄSTMANLANDS LÄN</t>
        </is>
      </c>
      <c r="E343" t="inlineStr">
        <is>
          <t>SKINNSKATTEBERG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56290-2022</t>
        </is>
      </c>
      <c r="B344" s="1" t="n">
        <v>44890</v>
      </c>
      <c r="C344" s="1" t="n">
        <v>45512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56929-2022</t>
        </is>
      </c>
      <c r="B345" s="1" t="n">
        <v>44894</v>
      </c>
      <c r="C345" s="1" t="n">
        <v>45512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58834-2022</t>
        </is>
      </c>
      <c r="B346" s="1" t="n">
        <v>44903</v>
      </c>
      <c r="C346" s="1" t="n">
        <v>45512</v>
      </c>
      <c r="D346" t="inlineStr">
        <is>
          <t>VÄSTMANLANDS LÄN</t>
        </is>
      </c>
      <c r="E346" t="inlineStr">
        <is>
          <t>SKINNSKATTEBERG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60185-2022</t>
        </is>
      </c>
      <c r="B347" s="1" t="n">
        <v>44910</v>
      </c>
      <c r="C347" s="1" t="n">
        <v>45512</v>
      </c>
      <c r="D347" t="inlineStr">
        <is>
          <t>VÄSTMANLANDS LÄN</t>
        </is>
      </c>
      <c r="E347" t="inlineStr">
        <is>
          <t>SKINNSKATTEBERG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1069-2023</t>
        </is>
      </c>
      <c r="B348" s="1" t="n">
        <v>44935</v>
      </c>
      <c r="C348" s="1" t="n">
        <v>45512</v>
      </c>
      <c r="D348" t="inlineStr">
        <is>
          <t>VÄSTMANLANDS LÄN</t>
        </is>
      </c>
      <c r="E348" t="inlineStr">
        <is>
          <t>SKINNSKATTEBERG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1282-2023</t>
        </is>
      </c>
      <c r="B349" s="1" t="n">
        <v>44936</v>
      </c>
      <c r="C349" s="1" t="n">
        <v>45512</v>
      </c>
      <c r="D349" t="inlineStr">
        <is>
          <t>VÄSTMANLANDS LÄN</t>
        </is>
      </c>
      <c r="E349" t="inlineStr">
        <is>
          <t>SKINNSKATTEBERG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1617-2023</t>
        </is>
      </c>
      <c r="B350" s="1" t="n">
        <v>44937</v>
      </c>
      <c r="C350" s="1" t="n">
        <v>45512</v>
      </c>
      <c r="D350" t="inlineStr">
        <is>
          <t>VÄSTMANLANDS LÄN</t>
        </is>
      </c>
      <c r="E350" t="inlineStr">
        <is>
          <t>SKINNSKATTEBERG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4386-2023</t>
        </is>
      </c>
      <c r="B351" s="1" t="n">
        <v>44955</v>
      </c>
      <c r="C351" s="1" t="n">
        <v>45512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6183-2023</t>
        </is>
      </c>
      <c r="B352" s="1" t="n">
        <v>44964</v>
      </c>
      <c r="C352" s="1" t="n">
        <v>45512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6298-2023</t>
        </is>
      </c>
      <c r="B353" s="1" t="n">
        <v>44965</v>
      </c>
      <c r="C353" s="1" t="n">
        <v>45512</v>
      </c>
      <c r="D353" t="inlineStr">
        <is>
          <t>VÄSTMANLANDS LÄN</t>
        </is>
      </c>
      <c r="E353" t="inlineStr">
        <is>
          <t>SKINNSKATTEBERG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6943-2023</t>
        </is>
      </c>
      <c r="B354" s="1" t="n">
        <v>44967</v>
      </c>
      <c r="C354" s="1" t="n">
        <v>45512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8198-2023</t>
        </is>
      </c>
      <c r="B355" s="1" t="n">
        <v>44974</v>
      </c>
      <c r="C355" s="1" t="n">
        <v>45512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8202-2023</t>
        </is>
      </c>
      <c r="B356" s="1" t="n">
        <v>44974</v>
      </c>
      <c r="C356" s="1" t="n">
        <v>45512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8218-2023</t>
        </is>
      </c>
      <c r="B357" s="1" t="n">
        <v>44974</v>
      </c>
      <c r="C357" s="1" t="n">
        <v>45512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8199-2023</t>
        </is>
      </c>
      <c r="B358" s="1" t="n">
        <v>44974</v>
      </c>
      <c r="C358" s="1" t="n">
        <v>45512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8578-2023</t>
        </is>
      </c>
      <c r="B359" s="1" t="n">
        <v>44977</v>
      </c>
      <c r="C359" s="1" t="n">
        <v>45512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11494-2023</t>
        </is>
      </c>
      <c r="B360" s="1" t="n">
        <v>44993</v>
      </c>
      <c r="C360" s="1" t="n">
        <v>45512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12025-2023</t>
        </is>
      </c>
      <c r="B361" s="1" t="n">
        <v>44995</v>
      </c>
      <c r="C361" s="1" t="n">
        <v>45512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11992-2023</t>
        </is>
      </c>
      <c r="B362" s="1" t="n">
        <v>44995</v>
      </c>
      <c r="C362" s="1" t="n">
        <v>45512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12024-2023</t>
        </is>
      </c>
      <c r="B363" s="1" t="n">
        <v>44995</v>
      </c>
      <c r="C363" s="1" t="n">
        <v>45512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13553-2023</t>
        </is>
      </c>
      <c r="B364" s="1" t="n">
        <v>45006</v>
      </c>
      <c r="C364" s="1" t="n">
        <v>45512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Allmännings- och besparingsskogar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14172-2023</t>
        </is>
      </c>
      <c r="B365" s="1" t="n">
        <v>45009</v>
      </c>
      <c r="C365" s="1" t="n">
        <v>45512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14566-2023</t>
        </is>
      </c>
      <c r="B366" s="1" t="n">
        <v>45013</v>
      </c>
      <c r="C366" s="1" t="n">
        <v>45512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14711-2023</t>
        </is>
      </c>
      <c r="B367" s="1" t="n">
        <v>45014</v>
      </c>
      <c r="C367" s="1" t="n">
        <v>45512</v>
      </c>
      <c r="D367" t="inlineStr">
        <is>
          <t>VÄSTMANLANDS LÄN</t>
        </is>
      </c>
      <c r="E367" t="inlineStr">
        <is>
          <t>SKINNSKATTEBERG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14717-2023</t>
        </is>
      </c>
      <c r="B368" s="1" t="n">
        <v>45014</v>
      </c>
      <c r="C368" s="1" t="n">
        <v>45512</v>
      </c>
      <c r="D368" t="inlineStr">
        <is>
          <t>VÄSTMANLANDS LÄN</t>
        </is>
      </c>
      <c r="E368" t="inlineStr">
        <is>
          <t>SKINNSKATTEBERG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14733-2023</t>
        </is>
      </c>
      <c r="B369" s="1" t="n">
        <v>45014</v>
      </c>
      <c r="C369" s="1" t="n">
        <v>45512</v>
      </c>
      <c r="D369" t="inlineStr">
        <is>
          <t>VÄSTMANLANDS LÄN</t>
        </is>
      </c>
      <c r="E369" t="inlineStr">
        <is>
          <t>SKINNSKATTEBERG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14719-2023</t>
        </is>
      </c>
      <c r="B370" s="1" t="n">
        <v>45014</v>
      </c>
      <c r="C370" s="1" t="n">
        <v>45512</v>
      </c>
      <c r="D370" t="inlineStr">
        <is>
          <t>VÄSTMANLANDS LÄN</t>
        </is>
      </c>
      <c r="E370" t="inlineStr">
        <is>
          <t>SKINNSKATTEBERG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14736-2023</t>
        </is>
      </c>
      <c r="B371" s="1" t="n">
        <v>45014</v>
      </c>
      <c r="C371" s="1" t="n">
        <v>45512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15945-2023</t>
        </is>
      </c>
      <c r="B372" s="1" t="n">
        <v>45022</v>
      </c>
      <c r="C372" s="1" t="n">
        <v>45512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16801-2023</t>
        </is>
      </c>
      <c r="B373" s="1" t="n">
        <v>45033</v>
      </c>
      <c r="C373" s="1" t="n">
        <v>45512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16794-2023</t>
        </is>
      </c>
      <c r="B374" s="1" t="n">
        <v>45033</v>
      </c>
      <c r="C374" s="1" t="n">
        <v>45512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16798-2023</t>
        </is>
      </c>
      <c r="B375" s="1" t="n">
        <v>45033</v>
      </c>
      <c r="C375" s="1" t="n">
        <v>45512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16795-2023</t>
        </is>
      </c>
      <c r="B376" s="1" t="n">
        <v>45033</v>
      </c>
      <c r="C376" s="1" t="n">
        <v>45512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16800-2023</t>
        </is>
      </c>
      <c r="B377" s="1" t="n">
        <v>45033</v>
      </c>
      <c r="C377" s="1" t="n">
        <v>45512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16806-2023</t>
        </is>
      </c>
      <c r="B378" s="1" t="n">
        <v>45033</v>
      </c>
      <c r="C378" s="1" t="n">
        <v>45512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17264-2023</t>
        </is>
      </c>
      <c r="B379" s="1" t="n">
        <v>45035</v>
      </c>
      <c r="C379" s="1" t="n">
        <v>45512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17239-2023</t>
        </is>
      </c>
      <c r="B380" s="1" t="n">
        <v>45035</v>
      </c>
      <c r="C380" s="1" t="n">
        <v>45512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17263-2023</t>
        </is>
      </c>
      <c r="B381" s="1" t="n">
        <v>45035</v>
      </c>
      <c r="C381" s="1" t="n">
        <v>45512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17265-2023</t>
        </is>
      </c>
      <c r="B382" s="1" t="n">
        <v>45035</v>
      </c>
      <c r="C382" s="1" t="n">
        <v>45512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17738-2023</t>
        </is>
      </c>
      <c r="B383" s="1" t="n">
        <v>45037</v>
      </c>
      <c r="C383" s="1" t="n">
        <v>45512</v>
      </c>
      <c r="D383" t="inlineStr">
        <is>
          <t>VÄSTMANLANDS LÄN</t>
        </is>
      </c>
      <c r="E383" t="inlineStr">
        <is>
          <t>SKINNSKATTEBERG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17752-2023</t>
        </is>
      </c>
      <c r="B384" s="1" t="n">
        <v>45037</v>
      </c>
      <c r="C384" s="1" t="n">
        <v>45512</v>
      </c>
      <c r="D384" t="inlineStr">
        <is>
          <t>VÄSTMANLANDS LÄN</t>
        </is>
      </c>
      <c r="E384" t="inlineStr">
        <is>
          <t>SKINNSKATTEBERG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18109-2023</t>
        </is>
      </c>
      <c r="B385" s="1" t="n">
        <v>45040</v>
      </c>
      <c r="C385" s="1" t="n">
        <v>45512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18649-2023</t>
        </is>
      </c>
      <c r="B386" s="1" t="n">
        <v>45043</v>
      </c>
      <c r="C386" s="1" t="n">
        <v>45512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19081-2023</t>
        </is>
      </c>
      <c r="B387" s="1" t="n">
        <v>45048</v>
      </c>
      <c r="C387" s="1" t="n">
        <v>45512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19086-2023</t>
        </is>
      </c>
      <c r="B388" s="1" t="n">
        <v>45048</v>
      </c>
      <c r="C388" s="1" t="n">
        <v>45512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19093-2023</t>
        </is>
      </c>
      <c r="B389" s="1" t="n">
        <v>45048</v>
      </c>
      <c r="C389" s="1" t="n">
        <v>45512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20073-2023</t>
        </is>
      </c>
      <c r="B390" s="1" t="n">
        <v>45054</v>
      </c>
      <c r="C390" s="1" t="n">
        <v>45512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20072-2023</t>
        </is>
      </c>
      <c r="B391" s="1" t="n">
        <v>45054</v>
      </c>
      <c r="C391" s="1" t="n">
        <v>45512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20074-2023</t>
        </is>
      </c>
      <c r="B392" s="1" t="n">
        <v>45054</v>
      </c>
      <c r="C392" s="1" t="n">
        <v>45512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20430-2023</t>
        </is>
      </c>
      <c r="B393" s="1" t="n">
        <v>45056</v>
      </c>
      <c r="C393" s="1" t="n">
        <v>45512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20816-2023</t>
        </is>
      </c>
      <c r="B394" s="1" t="n">
        <v>45058</v>
      </c>
      <c r="C394" s="1" t="n">
        <v>45512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20833-2023</t>
        </is>
      </c>
      <c r="B395" s="1" t="n">
        <v>45058</v>
      </c>
      <c r="C395" s="1" t="n">
        <v>45512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21497-2023</t>
        </is>
      </c>
      <c r="B396" s="1" t="n">
        <v>45063</v>
      </c>
      <c r="C396" s="1" t="n">
        <v>45512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21558-2023</t>
        </is>
      </c>
      <c r="B397" s="1" t="n">
        <v>45063</v>
      </c>
      <c r="C397" s="1" t="n">
        <v>45512</v>
      </c>
      <c r="D397" t="inlineStr">
        <is>
          <t>VÄSTMANLANDS LÄN</t>
        </is>
      </c>
      <c r="E397" t="inlineStr">
        <is>
          <t>SKINNSKATTEBERG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21566-2023</t>
        </is>
      </c>
      <c r="B398" s="1" t="n">
        <v>45063</v>
      </c>
      <c r="C398" s="1" t="n">
        <v>45512</v>
      </c>
      <c r="D398" t="inlineStr">
        <is>
          <t>VÄSTMANLANDS LÄN</t>
        </is>
      </c>
      <c r="E398" t="inlineStr">
        <is>
          <t>SKINNSKATTEBERG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21571-2023</t>
        </is>
      </c>
      <c r="B399" s="1" t="n">
        <v>45063</v>
      </c>
      <c r="C399" s="1" t="n">
        <v>45512</v>
      </c>
      <c r="D399" t="inlineStr">
        <is>
          <t>VÄSTMANLANDS LÄN</t>
        </is>
      </c>
      <c r="E399" t="inlineStr">
        <is>
          <t>SKINNSKATTEBERG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21579-2023</t>
        </is>
      </c>
      <c r="B400" s="1" t="n">
        <v>45063</v>
      </c>
      <c r="C400" s="1" t="n">
        <v>45512</v>
      </c>
      <c r="D400" t="inlineStr">
        <is>
          <t>VÄSTMANLANDS LÄN</t>
        </is>
      </c>
      <c r="E400" t="inlineStr">
        <is>
          <t>SKINNSKATTEBERG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21576-2023</t>
        </is>
      </c>
      <c r="B401" s="1" t="n">
        <v>45063</v>
      </c>
      <c r="C401" s="1" t="n">
        <v>45512</v>
      </c>
      <c r="D401" t="inlineStr">
        <is>
          <t>VÄSTMANLANDS LÄN</t>
        </is>
      </c>
      <c r="E401" t="inlineStr">
        <is>
          <t>SKINNSKATTEBERG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21902-2023</t>
        </is>
      </c>
      <c r="B402" s="1" t="n">
        <v>45068</v>
      </c>
      <c r="C402" s="1" t="n">
        <v>45512</v>
      </c>
      <c r="D402" t="inlineStr">
        <is>
          <t>VÄSTMANLANDS LÄN</t>
        </is>
      </c>
      <c r="E402" t="inlineStr">
        <is>
          <t>SKINNSKATTEBERG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21908-2023</t>
        </is>
      </c>
      <c r="B403" s="1" t="n">
        <v>45068</v>
      </c>
      <c r="C403" s="1" t="n">
        <v>45512</v>
      </c>
      <c r="D403" t="inlineStr">
        <is>
          <t>VÄSTMANLANDS LÄN</t>
        </is>
      </c>
      <c r="E403" t="inlineStr">
        <is>
          <t>SKINNSKATTEBERG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22933-2023</t>
        </is>
      </c>
      <c r="B404" s="1" t="n">
        <v>45072</v>
      </c>
      <c r="C404" s="1" t="n">
        <v>45512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22937-2023</t>
        </is>
      </c>
      <c r="B405" s="1" t="n">
        <v>45072</v>
      </c>
      <c r="C405" s="1" t="n">
        <v>45512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22940-2023</t>
        </is>
      </c>
      <c r="B406" s="1" t="n">
        <v>45072</v>
      </c>
      <c r="C406" s="1" t="n">
        <v>45512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23209-2023</t>
        </is>
      </c>
      <c r="B407" s="1" t="n">
        <v>45075</v>
      </c>
      <c r="C407" s="1" t="n">
        <v>45512</v>
      </c>
      <c r="D407" t="inlineStr">
        <is>
          <t>VÄSTMANLANDS LÄN</t>
        </is>
      </c>
      <c r="E407" t="inlineStr">
        <is>
          <t>SKINNSKATTEBERG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23661-2023</t>
        </is>
      </c>
      <c r="B408" s="1" t="n">
        <v>45077</v>
      </c>
      <c r="C408" s="1" t="n">
        <v>45512</v>
      </c>
      <c r="D408" t="inlineStr">
        <is>
          <t>VÄSTMANLANDS LÄN</t>
        </is>
      </c>
      <c r="E408" t="inlineStr">
        <is>
          <t>SKINNSKATTEBERG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23665-2023</t>
        </is>
      </c>
      <c r="B409" s="1" t="n">
        <v>45077</v>
      </c>
      <c r="C409" s="1" t="n">
        <v>45512</v>
      </c>
      <c r="D409" t="inlineStr">
        <is>
          <t>VÄSTMANLANDS LÄN</t>
        </is>
      </c>
      <c r="E409" t="inlineStr">
        <is>
          <t>SKINNSKATTEBERG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23893-2023</t>
        </is>
      </c>
      <c r="B410" s="1" t="n">
        <v>45078</v>
      </c>
      <c r="C410" s="1" t="n">
        <v>45512</v>
      </c>
      <c r="D410" t="inlineStr">
        <is>
          <t>VÄSTMANLANDS LÄN</t>
        </is>
      </c>
      <c r="E410" t="inlineStr">
        <is>
          <t>SKINNSKATTEBERG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24098-2023</t>
        </is>
      </c>
      <c r="B411" s="1" t="n">
        <v>45079</v>
      </c>
      <c r="C411" s="1" t="n">
        <v>45512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24091-2023</t>
        </is>
      </c>
      <c r="B412" s="1" t="n">
        <v>45079</v>
      </c>
      <c r="C412" s="1" t="n">
        <v>45512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24099-2023</t>
        </is>
      </c>
      <c r="B413" s="1" t="n">
        <v>45079</v>
      </c>
      <c r="C413" s="1" t="n">
        <v>45512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24137-2023</t>
        </is>
      </c>
      <c r="B414" s="1" t="n">
        <v>45079</v>
      </c>
      <c r="C414" s="1" t="n">
        <v>45512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24504-2023</t>
        </is>
      </c>
      <c r="B415" s="1" t="n">
        <v>45082</v>
      </c>
      <c r="C415" s="1" t="n">
        <v>45512</v>
      </c>
      <c r="D415" t="inlineStr">
        <is>
          <t>VÄSTMANLANDS LÄN</t>
        </is>
      </c>
      <c r="E415" t="inlineStr">
        <is>
          <t>SKINNSKATTEBERG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24427-2023</t>
        </is>
      </c>
      <c r="B416" s="1" t="n">
        <v>45082</v>
      </c>
      <c r="C416" s="1" t="n">
        <v>45512</v>
      </c>
      <c r="D416" t="inlineStr">
        <is>
          <t>VÄSTMANLANDS LÄN</t>
        </is>
      </c>
      <c r="E416" t="inlineStr">
        <is>
          <t>SKINNSKATTEBERG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24883-2023</t>
        </is>
      </c>
      <c r="B417" s="1" t="n">
        <v>45085</v>
      </c>
      <c r="C417" s="1" t="n">
        <v>45512</v>
      </c>
      <c r="D417" t="inlineStr">
        <is>
          <t>VÄSTMANLANDS LÄN</t>
        </is>
      </c>
      <c r="E417" t="inlineStr">
        <is>
          <t>SKINNSKATTEBERG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24884-2023</t>
        </is>
      </c>
      <c r="B418" s="1" t="n">
        <v>45085</v>
      </c>
      <c r="C418" s="1" t="n">
        <v>45512</v>
      </c>
      <c r="D418" t="inlineStr">
        <is>
          <t>VÄSTMANLANDS LÄN</t>
        </is>
      </c>
      <c r="E418" t="inlineStr">
        <is>
          <t>SKINNSKATTEBERG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25843-2023</t>
        </is>
      </c>
      <c r="B419" s="1" t="n">
        <v>45090</v>
      </c>
      <c r="C419" s="1" t="n">
        <v>45512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26584-2023</t>
        </is>
      </c>
      <c r="B420" s="1" t="n">
        <v>45092</v>
      </c>
      <c r="C420" s="1" t="n">
        <v>45512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26580-2023</t>
        </is>
      </c>
      <c r="B421" s="1" t="n">
        <v>45092</v>
      </c>
      <c r="C421" s="1" t="n">
        <v>45512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26581-2023</t>
        </is>
      </c>
      <c r="B422" s="1" t="n">
        <v>45092</v>
      </c>
      <c r="C422" s="1" t="n">
        <v>45512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27329-2023</t>
        </is>
      </c>
      <c r="B423" s="1" t="n">
        <v>45096</v>
      </c>
      <c r="C423" s="1" t="n">
        <v>45512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27328-2023</t>
        </is>
      </c>
      <c r="B424" s="1" t="n">
        <v>45096</v>
      </c>
      <c r="C424" s="1" t="n">
        <v>45512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27326-2023</t>
        </is>
      </c>
      <c r="B425" s="1" t="n">
        <v>45096</v>
      </c>
      <c r="C425" s="1" t="n">
        <v>45512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27653-2023</t>
        </is>
      </c>
      <c r="B426" s="1" t="n">
        <v>45097</v>
      </c>
      <c r="C426" s="1" t="n">
        <v>45512</v>
      </c>
      <c r="D426" t="inlineStr">
        <is>
          <t>VÄSTMANLANDS LÄN</t>
        </is>
      </c>
      <c r="E426" t="inlineStr">
        <is>
          <t>SKINNSKATTEBERG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27783-2023</t>
        </is>
      </c>
      <c r="B427" s="1" t="n">
        <v>45098</v>
      </c>
      <c r="C427" s="1" t="n">
        <v>45512</v>
      </c>
      <c r="D427" t="inlineStr">
        <is>
          <t>VÄSTMANLANDS LÄN</t>
        </is>
      </c>
      <c r="E427" t="inlineStr">
        <is>
          <t>SKINNSKATTEBERG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28312-2023</t>
        </is>
      </c>
      <c r="B428" s="1" t="n">
        <v>45099</v>
      </c>
      <c r="C428" s="1" t="n">
        <v>45512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28308-2023</t>
        </is>
      </c>
      <c r="B429" s="1" t="n">
        <v>45099</v>
      </c>
      <c r="C429" s="1" t="n">
        <v>45512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28534-2023</t>
        </is>
      </c>
      <c r="B430" s="1" t="n">
        <v>45103</v>
      </c>
      <c r="C430" s="1" t="n">
        <v>45512</v>
      </c>
      <c r="D430" t="inlineStr">
        <is>
          <t>VÄSTMANLANDS LÄN</t>
        </is>
      </c>
      <c r="E430" t="inlineStr">
        <is>
          <t>SKINNSKATTEBERG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29175-2023</t>
        </is>
      </c>
      <c r="B431" s="1" t="n">
        <v>45105</v>
      </c>
      <c r="C431" s="1" t="n">
        <v>45512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29496-2023</t>
        </is>
      </c>
      <c r="B432" s="1" t="n">
        <v>45106</v>
      </c>
      <c r="C432" s="1" t="n">
        <v>45512</v>
      </c>
      <c r="D432" t="inlineStr">
        <is>
          <t>VÄSTMANLANDS LÄN</t>
        </is>
      </c>
      <c r="E432" t="inlineStr">
        <is>
          <t>SKINNSKATTEBERG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30353-2023</t>
        </is>
      </c>
      <c r="B433" s="1" t="n">
        <v>45111</v>
      </c>
      <c r="C433" s="1" t="n">
        <v>45512</v>
      </c>
      <c r="D433" t="inlineStr">
        <is>
          <t>VÄSTMANLANDS LÄN</t>
        </is>
      </c>
      <c r="E433" t="inlineStr">
        <is>
          <t>SKINNSKATTEBERG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30361-2023</t>
        </is>
      </c>
      <c r="B434" s="1" t="n">
        <v>45111</v>
      </c>
      <c r="C434" s="1" t="n">
        <v>45512</v>
      </c>
      <c r="D434" t="inlineStr">
        <is>
          <t>VÄSTMANLANDS LÄN</t>
        </is>
      </c>
      <c r="E434" t="inlineStr">
        <is>
          <t>SKINNSKATTEBERG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31262-2023</t>
        </is>
      </c>
      <c r="B435" s="1" t="n">
        <v>45114</v>
      </c>
      <c r="C435" s="1" t="n">
        <v>45512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31260-2023</t>
        </is>
      </c>
      <c r="B436" s="1" t="n">
        <v>45114</v>
      </c>
      <c r="C436" s="1" t="n">
        <v>45512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31264-2023</t>
        </is>
      </c>
      <c r="B437" s="1" t="n">
        <v>45114</v>
      </c>
      <c r="C437" s="1" t="n">
        <v>45512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31268-2023</t>
        </is>
      </c>
      <c r="B438" s="1" t="n">
        <v>45114</v>
      </c>
      <c r="C438" s="1" t="n">
        <v>45512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33086-2023</t>
        </is>
      </c>
      <c r="B439" s="1" t="n">
        <v>45126</v>
      </c>
      <c r="C439" s="1" t="n">
        <v>45512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33406-2023</t>
        </is>
      </c>
      <c r="B440" s="1" t="n">
        <v>45128</v>
      </c>
      <c r="C440" s="1" t="n">
        <v>45512</v>
      </c>
      <c r="D440" t="inlineStr">
        <is>
          <t>VÄSTMANLANDS LÄN</t>
        </is>
      </c>
      <c r="E440" t="inlineStr">
        <is>
          <t>SKINNSKATTEBERG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33396-2023</t>
        </is>
      </c>
      <c r="B441" s="1" t="n">
        <v>45128</v>
      </c>
      <c r="C441" s="1" t="n">
        <v>45512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33900-2023</t>
        </is>
      </c>
      <c r="B442" s="1" t="n">
        <v>45134</v>
      </c>
      <c r="C442" s="1" t="n">
        <v>45512</v>
      </c>
      <c r="D442" t="inlineStr">
        <is>
          <t>VÄSTMANLANDS LÄN</t>
        </is>
      </c>
      <c r="E442" t="inlineStr">
        <is>
          <t>SKINNSKATTEBERG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33896-2023</t>
        </is>
      </c>
      <c r="B443" s="1" t="n">
        <v>45134</v>
      </c>
      <c r="C443" s="1" t="n">
        <v>45512</v>
      </c>
      <c r="D443" t="inlineStr">
        <is>
          <t>VÄSTMANLANDS LÄN</t>
        </is>
      </c>
      <c r="E443" t="inlineStr">
        <is>
          <t>SKINNSKATTEBERG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34606-2023</t>
        </is>
      </c>
      <c r="B444" s="1" t="n">
        <v>45140</v>
      </c>
      <c r="C444" s="1" t="n">
        <v>45512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36471-2023</t>
        </is>
      </c>
      <c r="B445" s="1" t="n">
        <v>45152</v>
      </c>
      <c r="C445" s="1" t="n">
        <v>45512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36475-2023</t>
        </is>
      </c>
      <c r="B446" s="1" t="n">
        <v>45152</v>
      </c>
      <c r="C446" s="1" t="n">
        <v>45512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36476-2023</t>
        </is>
      </c>
      <c r="B447" s="1" t="n">
        <v>45152</v>
      </c>
      <c r="C447" s="1" t="n">
        <v>45512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36473-2023</t>
        </is>
      </c>
      <c r="B448" s="1" t="n">
        <v>45152</v>
      </c>
      <c r="C448" s="1" t="n">
        <v>45512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37196-2023</t>
        </is>
      </c>
      <c r="B449" s="1" t="n">
        <v>45154</v>
      </c>
      <c r="C449" s="1" t="n">
        <v>45512</v>
      </c>
      <c r="D449" t="inlineStr">
        <is>
          <t>VÄSTMANLANDS LÄN</t>
        </is>
      </c>
      <c r="E449" t="inlineStr">
        <is>
          <t>SKINNSKATTEBERG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37007-2023</t>
        </is>
      </c>
      <c r="B450" s="1" t="n">
        <v>45155</v>
      </c>
      <c r="C450" s="1" t="n">
        <v>45512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37006-2023</t>
        </is>
      </c>
      <c r="B451" s="1" t="n">
        <v>45155</v>
      </c>
      <c r="C451" s="1" t="n">
        <v>45512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37342-2023</t>
        </is>
      </c>
      <c r="B452" s="1" t="n">
        <v>45156</v>
      </c>
      <c r="C452" s="1" t="n">
        <v>45512</v>
      </c>
      <c r="D452" t="inlineStr">
        <is>
          <t>VÄSTMANLANDS LÄN</t>
        </is>
      </c>
      <c r="E452" t="inlineStr">
        <is>
          <t>SKINNSKATTEBERG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37432-2023</t>
        </is>
      </c>
      <c r="B453" s="1" t="n">
        <v>45156</v>
      </c>
      <c r="C453" s="1" t="n">
        <v>45512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37437-2023</t>
        </is>
      </c>
      <c r="B454" s="1" t="n">
        <v>45156</v>
      </c>
      <c r="C454" s="1" t="n">
        <v>45512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37880-2023</t>
        </is>
      </c>
      <c r="B455" s="1" t="n">
        <v>45160</v>
      </c>
      <c r="C455" s="1" t="n">
        <v>45512</v>
      </c>
      <c r="D455" t="inlineStr">
        <is>
          <t>VÄSTMANLANDS LÄN</t>
        </is>
      </c>
      <c r="E455" t="inlineStr">
        <is>
          <t>SKINNSKATTEBERG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38521-2023</t>
        </is>
      </c>
      <c r="B456" s="1" t="n">
        <v>45162</v>
      </c>
      <c r="C456" s="1" t="n">
        <v>45512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38714-2023</t>
        </is>
      </c>
      <c r="B457" s="1" t="n">
        <v>45163</v>
      </c>
      <c r="C457" s="1" t="n">
        <v>45512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38739-2023</t>
        </is>
      </c>
      <c r="B458" s="1" t="n">
        <v>45163</v>
      </c>
      <c r="C458" s="1" t="n">
        <v>45512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38731-2023</t>
        </is>
      </c>
      <c r="B459" s="1" t="n">
        <v>45163</v>
      </c>
      <c r="C459" s="1" t="n">
        <v>45512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40301-2023</t>
        </is>
      </c>
      <c r="B460" s="1" t="n">
        <v>45169</v>
      </c>
      <c r="C460" s="1" t="n">
        <v>45512</v>
      </c>
      <c r="D460" t="inlineStr">
        <is>
          <t>VÄSTMANLANDS LÄN</t>
        </is>
      </c>
      <c r="E460" t="inlineStr">
        <is>
          <t>SKINNSKATTEBERG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40320-2023</t>
        </is>
      </c>
      <c r="B461" s="1" t="n">
        <v>45169</v>
      </c>
      <c r="C461" s="1" t="n">
        <v>45512</v>
      </c>
      <c r="D461" t="inlineStr">
        <is>
          <t>VÄSTMANLANDS LÄN</t>
        </is>
      </c>
      <c r="E461" t="inlineStr">
        <is>
          <t>SKINNSKATTEBERG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40517-2023</t>
        </is>
      </c>
      <c r="B462" s="1" t="n">
        <v>45170</v>
      </c>
      <c r="C462" s="1" t="n">
        <v>45512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40545-2023</t>
        </is>
      </c>
      <c r="B463" s="1" t="n">
        <v>45170</v>
      </c>
      <c r="C463" s="1" t="n">
        <v>45512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40495-2023</t>
        </is>
      </c>
      <c r="B464" s="1" t="n">
        <v>45170</v>
      </c>
      <c r="C464" s="1" t="n">
        <v>45512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40521-2023</t>
        </is>
      </c>
      <c r="B465" s="1" t="n">
        <v>45170</v>
      </c>
      <c r="C465" s="1" t="n">
        <v>45512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40539-2023</t>
        </is>
      </c>
      <c r="B466" s="1" t="n">
        <v>45170</v>
      </c>
      <c r="C466" s="1" t="n">
        <v>45512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40497-2023</t>
        </is>
      </c>
      <c r="B467" s="1" t="n">
        <v>45170</v>
      </c>
      <c r="C467" s="1" t="n">
        <v>45512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40519-2023</t>
        </is>
      </c>
      <c r="B468" s="1" t="n">
        <v>45170</v>
      </c>
      <c r="C468" s="1" t="n">
        <v>45512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40546-2023</t>
        </is>
      </c>
      <c r="B469" s="1" t="n">
        <v>45170</v>
      </c>
      <c r="C469" s="1" t="n">
        <v>45512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41333-2023</t>
        </is>
      </c>
      <c r="B470" s="1" t="n">
        <v>45174</v>
      </c>
      <c r="C470" s="1" t="n">
        <v>45512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41334-2023</t>
        </is>
      </c>
      <c r="B471" s="1" t="n">
        <v>45174</v>
      </c>
      <c r="C471" s="1" t="n">
        <v>45512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41332-2023</t>
        </is>
      </c>
      <c r="B472" s="1" t="n">
        <v>45174</v>
      </c>
      <c r="C472" s="1" t="n">
        <v>45512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41562-2023</t>
        </is>
      </c>
      <c r="B473" s="1" t="n">
        <v>45175</v>
      </c>
      <c r="C473" s="1" t="n">
        <v>45512</v>
      </c>
      <c r="D473" t="inlineStr">
        <is>
          <t>VÄSTMANLANDS LÄN</t>
        </is>
      </c>
      <c r="E473" t="inlineStr">
        <is>
          <t>SKINNSKATTEBERG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41797-2023</t>
        </is>
      </c>
      <c r="B474" s="1" t="n">
        <v>45176</v>
      </c>
      <c r="C474" s="1" t="n">
        <v>45512</v>
      </c>
      <c r="D474" t="inlineStr">
        <is>
          <t>VÄSTMANLANDS LÄN</t>
        </is>
      </c>
      <c r="E474" t="inlineStr">
        <is>
          <t>SKINNSKATTEBERG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41866-2023</t>
        </is>
      </c>
      <c r="B475" s="1" t="n">
        <v>45176</v>
      </c>
      <c r="C475" s="1" t="n">
        <v>45512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42082-2023</t>
        </is>
      </c>
      <c r="B476" s="1" t="n">
        <v>45177</v>
      </c>
      <c r="C476" s="1" t="n">
        <v>45512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42092-2023</t>
        </is>
      </c>
      <c r="B477" s="1" t="n">
        <v>45177</v>
      </c>
      <c r="C477" s="1" t="n">
        <v>45512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42087-2023</t>
        </is>
      </c>
      <c r="B478" s="1" t="n">
        <v>45177</v>
      </c>
      <c r="C478" s="1" t="n">
        <v>45512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42093-2023</t>
        </is>
      </c>
      <c r="B479" s="1" t="n">
        <v>45177</v>
      </c>
      <c r="C479" s="1" t="n">
        <v>45512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42425-2023</t>
        </is>
      </c>
      <c r="B480" s="1" t="n">
        <v>45180</v>
      </c>
      <c r="C480" s="1" t="n">
        <v>45512</v>
      </c>
      <c r="D480" t="inlineStr">
        <is>
          <t>VÄSTMANLANDS LÄN</t>
        </is>
      </c>
      <c r="E480" t="inlineStr">
        <is>
          <t>SKINNSKATTEBERG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42976-2023</t>
        </is>
      </c>
      <c r="B481" s="1" t="n">
        <v>45182</v>
      </c>
      <c r="C481" s="1" t="n">
        <v>45512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42973-2023</t>
        </is>
      </c>
      <c r="B482" s="1" t="n">
        <v>45182</v>
      </c>
      <c r="C482" s="1" t="n">
        <v>45512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44906-2023</t>
        </is>
      </c>
      <c r="B483" s="1" t="n">
        <v>45190</v>
      </c>
      <c r="C483" s="1" t="n">
        <v>45512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44914-2023</t>
        </is>
      </c>
      <c r="B484" s="1" t="n">
        <v>45190</v>
      </c>
      <c r="C484" s="1" t="n">
        <v>45512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44903-2023</t>
        </is>
      </c>
      <c r="B485" s="1" t="n">
        <v>45190</v>
      </c>
      <c r="C485" s="1" t="n">
        <v>45512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45376-2023</t>
        </is>
      </c>
      <c r="B486" s="1" t="n">
        <v>45193</v>
      </c>
      <c r="C486" s="1" t="n">
        <v>45512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45375-2023</t>
        </is>
      </c>
      <c r="B487" s="1" t="n">
        <v>45193</v>
      </c>
      <c r="C487" s="1" t="n">
        <v>45512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45511-2023</t>
        </is>
      </c>
      <c r="B488" s="1" t="n">
        <v>45194</v>
      </c>
      <c r="C488" s="1" t="n">
        <v>45512</v>
      </c>
      <c r="D488" t="inlineStr">
        <is>
          <t>VÄSTMANLANDS LÄN</t>
        </is>
      </c>
      <c r="E488" t="inlineStr">
        <is>
          <t>SKINNSKATTEBERG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45867-2023</t>
        </is>
      </c>
      <c r="B489" s="1" t="n">
        <v>45195</v>
      </c>
      <c r="C489" s="1" t="n">
        <v>45512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46760-2023</t>
        </is>
      </c>
      <c r="B490" s="1" t="n">
        <v>45198</v>
      </c>
      <c r="C490" s="1" t="n">
        <v>45512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47693-2023</t>
        </is>
      </c>
      <c r="B491" s="1" t="n">
        <v>45198</v>
      </c>
      <c r="C491" s="1" t="n">
        <v>45512</v>
      </c>
      <c r="D491" t="inlineStr">
        <is>
          <t>VÄSTMANLANDS LÄN</t>
        </is>
      </c>
      <c r="E491" t="inlineStr">
        <is>
          <t>SKINNSKATTEBERG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47689-2023</t>
        </is>
      </c>
      <c r="B492" s="1" t="n">
        <v>45198</v>
      </c>
      <c r="C492" s="1" t="n">
        <v>45512</v>
      </c>
      <c r="D492" t="inlineStr">
        <is>
          <t>VÄSTMANLANDS LÄN</t>
        </is>
      </c>
      <c r="E492" t="inlineStr">
        <is>
          <t>SKINNSKATTEBERG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47681-2023</t>
        </is>
      </c>
      <c r="B493" s="1" t="n">
        <v>45198</v>
      </c>
      <c r="C493" s="1" t="n">
        <v>45512</v>
      </c>
      <c r="D493" t="inlineStr">
        <is>
          <t>VÄSTMANLANDS LÄN</t>
        </is>
      </c>
      <c r="E493" t="inlineStr">
        <is>
          <t>SKINNSKATTEBERG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48037-2023</t>
        </is>
      </c>
      <c r="B494" s="1" t="n">
        <v>45204</v>
      </c>
      <c r="C494" s="1" t="n">
        <v>45512</v>
      </c>
      <c r="D494" t="inlineStr">
        <is>
          <t>VÄSTMANLANDS LÄN</t>
        </is>
      </c>
      <c r="E494" t="inlineStr">
        <is>
          <t>SKINNSKATTEBERG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50422-2023</t>
        </is>
      </c>
      <c r="B495" s="1" t="n">
        <v>45216</v>
      </c>
      <c r="C495" s="1" t="n">
        <v>45512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50409-2023</t>
        </is>
      </c>
      <c r="B496" s="1" t="n">
        <v>45216</v>
      </c>
      <c r="C496" s="1" t="n">
        <v>45512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50415-2023</t>
        </is>
      </c>
      <c r="B497" s="1" t="n">
        <v>45216</v>
      </c>
      <c r="C497" s="1" t="n">
        <v>45512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50407-2023</t>
        </is>
      </c>
      <c r="B498" s="1" t="n">
        <v>45216</v>
      </c>
      <c r="C498" s="1" t="n">
        <v>45512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50416-2023</t>
        </is>
      </c>
      <c r="B499" s="1" t="n">
        <v>45216</v>
      </c>
      <c r="C499" s="1" t="n">
        <v>45512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50408-2023</t>
        </is>
      </c>
      <c r="B500" s="1" t="n">
        <v>45216</v>
      </c>
      <c r="C500" s="1" t="n">
        <v>45512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50641-2023</t>
        </is>
      </c>
      <c r="B501" s="1" t="n">
        <v>45217</v>
      </c>
      <c r="C501" s="1" t="n">
        <v>45512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51680-2023</t>
        </is>
      </c>
      <c r="B502" s="1" t="n">
        <v>45222</v>
      </c>
      <c r="C502" s="1" t="n">
        <v>45512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54296-2023</t>
        </is>
      </c>
      <c r="B503" s="1" t="n">
        <v>45232</v>
      </c>
      <c r="C503" s="1" t="n">
        <v>45512</v>
      </c>
      <c r="D503" t="inlineStr">
        <is>
          <t>VÄSTMANLANDS LÄN</t>
        </is>
      </c>
      <c r="E503" t="inlineStr">
        <is>
          <t>SKINNSKATTEBERG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55181-2023</t>
        </is>
      </c>
      <c r="B504" s="1" t="n">
        <v>45237</v>
      </c>
      <c r="C504" s="1" t="n">
        <v>45512</v>
      </c>
      <c r="D504" t="inlineStr">
        <is>
          <t>VÄSTMANLANDS LÄN</t>
        </is>
      </c>
      <c r="E504" t="inlineStr">
        <is>
          <t>SKINNSKATTEBERG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55229-2023</t>
        </is>
      </c>
      <c r="B505" s="1" t="n">
        <v>45237</v>
      </c>
      <c r="C505" s="1" t="n">
        <v>45512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55210-2023</t>
        </is>
      </c>
      <c r="B506" s="1" t="n">
        <v>45237</v>
      </c>
      <c r="C506" s="1" t="n">
        <v>45512</v>
      </c>
      <c r="D506" t="inlineStr">
        <is>
          <t>VÄSTMANLANDS LÄN</t>
        </is>
      </c>
      <c r="E506" t="inlineStr">
        <is>
          <t>SKINNSKATTEBERG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56357-2023</t>
        </is>
      </c>
      <c r="B507" s="1" t="n">
        <v>45243</v>
      </c>
      <c r="C507" s="1" t="n">
        <v>45512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56921-2023</t>
        </is>
      </c>
      <c r="B508" s="1" t="n">
        <v>45244</v>
      </c>
      <c r="C508" s="1" t="n">
        <v>45512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Kyrkan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56990-2023</t>
        </is>
      </c>
      <c r="B509" s="1" t="n">
        <v>45244</v>
      </c>
      <c r="C509" s="1" t="n">
        <v>45512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56992-2023</t>
        </is>
      </c>
      <c r="B510" s="1" t="n">
        <v>45244</v>
      </c>
      <c r="C510" s="1" t="n">
        <v>45512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57343-2023</t>
        </is>
      </c>
      <c r="B511" s="1" t="n">
        <v>45245</v>
      </c>
      <c r="C511" s="1" t="n">
        <v>45512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57747-2023</t>
        </is>
      </c>
      <c r="B512" s="1" t="n">
        <v>45246</v>
      </c>
      <c r="C512" s="1" t="n">
        <v>45512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57983-2023</t>
        </is>
      </c>
      <c r="B513" s="1" t="n">
        <v>45247</v>
      </c>
      <c r="C513" s="1" t="n">
        <v>45512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57981-2023</t>
        </is>
      </c>
      <c r="B514" s="1" t="n">
        <v>45247</v>
      </c>
      <c r="C514" s="1" t="n">
        <v>45512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57986-2023</t>
        </is>
      </c>
      <c r="B515" s="1" t="n">
        <v>45247</v>
      </c>
      <c r="C515" s="1" t="n">
        <v>45512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57984-2023</t>
        </is>
      </c>
      <c r="B516" s="1" t="n">
        <v>45247</v>
      </c>
      <c r="C516" s="1" t="n">
        <v>45512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58317-2023</t>
        </is>
      </c>
      <c r="B517" s="1" t="n">
        <v>45250</v>
      </c>
      <c r="C517" s="1" t="n">
        <v>45512</v>
      </c>
      <c r="D517" t="inlineStr">
        <is>
          <t>VÄSTMANLANDS LÄN</t>
        </is>
      </c>
      <c r="E517" t="inlineStr">
        <is>
          <t>SKINNSKATTEBERG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58246-2023</t>
        </is>
      </c>
      <c r="B518" s="1" t="n">
        <v>45250</v>
      </c>
      <c r="C518" s="1" t="n">
        <v>45512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58970-2023</t>
        </is>
      </c>
      <c r="B519" s="1" t="n">
        <v>45252</v>
      </c>
      <c r="C519" s="1" t="n">
        <v>45512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58975-2023</t>
        </is>
      </c>
      <c r="B520" s="1" t="n">
        <v>45252</v>
      </c>
      <c r="C520" s="1" t="n">
        <v>45512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58979-2023</t>
        </is>
      </c>
      <c r="B521" s="1" t="n">
        <v>45252</v>
      </c>
      <c r="C521" s="1" t="n">
        <v>45512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58973-2023</t>
        </is>
      </c>
      <c r="B522" s="1" t="n">
        <v>45252</v>
      </c>
      <c r="C522" s="1" t="n">
        <v>45512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58978-2023</t>
        </is>
      </c>
      <c r="B523" s="1" t="n">
        <v>45252</v>
      </c>
      <c r="C523" s="1" t="n">
        <v>45512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58987-2023</t>
        </is>
      </c>
      <c r="B524" s="1" t="n">
        <v>45252</v>
      </c>
      <c r="C524" s="1" t="n">
        <v>45512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59337-2023</t>
        </is>
      </c>
      <c r="B525" s="1" t="n">
        <v>45252</v>
      </c>
      <c r="C525" s="1" t="n">
        <v>45512</v>
      </c>
      <c r="D525" t="inlineStr">
        <is>
          <t>VÄSTMANLANDS LÄN</t>
        </is>
      </c>
      <c r="E525" t="inlineStr">
        <is>
          <t>SKINNSKATTEBERG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59717-2023</t>
        </is>
      </c>
      <c r="B526" s="1" t="n">
        <v>45257</v>
      </c>
      <c r="C526" s="1" t="n">
        <v>45512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61424-2023</t>
        </is>
      </c>
      <c r="B527" s="1" t="n">
        <v>45264</v>
      </c>
      <c r="C527" s="1" t="n">
        <v>45512</v>
      </c>
      <c r="D527" t="inlineStr">
        <is>
          <t>VÄSTMANLANDS LÄN</t>
        </is>
      </c>
      <c r="E527" t="inlineStr">
        <is>
          <t>SKINNSKATTEBERG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62487-2023</t>
        </is>
      </c>
      <c r="B528" s="1" t="n">
        <v>45268</v>
      </c>
      <c r="C528" s="1" t="n">
        <v>45512</v>
      </c>
      <c r="D528" t="inlineStr">
        <is>
          <t>VÄSTMANLANDS LÄN</t>
        </is>
      </c>
      <c r="E528" t="inlineStr">
        <is>
          <t>SKINNSKATTEBERG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64001-2023</t>
        </is>
      </c>
      <c r="B529" s="1" t="n">
        <v>45278</v>
      </c>
      <c r="C529" s="1" t="n">
        <v>45512</v>
      </c>
      <c r="D529" t="inlineStr">
        <is>
          <t>VÄSTMANLANDS LÄN</t>
        </is>
      </c>
      <c r="E529" t="inlineStr">
        <is>
          <t>SKINNSKATTEBERG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63999-2023</t>
        </is>
      </c>
      <c r="B530" s="1" t="n">
        <v>45278</v>
      </c>
      <c r="C530" s="1" t="n">
        <v>45512</v>
      </c>
      <c r="D530" t="inlineStr">
        <is>
          <t>VÄSTMANLANDS LÄN</t>
        </is>
      </c>
      <c r="E530" t="inlineStr">
        <is>
          <t>SKINNSKATTEBERG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64176-2023</t>
        </is>
      </c>
      <c r="B531" s="1" t="n">
        <v>45279</v>
      </c>
      <c r="C531" s="1" t="n">
        <v>45512</v>
      </c>
      <c r="D531" t="inlineStr">
        <is>
          <t>VÄSTMANLANDS LÄN</t>
        </is>
      </c>
      <c r="E531" t="inlineStr">
        <is>
          <t>SKINNSKATTEBERG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64448-2023</t>
        </is>
      </c>
      <c r="B532" s="1" t="n">
        <v>45280</v>
      </c>
      <c r="C532" s="1" t="n">
        <v>45512</v>
      </c>
      <c r="D532" t="inlineStr">
        <is>
          <t>VÄSTMANLANDS LÄN</t>
        </is>
      </c>
      <c r="E532" t="inlineStr">
        <is>
          <t>SKINNSKATTEBERG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1611-2024</t>
        </is>
      </c>
      <c r="B533" s="1" t="n">
        <v>45306</v>
      </c>
      <c r="C533" s="1" t="n">
        <v>45512</v>
      </c>
      <c r="D533" t="inlineStr">
        <is>
          <t>VÄSTMANLANDS LÄN</t>
        </is>
      </c>
      <c r="E533" t="inlineStr">
        <is>
          <t>SKINNSKATTEBERG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1619-2024</t>
        </is>
      </c>
      <c r="B534" s="1" t="n">
        <v>45306</v>
      </c>
      <c r="C534" s="1" t="n">
        <v>45512</v>
      </c>
      <c r="D534" t="inlineStr">
        <is>
          <t>VÄSTMANLANDS LÄN</t>
        </is>
      </c>
      <c r="E534" t="inlineStr">
        <is>
          <t>SKINNSKATTEBERG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1620-2024</t>
        </is>
      </c>
      <c r="B535" s="1" t="n">
        <v>45306</v>
      </c>
      <c r="C535" s="1" t="n">
        <v>45512</v>
      </c>
      <c r="D535" t="inlineStr">
        <is>
          <t>VÄSTMANLANDS LÄN</t>
        </is>
      </c>
      <c r="E535" t="inlineStr">
        <is>
          <t>SKINNSKATTEBERG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3755-2024</t>
        </is>
      </c>
      <c r="B536" s="1" t="n">
        <v>45321</v>
      </c>
      <c r="C536" s="1" t="n">
        <v>45512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4000-2024</t>
        </is>
      </c>
      <c r="B537" s="1" t="n">
        <v>45322</v>
      </c>
      <c r="C537" s="1" t="n">
        <v>45512</v>
      </c>
      <c r="D537" t="inlineStr">
        <is>
          <t>VÄSTMANLANDS LÄN</t>
        </is>
      </c>
      <c r="E537" t="inlineStr">
        <is>
          <t>SKINNSKATTEBERG</t>
        </is>
      </c>
      <c r="G537" t="n">
        <v>14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5001-2024</t>
        </is>
      </c>
      <c r="B538" s="1" t="n">
        <v>45329</v>
      </c>
      <c r="C538" s="1" t="n">
        <v>45512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5154-2024</t>
        </is>
      </c>
      <c r="B539" s="1" t="n">
        <v>45330</v>
      </c>
      <c r="C539" s="1" t="n">
        <v>45512</v>
      </c>
      <c r="D539" t="inlineStr">
        <is>
          <t>VÄSTMANLANDS LÄN</t>
        </is>
      </c>
      <c r="E539" t="inlineStr">
        <is>
          <t>SKINNSKATTEBERG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9485-2024</t>
        </is>
      </c>
      <c r="B540" s="1" t="n">
        <v>45359</v>
      </c>
      <c r="C540" s="1" t="n">
        <v>45512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9489-2024</t>
        </is>
      </c>
      <c r="B541" s="1" t="n">
        <v>45359</v>
      </c>
      <c r="C541" s="1" t="n">
        <v>45512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9487-2024</t>
        </is>
      </c>
      <c r="B542" s="1" t="n">
        <v>45359</v>
      </c>
      <c r="C542" s="1" t="n">
        <v>45512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9491-2024</t>
        </is>
      </c>
      <c r="B543" s="1" t="n">
        <v>45359</v>
      </c>
      <c r="C543" s="1" t="n">
        <v>45512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9486-2024</t>
        </is>
      </c>
      <c r="B544" s="1" t="n">
        <v>45359</v>
      </c>
      <c r="C544" s="1" t="n">
        <v>45512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9490-2024</t>
        </is>
      </c>
      <c r="B545" s="1" t="n">
        <v>45359</v>
      </c>
      <c r="C545" s="1" t="n">
        <v>45512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10530-2024</t>
        </is>
      </c>
      <c r="B546" s="1" t="n">
        <v>45366</v>
      </c>
      <c r="C546" s="1" t="n">
        <v>45512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10536-2024</t>
        </is>
      </c>
      <c r="B547" s="1" t="n">
        <v>45366</v>
      </c>
      <c r="C547" s="1" t="n">
        <v>45512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10519-2024</t>
        </is>
      </c>
      <c r="B548" s="1" t="n">
        <v>45366</v>
      </c>
      <c r="C548" s="1" t="n">
        <v>45512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10527-2024</t>
        </is>
      </c>
      <c r="B549" s="1" t="n">
        <v>45366</v>
      </c>
      <c r="C549" s="1" t="n">
        <v>45512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10535-2024</t>
        </is>
      </c>
      <c r="B550" s="1" t="n">
        <v>45366</v>
      </c>
      <c r="C550" s="1" t="n">
        <v>45512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10555-2024</t>
        </is>
      </c>
      <c r="B551" s="1" t="n">
        <v>45366</v>
      </c>
      <c r="C551" s="1" t="n">
        <v>45512</v>
      </c>
      <c r="D551" t="inlineStr">
        <is>
          <t>VÄSTMANLANDS LÄN</t>
        </is>
      </c>
      <c r="E551" t="inlineStr">
        <is>
          <t>SKINNSKATTEBERG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11800-2024</t>
        </is>
      </c>
      <c r="B552" s="1" t="n">
        <v>45375</v>
      </c>
      <c r="C552" s="1" t="n">
        <v>45512</v>
      </c>
      <c r="D552" t="inlineStr">
        <is>
          <t>VÄSTMANLANDS LÄN</t>
        </is>
      </c>
      <c r="E552" t="inlineStr">
        <is>
          <t>SKINNSKATTEBERG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11823-2024</t>
        </is>
      </c>
      <c r="B553" s="1" t="n">
        <v>45376</v>
      </c>
      <c r="C553" s="1" t="n">
        <v>45512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11826-2024</t>
        </is>
      </c>
      <c r="B554" s="1" t="n">
        <v>45376</v>
      </c>
      <c r="C554" s="1" t="n">
        <v>45512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11822-2024</t>
        </is>
      </c>
      <c r="B555" s="1" t="n">
        <v>45376</v>
      </c>
      <c r="C555" s="1" t="n">
        <v>45512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11827-2024</t>
        </is>
      </c>
      <c r="B556" s="1" t="n">
        <v>45376</v>
      </c>
      <c r="C556" s="1" t="n">
        <v>45512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12158-2024</t>
        </is>
      </c>
      <c r="B557" s="1" t="n">
        <v>45377</v>
      </c>
      <c r="C557" s="1" t="n">
        <v>45512</v>
      </c>
      <c r="D557" t="inlineStr">
        <is>
          <t>VÄSTMANLANDS LÄN</t>
        </is>
      </c>
      <c r="E557" t="inlineStr">
        <is>
          <t>SKINNSKATTEBERG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12094-2024</t>
        </is>
      </c>
      <c r="B558" s="1" t="n">
        <v>45377</v>
      </c>
      <c r="C558" s="1" t="n">
        <v>45512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12095-2024</t>
        </is>
      </c>
      <c r="B559" s="1" t="n">
        <v>45377</v>
      </c>
      <c r="C559" s="1" t="n">
        <v>45512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12096-2024</t>
        </is>
      </c>
      <c r="B560" s="1" t="n">
        <v>45377</v>
      </c>
      <c r="C560" s="1" t="n">
        <v>45512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12887-2024</t>
        </is>
      </c>
      <c r="B561" s="1" t="n">
        <v>45385</v>
      </c>
      <c r="C561" s="1" t="n">
        <v>45512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12888-2024</t>
        </is>
      </c>
      <c r="B562" s="1" t="n">
        <v>45385</v>
      </c>
      <c r="C562" s="1" t="n">
        <v>45512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13295-2024</t>
        </is>
      </c>
      <c r="B563" s="1" t="n">
        <v>45386</v>
      </c>
      <c r="C563" s="1" t="n">
        <v>45512</v>
      </c>
      <c r="D563" t="inlineStr">
        <is>
          <t>VÄSTMANLANDS LÄN</t>
        </is>
      </c>
      <c r="E563" t="inlineStr">
        <is>
          <t>SKINNSKATTEBERG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13388-2024</t>
        </is>
      </c>
      <c r="B564" s="1" t="n">
        <v>45387</v>
      </c>
      <c r="C564" s="1" t="n">
        <v>45512</v>
      </c>
      <c r="D564" t="inlineStr">
        <is>
          <t>VÄSTMANLANDS LÄN</t>
        </is>
      </c>
      <c r="E564" t="inlineStr">
        <is>
          <t>SKINNSKATTEBERG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13387-2024</t>
        </is>
      </c>
      <c r="B565" s="1" t="n">
        <v>45387</v>
      </c>
      <c r="C565" s="1" t="n">
        <v>45512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13383-2024</t>
        </is>
      </c>
      <c r="B566" s="1" t="n">
        <v>45387</v>
      </c>
      <c r="C566" s="1" t="n">
        <v>45512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13385-2024</t>
        </is>
      </c>
      <c r="B567" s="1" t="n">
        <v>45387</v>
      </c>
      <c r="C567" s="1" t="n">
        <v>45512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13715-2024</t>
        </is>
      </c>
      <c r="B568" s="1" t="n">
        <v>45390</v>
      </c>
      <c r="C568" s="1" t="n">
        <v>45512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13713-2024</t>
        </is>
      </c>
      <c r="B569" s="1" t="n">
        <v>45390</v>
      </c>
      <c r="C569" s="1" t="n">
        <v>45512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13996-2024</t>
        </is>
      </c>
      <c r="B570" s="1" t="n">
        <v>45392</v>
      </c>
      <c r="C570" s="1" t="n">
        <v>45512</v>
      </c>
      <c r="D570" t="inlineStr">
        <is>
          <t>VÄSTMANLANDS LÄN</t>
        </is>
      </c>
      <c r="E570" t="inlineStr">
        <is>
          <t>SKINNSKATTEBERG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14002-2024</t>
        </is>
      </c>
      <c r="B571" s="1" t="n">
        <v>45392</v>
      </c>
      <c r="C571" s="1" t="n">
        <v>45512</v>
      </c>
      <c r="D571" t="inlineStr">
        <is>
          <t>VÄSTMANLANDS LÄN</t>
        </is>
      </c>
      <c r="E571" t="inlineStr">
        <is>
          <t>SKINNSKATTEBERG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14189-2024</t>
        </is>
      </c>
      <c r="B572" s="1" t="n">
        <v>45393</v>
      </c>
      <c r="C572" s="1" t="n">
        <v>45512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14335-2024</t>
        </is>
      </c>
      <c r="B573" s="1" t="n">
        <v>45393</v>
      </c>
      <c r="C573" s="1" t="n">
        <v>45512</v>
      </c>
      <c r="D573" t="inlineStr">
        <is>
          <t>VÄSTMANLANDS LÄN</t>
        </is>
      </c>
      <c r="E573" t="inlineStr">
        <is>
          <t>SKINNSKATTEBERG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14406-2024</t>
        </is>
      </c>
      <c r="B574" s="1" t="n">
        <v>45394</v>
      </c>
      <c r="C574" s="1" t="n">
        <v>45512</v>
      </c>
      <c r="D574" t="inlineStr">
        <is>
          <t>VÄSTMANLANDS LÄN</t>
        </is>
      </c>
      <c r="E574" t="inlineStr">
        <is>
          <t>SKINNSKATTEBERG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14627-2024</t>
        </is>
      </c>
      <c r="B575" s="1" t="n">
        <v>45397</v>
      </c>
      <c r="C575" s="1" t="n">
        <v>45512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14626-2024</t>
        </is>
      </c>
      <c r="B576" s="1" t="n">
        <v>45397</v>
      </c>
      <c r="C576" s="1" t="n">
        <v>45512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15298-2024</t>
        </is>
      </c>
      <c r="B577" s="1" t="n">
        <v>45400</v>
      </c>
      <c r="C577" s="1" t="n">
        <v>45512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15542-2024</t>
        </is>
      </c>
      <c r="B578" s="1" t="n">
        <v>45401</v>
      </c>
      <c r="C578" s="1" t="n">
        <v>45512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15539-2024</t>
        </is>
      </c>
      <c r="B579" s="1" t="n">
        <v>45401</v>
      </c>
      <c r="C579" s="1" t="n">
        <v>45512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15512-2024</t>
        </is>
      </c>
      <c r="B580" s="1" t="n">
        <v>45401</v>
      </c>
      <c r="C580" s="1" t="n">
        <v>45512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15541-2024</t>
        </is>
      </c>
      <c r="B581" s="1" t="n">
        <v>45401</v>
      </c>
      <c r="C581" s="1" t="n">
        <v>45512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15561-2024</t>
        </is>
      </c>
      <c r="B582" s="1" t="n">
        <v>45401</v>
      </c>
      <c r="C582" s="1" t="n">
        <v>45512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15540-2024</t>
        </is>
      </c>
      <c r="B583" s="1" t="n">
        <v>45401</v>
      </c>
      <c r="C583" s="1" t="n">
        <v>45512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15737-2024</t>
        </is>
      </c>
      <c r="B584" s="1" t="n">
        <v>45404</v>
      </c>
      <c r="C584" s="1" t="n">
        <v>45512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16088-2024</t>
        </is>
      </c>
      <c r="B585" s="1" t="n">
        <v>45406</v>
      </c>
      <c r="C585" s="1" t="n">
        <v>45512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16089-2024</t>
        </is>
      </c>
      <c r="B586" s="1" t="n">
        <v>45406</v>
      </c>
      <c r="C586" s="1" t="n">
        <v>45512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16358-2024</t>
        </is>
      </c>
      <c r="B587" s="1" t="n">
        <v>45407</v>
      </c>
      <c r="C587" s="1" t="n">
        <v>45512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16389-2024</t>
        </is>
      </c>
      <c r="B588" s="1" t="n">
        <v>45407</v>
      </c>
      <c r="C588" s="1" t="n">
        <v>45512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16393-2024</t>
        </is>
      </c>
      <c r="B589" s="1" t="n">
        <v>45407</v>
      </c>
      <c r="C589" s="1" t="n">
        <v>45512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16397-2024</t>
        </is>
      </c>
      <c r="B590" s="1" t="n">
        <v>45407</v>
      </c>
      <c r="C590" s="1" t="n">
        <v>45512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16394-2024</t>
        </is>
      </c>
      <c r="B591" s="1" t="n">
        <v>45407</v>
      </c>
      <c r="C591" s="1" t="n">
        <v>45512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16356-2024</t>
        </is>
      </c>
      <c r="B592" s="1" t="n">
        <v>45407</v>
      </c>
      <c r="C592" s="1" t="n">
        <v>45512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16400-2024</t>
        </is>
      </c>
      <c r="B593" s="1" t="n">
        <v>45407</v>
      </c>
      <c r="C593" s="1" t="n">
        <v>45512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16524-2024</t>
        </is>
      </c>
      <c r="B594" s="1" t="n">
        <v>45408</v>
      </c>
      <c r="C594" s="1" t="n">
        <v>45512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16523-2024</t>
        </is>
      </c>
      <c r="B595" s="1" t="n">
        <v>45408</v>
      </c>
      <c r="C595" s="1" t="n">
        <v>45512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16729-2024</t>
        </is>
      </c>
      <c r="B596" s="1" t="n">
        <v>45410</v>
      </c>
      <c r="C596" s="1" t="n">
        <v>45512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17374-2024</t>
        </is>
      </c>
      <c r="B597" s="1" t="n">
        <v>45414</v>
      </c>
      <c r="C597" s="1" t="n">
        <v>45512</v>
      </c>
      <c r="D597" t="inlineStr">
        <is>
          <t>VÄSTMANLANDS LÄN</t>
        </is>
      </c>
      <c r="E597" t="inlineStr">
        <is>
          <t>SKINNSKATTEBERG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17470-2024</t>
        </is>
      </c>
      <c r="B598" s="1" t="n">
        <v>45415</v>
      </c>
      <c r="C598" s="1" t="n">
        <v>45512</v>
      </c>
      <c r="D598" t="inlineStr">
        <is>
          <t>VÄSTMANLANDS LÄN</t>
        </is>
      </c>
      <c r="E598" t="inlineStr">
        <is>
          <t>SKINNSKATTEBERG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17783-2024</t>
        </is>
      </c>
      <c r="B599" s="1" t="n">
        <v>45418</v>
      </c>
      <c r="C599" s="1" t="n">
        <v>45512</v>
      </c>
      <c r="D599" t="inlineStr">
        <is>
          <t>VÄSTMANLANDS LÄN</t>
        </is>
      </c>
      <c r="E599" t="inlineStr">
        <is>
          <t>SKINNSKATTEBERG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18142-2024</t>
        </is>
      </c>
      <c r="B600" s="1" t="n">
        <v>45420</v>
      </c>
      <c r="C600" s="1" t="n">
        <v>45512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18136-2024</t>
        </is>
      </c>
      <c r="B601" s="1" t="n">
        <v>45420</v>
      </c>
      <c r="C601" s="1" t="n">
        <v>45512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18140-2024</t>
        </is>
      </c>
      <c r="B602" s="1" t="n">
        <v>45420</v>
      </c>
      <c r="C602" s="1" t="n">
        <v>45512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18144-2024</t>
        </is>
      </c>
      <c r="B603" s="1" t="n">
        <v>45420</v>
      </c>
      <c r="C603" s="1" t="n">
        <v>45512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18161-2024</t>
        </is>
      </c>
      <c r="B604" s="1" t="n">
        <v>45420</v>
      </c>
      <c r="C604" s="1" t="n">
        <v>45512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18163-2024</t>
        </is>
      </c>
      <c r="B605" s="1" t="n">
        <v>45420</v>
      </c>
      <c r="C605" s="1" t="n">
        <v>45512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18517-2024</t>
        </is>
      </c>
      <c r="B606" s="1" t="n">
        <v>45425</v>
      </c>
      <c r="C606" s="1" t="n">
        <v>45512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18516-2024</t>
        </is>
      </c>
      <c r="B607" s="1" t="n">
        <v>45425</v>
      </c>
      <c r="C607" s="1" t="n">
        <v>45512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18518-2024</t>
        </is>
      </c>
      <c r="B608" s="1" t="n">
        <v>45425</v>
      </c>
      <c r="C608" s="1" t="n">
        <v>45512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19201-2024</t>
        </is>
      </c>
      <c r="B609" s="1" t="n">
        <v>45428</v>
      </c>
      <c r="C609" s="1" t="n">
        <v>45512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19205-2024</t>
        </is>
      </c>
      <c r="B610" s="1" t="n">
        <v>45428</v>
      </c>
      <c r="C610" s="1" t="n">
        <v>45512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19202-2024</t>
        </is>
      </c>
      <c r="B611" s="1" t="n">
        <v>45428</v>
      </c>
      <c r="C611" s="1" t="n">
        <v>45512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19203-2024</t>
        </is>
      </c>
      <c r="B612" s="1" t="n">
        <v>45428</v>
      </c>
      <c r="C612" s="1" t="n">
        <v>45512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19398-2024</t>
        </is>
      </c>
      <c r="B613" s="1" t="n">
        <v>45429</v>
      </c>
      <c r="C613" s="1" t="n">
        <v>45512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19386-2024</t>
        </is>
      </c>
      <c r="B614" s="1" t="n">
        <v>45429</v>
      </c>
      <c r="C614" s="1" t="n">
        <v>45512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19519-2024</t>
        </is>
      </c>
      <c r="B615" s="1" t="n">
        <v>45429</v>
      </c>
      <c r="C615" s="1" t="n">
        <v>45512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19518-2024</t>
        </is>
      </c>
      <c r="B616" s="1" t="n">
        <v>45429</v>
      </c>
      <c r="C616" s="1" t="n">
        <v>45512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20242-2024</t>
        </is>
      </c>
      <c r="B617" s="1" t="n">
        <v>45434</v>
      </c>
      <c r="C617" s="1" t="n">
        <v>45512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20213-2024</t>
        </is>
      </c>
      <c r="B618" s="1" t="n">
        <v>45434</v>
      </c>
      <c r="C618" s="1" t="n">
        <v>45512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20245-2024</t>
        </is>
      </c>
      <c r="B619" s="1" t="n">
        <v>45434</v>
      </c>
      <c r="C619" s="1" t="n">
        <v>45512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20243-2024</t>
        </is>
      </c>
      <c r="B620" s="1" t="n">
        <v>45434</v>
      </c>
      <c r="C620" s="1" t="n">
        <v>45512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20247-2024</t>
        </is>
      </c>
      <c r="B621" s="1" t="n">
        <v>45434</v>
      </c>
      <c r="C621" s="1" t="n">
        <v>45512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20212-2024</t>
        </is>
      </c>
      <c r="B622" s="1" t="n">
        <v>45434</v>
      </c>
      <c r="C622" s="1" t="n">
        <v>45512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20244-2024</t>
        </is>
      </c>
      <c r="B623" s="1" t="n">
        <v>45434</v>
      </c>
      <c r="C623" s="1" t="n">
        <v>45512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20248-2024</t>
        </is>
      </c>
      <c r="B624" s="1" t="n">
        <v>45434</v>
      </c>
      <c r="C624" s="1" t="n">
        <v>45512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20430-2024</t>
        </is>
      </c>
      <c r="B625" s="1" t="n">
        <v>45435</v>
      </c>
      <c r="C625" s="1" t="n">
        <v>45512</v>
      </c>
      <c r="D625" t="inlineStr">
        <is>
          <t>VÄSTMANLANDS LÄN</t>
        </is>
      </c>
      <c r="E625" t="inlineStr">
        <is>
          <t>SKINNSKATTEBERG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20379-2024</t>
        </is>
      </c>
      <c r="B626" s="1" t="n">
        <v>45435</v>
      </c>
      <c r="C626" s="1" t="n">
        <v>45512</v>
      </c>
      <c r="D626" t="inlineStr">
        <is>
          <t>VÄSTMANLANDS LÄN</t>
        </is>
      </c>
      <c r="E626" t="inlineStr">
        <is>
          <t>SKINNSKATTEBERG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20330-2024</t>
        </is>
      </c>
      <c r="B627" s="1" t="n">
        <v>45435</v>
      </c>
      <c r="C627" s="1" t="n">
        <v>45512</v>
      </c>
      <c r="D627" t="inlineStr">
        <is>
          <t>VÄSTMANLANDS LÄN</t>
        </is>
      </c>
      <c r="E627" t="inlineStr">
        <is>
          <t>SKINNSKATTEBERG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20584-2024</t>
        </is>
      </c>
      <c r="B628" s="1" t="n">
        <v>45436</v>
      </c>
      <c r="C628" s="1" t="n">
        <v>45512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20937-2024</t>
        </is>
      </c>
      <c r="B629" s="1" t="n">
        <v>45439</v>
      </c>
      <c r="C629" s="1" t="n">
        <v>45512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21578-2024</t>
        </is>
      </c>
      <c r="B630" s="1" t="n">
        <v>45441</v>
      </c>
      <c r="C630" s="1" t="n">
        <v>45512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22079-2024</t>
        </is>
      </c>
      <c r="B631" s="1" t="n">
        <v>45443</v>
      </c>
      <c r="C631" s="1" t="n">
        <v>45512</v>
      </c>
      <c r="D631" t="inlineStr">
        <is>
          <t>VÄSTMANLANDS LÄN</t>
        </is>
      </c>
      <c r="E631" t="inlineStr">
        <is>
          <t>SKINNSKATTEBERG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21887-2024</t>
        </is>
      </c>
      <c r="B632" s="1" t="n">
        <v>45443</v>
      </c>
      <c r="C632" s="1" t="n">
        <v>45512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22591-2024</t>
        </is>
      </c>
      <c r="B633" s="1" t="n">
        <v>45447</v>
      </c>
      <c r="C633" s="1" t="n">
        <v>45512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22605-2024</t>
        </is>
      </c>
      <c r="B634" s="1" t="n">
        <v>45447</v>
      </c>
      <c r="C634" s="1" t="n">
        <v>45512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22611-2024</t>
        </is>
      </c>
      <c r="B635" s="1" t="n">
        <v>45447</v>
      </c>
      <c r="C635" s="1" t="n">
        <v>45512</v>
      </c>
      <c r="D635" t="inlineStr">
        <is>
          <t>VÄSTMANLANDS LÄN</t>
        </is>
      </c>
      <c r="E635" t="inlineStr">
        <is>
          <t>SKINNSKATTEBERG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22607-2024</t>
        </is>
      </c>
      <c r="B636" s="1" t="n">
        <v>45447</v>
      </c>
      <c r="C636" s="1" t="n">
        <v>45512</v>
      </c>
      <c r="D636" t="inlineStr">
        <is>
          <t>VÄSTMANLANDS LÄN</t>
        </is>
      </c>
      <c r="E636" t="inlineStr">
        <is>
          <t>SKINNSKATTEBERG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23113-2024</t>
        </is>
      </c>
      <c r="B637" s="1" t="n">
        <v>45450</v>
      </c>
      <c r="C637" s="1" t="n">
        <v>45512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23715-2024</t>
        </is>
      </c>
      <c r="B638" s="1" t="n">
        <v>45454</v>
      </c>
      <c r="C638" s="1" t="n">
        <v>45512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23894-2024</t>
        </is>
      </c>
      <c r="B639" s="1" t="n">
        <v>45455</v>
      </c>
      <c r="C639" s="1" t="n">
        <v>45512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24133-2024</t>
        </is>
      </c>
      <c r="B640" s="1" t="n">
        <v>45456</v>
      </c>
      <c r="C640" s="1" t="n">
        <v>45512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24369-2024</t>
        </is>
      </c>
      <c r="B641" s="1" t="n">
        <v>45457</v>
      </c>
      <c r="C641" s="1" t="n">
        <v>45512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24385-2024</t>
        </is>
      </c>
      <c r="B642" s="1" t="n">
        <v>45457</v>
      </c>
      <c r="C642" s="1" t="n">
        <v>45512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24360-2024</t>
        </is>
      </c>
      <c r="B643" s="1" t="n">
        <v>45457</v>
      </c>
      <c r="C643" s="1" t="n">
        <v>45512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24364-2024</t>
        </is>
      </c>
      <c r="B644" s="1" t="n">
        <v>45457</v>
      </c>
      <c r="C644" s="1" t="n">
        <v>45512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24367-2024</t>
        </is>
      </c>
      <c r="B645" s="1" t="n">
        <v>45457</v>
      </c>
      <c r="C645" s="1" t="n">
        <v>45512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24371-2024</t>
        </is>
      </c>
      <c r="B646" s="1" t="n">
        <v>45457</v>
      </c>
      <c r="C646" s="1" t="n">
        <v>45512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24379-2024</t>
        </is>
      </c>
      <c r="B647" s="1" t="n">
        <v>45457</v>
      </c>
      <c r="C647" s="1" t="n">
        <v>45512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25222-2024</t>
        </is>
      </c>
      <c r="B648" s="1" t="n">
        <v>45462</v>
      </c>
      <c r="C648" s="1" t="n">
        <v>45512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25284-2024</t>
        </is>
      </c>
      <c r="B649" s="1" t="n">
        <v>45462</v>
      </c>
      <c r="C649" s="1" t="n">
        <v>45512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25586-2024</t>
        </is>
      </c>
      <c r="B650" s="1" t="n">
        <v>45463</v>
      </c>
      <c r="C650" s="1" t="n">
        <v>45512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25589-2024</t>
        </is>
      </c>
      <c r="B651" s="1" t="n">
        <v>45463</v>
      </c>
      <c r="C651" s="1" t="n">
        <v>45512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26557-2024</t>
        </is>
      </c>
      <c r="B652" s="1" t="n">
        <v>45469</v>
      </c>
      <c r="C652" s="1" t="n">
        <v>45512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27564-2024</t>
        </is>
      </c>
      <c r="B653" s="1" t="n">
        <v>45474</v>
      </c>
      <c r="C653" s="1" t="n">
        <v>45512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27565-2024</t>
        </is>
      </c>
      <c r="B654" s="1" t="n">
        <v>45474</v>
      </c>
      <c r="C654" s="1" t="n">
        <v>45512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28058-2024</t>
        </is>
      </c>
      <c r="B655" s="1" t="n">
        <v>45476</v>
      </c>
      <c r="C655" s="1" t="n">
        <v>45512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28060-2024</t>
        </is>
      </c>
      <c r="B656" s="1" t="n">
        <v>45476</v>
      </c>
      <c r="C656" s="1" t="n">
        <v>45512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28056-2024</t>
        </is>
      </c>
      <c r="B657" s="1" t="n">
        <v>45476</v>
      </c>
      <c r="C657" s="1" t="n">
        <v>45512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28278-2024</t>
        </is>
      </c>
      <c r="B658" s="1" t="n">
        <v>45477</v>
      </c>
      <c r="C658" s="1" t="n">
        <v>45512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28233-2024</t>
        </is>
      </c>
      <c r="B659" s="1" t="n">
        <v>45477</v>
      </c>
      <c r="C659" s="1" t="n">
        <v>45512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28188-2024</t>
        </is>
      </c>
      <c r="B660" s="1" t="n">
        <v>45477</v>
      </c>
      <c r="C660" s="1" t="n">
        <v>45512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28941-2024</t>
        </is>
      </c>
      <c r="B661" s="1" t="n">
        <v>45480</v>
      </c>
      <c r="C661" s="1" t="n">
        <v>45512</v>
      </c>
      <c r="D661" t="inlineStr">
        <is>
          <t>VÄSTMANLANDS LÄN</t>
        </is>
      </c>
      <c r="E661" t="inlineStr">
        <is>
          <t>SKINNSKATTEBERG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28940-2024</t>
        </is>
      </c>
      <c r="B662" s="1" t="n">
        <v>45480</v>
      </c>
      <c r="C662" s="1" t="n">
        <v>45512</v>
      </c>
      <c r="D662" t="inlineStr">
        <is>
          <t>VÄSTMANLANDS LÄN</t>
        </is>
      </c>
      <c r="E662" t="inlineStr">
        <is>
          <t>SKINNSKATTEBERG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29711-2024</t>
        </is>
      </c>
      <c r="B663" s="1" t="n">
        <v>45485</v>
      </c>
      <c r="C663" s="1" t="n">
        <v>45512</v>
      </c>
      <c r="D663" t="inlineStr">
        <is>
          <t>VÄSTMANLANDS LÄN</t>
        </is>
      </c>
      <c r="E663" t="inlineStr">
        <is>
          <t>SKINNSKATTEBERG</t>
        </is>
      </c>
      <c r="G663" t="n">
        <v>11.4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29705-2024</t>
        </is>
      </c>
      <c r="B664" s="1" t="n">
        <v>45485</v>
      </c>
      <c r="C664" s="1" t="n">
        <v>45512</v>
      </c>
      <c r="D664" t="inlineStr">
        <is>
          <t>VÄSTMANLANDS LÄN</t>
        </is>
      </c>
      <c r="E664" t="inlineStr">
        <is>
          <t>SKINNSKATTEBERG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29829-2024</t>
        </is>
      </c>
      <c r="B665" s="1" t="n">
        <v>45485</v>
      </c>
      <c r="C665" s="1" t="n">
        <v>45512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29830-2024</t>
        </is>
      </c>
      <c r="B666" s="1" t="n">
        <v>45485</v>
      </c>
      <c r="C666" s="1" t="n">
        <v>45512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29831-2024</t>
        </is>
      </c>
      <c r="B667" s="1" t="n">
        <v>45485</v>
      </c>
      <c r="C667" s="1" t="n">
        <v>45512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29708-2024</t>
        </is>
      </c>
      <c r="B668" s="1" t="n">
        <v>45485</v>
      </c>
      <c r="C668" s="1" t="n">
        <v>45512</v>
      </c>
      <c r="D668" t="inlineStr">
        <is>
          <t>VÄSTMANLANDS LÄN</t>
        </is>
      </c>
      <c r="E668" t="inlineStr">
        <is>
          <t>SKINNSKATTEBERG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30532-2024</t>
        </is>
      </c>
      <c r="B669" s="1" t="n">
        <v>45492</v>
      </c>
      <c r="C669" s="1" t="n">
        <v>45512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30531-2024</t>
        </is>
      </c>
      <c r="B670" s="1" t="n">
        <v>45492</v>
      </c>
      <c r="C670" s="1" t="n">
        <v>45512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30653-2024</t>
        </is>
      </c>
      <c r="B671" s="1" t="n">
        <v>45495</v>
      </c>
      <c r="C671" s="1" t="n">
        <v>45512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30836-2024</t>
        </is>
      </c>
      <c r="B672" s="1" t="n">
        <v>45497</v>
      </c>
      <c r="C672" s="1" t="n">
        <v>45512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30835-2024</t>
        </is>
      </c>
      <c r="B673" s="1" t="n">
        <v>45497</v>
      </c>
      <c r="C673" s="1" t="n">
        <v>45512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30837-2024</t>
        </is>
      </c>
      <c r="B674" s="1" t="n">
        <v>45497</v>
      </c>
      <c r="C674" s="1" t="n">
        <v>45512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30838-2024</t>
        </is>
      </c>
      <c r="B675" s="1" t="n">
        <v>45497</v>
      </c>
      <c r="C675" s="1" t="n">
        <v>45512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30998-2024</t>
        </is>
      </c>
      <c r="B676" s="1" t="n">
        <v>45499</v>
      </c>
      <c r="C676" s="1" t="n">
        <v>45512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30999-2024</t>
        </is>
      </c>
      <c r="B677" s="1" t="n">
        <v>45499</v>
      </c>
      <c r="C677" s="1" t="n">
        <v>45512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31105-2024</t>
        </is>
      </c>
      <c r="B678" s="1" t="n">
        <v>45502</v>
      </c>
      <c r="C678" s="1" t="n">
        <v>45512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31274-2024</t>
        </is>
      </c>
      <c r="B679" s="1" t="n">
        <v>45504</v>
      </c>
      <c r="C679" s="1" t="n">
        <v>45512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Allmännings- och besparingsskogar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31302-2024</t>
        </is>
      </c>
      <c r="B680" s="1" t="n">
        <v>45504</v>
      </c>
      <c r="C680" s="1" t="n">
        <v>45512</v>
      </c>
      <c r="D680" t="inlineStr">
        <is>
          <t>VÄSTMANLANDS LÄN</t>
        </is>
      </c>
      <c r="E680" t="inlineStr">
        <is>
          <t>SKINNSKATTEBERG</t>
        </is>
      </c>
      <c r="G680" t="n">
        <v>17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31407-2024</t>
        </is>
      </c>
      <c r="B681" s="1" t="n">
        <v>45505</v>
      </c>
      <c r="C681" s="1" t="n">
        <v>45512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31617-2024</t>
        </is>
      </c>
      <c r="B682" s="1" t="n">
        <v>45506</v>
      </c>
      <c r="C682" s="1" t="n">
        <v>45512</v>
      </c>
      <c r="D682" t="inlineStr">
        <is>
          <t>VÄSTMANLANDS LÄN</t>
        </is>
      </c>
      <c r="E682" t="inlineStr">
        <is>
          <t>SKINNSKATTEBERG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31629-2024</t>
        </is>
      </c>
      <c r="B683" s="1" t="n">
        <v>45506</v>
      </c>
      <c r="C683" s="1" t="n">
        <v>45512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32024-2024</t>
        </is>
      </c>
      <c r="B684" s="1" t="n">
        <v>45510</v>
      </c>
      <c r="C684" s="1" t="n">
        <v>45512</v>
      </c>
      <c r="D684" t="inlineStr">
        <is>
          <t>VÄSTMANLANDS LÄN</t>
        </is>
      </c>
      <c r="E684" t="inlineStr">
        <is>
          <t>SKINNSKATTEBERG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32153-2024</t>
        </is>
      </c>
      <c r="B685" s="1" t="n">
        <v>45511</v>
      </c>
      <c r="C685" s="1" t="n">
        <v>45512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2024-08-08T10:03:40Z</dcterms:created>
  <dcterms:modified xmlns:dcterms="http://purl.org/dc/terms/" xmlns:xsi="http://www.w3.org/2001/XMLSchema-instance" xsi:type="dcterms:W3CDTF">2024-08-08T10:03:40Z</dcterms:modified>
</cp:coreProperties>
</file>