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482-2024</t>
        </is>
      </c>
      <c r="B2" t="inlineStr">
        <is>
          <t>samrådsanmälan</t>
        </is>
      </c>
      <c r="C2" t="inlineStr">
        <is>
          <t>Skogsgödsling</t>
        </is>
      </c>
      <c r="D2" s="1" t="n">
        <v>45343</v>
      </c>
      <c r="E2" s="1" t="n">
        <v>46324</v>
      </c>
      <c r="F2" t="inlineStr">
        <is>
          <t>VÄSTMANLANDS LÄN</t>
        </is>
      </c>
      <c r="G2" t="inlineStr">
        <is>
          <t>SKINNSKATTEBERG</t>
        </is>
      </c>
      <c r="H2" t="inlineStr">
        <is>
          <t>Sveaskog</t>
        </is>
      </c>
      <c r="I2" t="n">
        <v>1232.4</v>
      </c>
      <c r="J2" t="n">
        <v>8</v>
      </c>
      <c r="K2" t="n">
        <v>5</v>
      </c>
      <c r="L2" t="n">
        <v>8</v>
      </c>
      <c r="M2" t="n">
        <v>2</v>
      </c>
      <c r="N2" t="n">
        <v>0</v>
      </c>
      <c r="O2" t="n">
        <v>0</v>
      </c>
      <c r="P2" t="n">
        <v>0</v>
      </c>
      <c r="Q2" t="n">
        <v>10</v>
      </c>
      <c r="R2" t="n">
        <v>2</v>
      </c>
      <c r="S2" t="n">
        <v>20</v>
      </c>
      <c r="T2" t="n">
        <v>28</v>
      </c>
      <c r="U2" t="n">
        <v>12</v>
      </c>
      <c r="V2" s="2" t="inlineStr">
        <is>
          <t>Blåbrun spindling
Gyllenspindling
Dofttaggsvamp
Drillsnäppa
Orange taggsvamp
Skogshare
Tretåig hackspett
Ullticka
Vedskivlav
Vitfläckig guldvinge
Grönpyrola
Plattlummer
Strimspindling
Vätteros
Zontaggsvamp
Mattlummer
Tjäder
Fläcknycklar
Grönvit nattviol
Revlummer</t>
        </is>
      </c>
      <c r="W2">
        <f>HYPERLINK("https://klasma.github.io/Logging_1904/artfynd/S 482-2024 artfynd.xlsx", "S 482-2024")</f>
        <v/>
      </c>
      <c r="X2">
        <f>HYPERLINK("https://klasma.github.io/Logging_1904/kartor/S 482-2024 karta.png", "S 482-2024")</f>
        <v/>
      </c>
      <c r="Y2">
        <f>HYPERLINK("https://klasma.github.io/Logging_1904/kartor_geotiff/S 482-2024 georefererad karta.tif", "S 482-2024")</f>
        <v/>
      </c>
      <c r="AA2">
        <f>HYPERLINK("https://klasma.github.io/Logging_1904/klagomål/S 482-2024 FSC-klagomål.docx", "S 482-2024")</f>
        <v/>
      </c>
      <c r="AB2">
        <f>HYPERLINK("https://klasma.github.io/Logging_1904/klagomålsmail/S 482-2024 FSC-klagomål mail.docx", "S 482-2024")</f>
        <v/>
      </c>
      <c r="AC2">
        <f>HYPERLINK("https://klasma.github.io/Logging_1904/tillsyn/S 482-2024 tillsynsbegäran.docx", "S 482-2024")</f>
        <v/>
      </c>
      <c r="AD2">
        <f>HYPERLINK("https://klasma.github.io/Logging_1904/tillsynsmail/S 482-2024 tillsynsbegäran mail.docx", "S 482-2024")</f>
        <v/>
      </c>
      <c r="AE2">
        <f>HYPERLINK("https://klasma.github.io/Logging_1904/fåglar/S 482-2024 prioriterade fågelarter.docx", "S 482-2024")</f>
        <v/>
      </c>
    </row>
    <row r="3" ht="15" customHeight="1">
      <c r="A3" t="inlineStr">
        <is>
          <t>A 23016-2024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45450</v>
      </c>
      <c r="E3" s="1" t="n">
        <v>46324</v>
      </c>
      <c r="F3" t="inlineStr">
        <is>
          <t>VÄSTMANLANDS LÄN</t>
        </is>
      </c>
      <c r="G3" t="inlineStr">
        <is>
          <t>SKINNSKATTEBERG</t>
        </is>
      </c>
      <c r="H3" t="inlineStr">
        <is>
          <t>Kommuner</t>
        </is>
      </c>
      <c r="I3" t="n">
        <v>5.8</v>
      </c>
      <c r="J3" t="n">
        <v>14</v>
      </c>
      <c r="K3" t="n">
        <v>0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5</v>
      </c>
      <c r="R3" t="n">
        <v>0</v>
      </c>
      <c r="S3" t="n">
        <v>15</v>
      </c>
      <c r="T3" t="n">
        <v>15</v>
      </c>
      <c r="U3" t="n">
        <v>3</v>
      </c>
      <c r="V3" s="2" t="inlineStr">
        <is>
          <t>Entita
Grönsångare
Sparvuggla
Svinrot
Tretåig hackspett
Järpe
Spillkråka
Gröngöling
Grönsiska
Svartvit flugsnappare
Sångsvan
Fläcknycklar
Grönvit nattviol
Nattviol
Nattviol × grönvit nattviol</t>
        </is>
      </c>
      <c r="W3">
        <f>HYPERLINK("https://klasma.github.io/Logging_1904/artfynd/A 23016-2024 artfynd.xlsx", "A 23016-2024")</f>
        <v/>
      </c>
      <c r="X3">
        <f>HYPERLINK("https://klasma.github.io/Logging_1904/kartor/A 23016-2024 karta.png", "A 23016-2024")</f>
        <v/>
      </c>
      <c r="Y3">
        <f>HYPERLINK("https://klasma.github.io/Logging_1904/kartor_geotiff/A 23016-2024 georefererad karta.tif", "A 23016-2024")</f>
        <v/>
      </c>
      <c r="AA3">
        <f>HYPERLINK("https://klasma.github.io/Logging_1904/klagomål/A 23016-2024 FSC-klagomål.docx", "A 23016-2024")</f>
        <v/>
      </c>
      <c r="AB3">
        <f>HYPERLINK("https://klasma.github.io/Logging_1904/klagomålsmail/A 23016-2024 FSC-klagomål mail.docx", "A 23016-2024")</f>
        <v/>
      </c>
      <c r="AC3">
        <f>HYPERLINK("https://klasma.github.io/Logging_1904/tillsyn/A 23016-2024 tillsynsbegäran.docx", "A 23016-2024")</f>
        <v/>
      </c>
      <c r="AD3">
        <f>HYPERLINK("https://klasma.github.io/Logging_1904/tillsynsmail/A 23016-2024 tillsynsbegäran mail.docx", "A 23016-2024")</f>
        <v/>
      </c>
      <c r="AE3">
        <f>HYPERLINK("https://klasma.github.io/Logging_1904/fåglar/A 23016-2024 prioriterade fågelarter.docx", "A 23016-2024")</f>
        <v/>
      </c>
    </row>
    <row r="4" ht="15" customHeight="1">
      <c r="A4" t="inlineStr">
        <is>
          <t>A 34243-2026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46253</v>
      </c>
      <c r="E4" s="1" t="n">
        <v>46324</v>
      </c>
      <c r="F4" t="inlineStr">
        <is>
          <t>VÄSTMANLANDS LÄN</t>
        </is>
      </c>
      <c r="G4" t="inlineStr">
        <is>
          <t>SKINNSKATTEBERG</t>
        </is>
      </c>
      <c r="I4" t="n">
        <v>6.7</v>
      </c>
      <c r="J4" t="n">
        <v>6</v>
      </c>
      <c r="K4" t="n">
        <v>2</v>
      </c>
      <c r="L4" t="n">
        <v>3</v>
      </c>
      <c r="M4" t="n">
        <v>0</v>
      </c>
      <c r="N4" t="n">
        <v>1</v>
      </c>
      <c r="O4" t="n">
        <v>0</v>
      </c>
      <c r="P4" t="n">
        <v>0</v>
      </c>
      <c r="Q4" t="n">
        <v>4</v>
      </c>
      <c r="R4" t="n">
        <v>1</v>
      </c>
      <c r="S4" t="n">
        <v>11</v>
      </c>
      <c r="T4" t="n">
        <v>18</v>
      </c>
      <c r="U4" t="n">
        <v>6</v>
      </c>
      <c r="V4" s="2" t="inlineStr">
        <is>
          <t>Skogsalm
Kandelabersvamp
Mindre hackspett
Tallticka
Grovticka
Svart trolldruva
Blåsippa
Hårklomossa
Spillkråka
Sävsparv
Trana</t>
        </is>
      </c>
      <c r="W4">
        <f>HYPERLINK("https://klasma.github.io/Logging_1904/artfynd/A 34243-2026 artfynd.xlsx", "A 34243-2026")</f>
        <v/>
      </c>
      <c r="X4">
        <f>HYPERLINK("https://klasma.github.io/Logging_1904/kartor/A 34243-2026 karta.png", "A 34243-2026")</f>
        <v/>
      </c>
      <c r="Y4">
        <f>HYPERLINK("https://klasma.github.io/Logging_1904/kartor_geotiff/A 34243-2026 georefererad karta.tif", "A 34243-2026")</f>
        <v/>
      </c>
      <c r="AA4">
        <f>HYPERLINK("https://klasma.github.io/Logging_1904/klagomål/A 34243-2026 FSC-klagomål.docx", "A 34243-2026")</f>
        <v/>
      </c>
      <c r="AB4">
        <f>HYPERLINK("https://klasma.github.io/Logging_1904/klagomålsmail/A 34243-2026 FSC-klagomål mail.docx", "A 34243-2026")</f>
        <v/>
      </c>
      <c r="AC4">
        <f>HYPERLINK("https://klasma.github.io/Logging_1904/tillsyn/A 34243-2026 tillsynsbegäran.docx", "A 34243-2026")</f>
        <v/>
      </c>
      <c r="AD4">
        <f>HYPERLINK("https://klasma.github.io/Logging_1904/tillsynsmail/A 34243-2026 tillsynsbegäran mail.docx", "A 34243-2026")</f>
        <v/>
      </c>
      <c r="AE4">
        <f>HYPERLINK("https://klasma.github.io/Logging_1904/fåglar/A 34243-2026 prioriterade fågelarter.docx", "A 34243-2026")</f>
        <v/>
      </c>
    </row>
    <row r="5" ht="15" customHeight="1">
      <c r="A5" t="inlineStr">
        <is>
          <t>S 3570-2025</t>
        </is>
      </c>
      <c r="B5" t="inlineStr">
        <is>
          <t>samrådsanmälan</t>
        </is>
      </c>
      <c r="C5" t="inlineStr">
        <is>
          <t>Skogsgödsling</t>
        </is>
      </c>
      <c r="D5" s="1" t="n">
        <v>46009</v>
      </c>
      <c r="E5" s="1" t="n">
        <v>46324</v>
      </c>
      <c r="F5" t="inlineStr">
        <is>
          <t>VÄSTMANLANDS LÄN</t>
        </is>
      </c>
      <c r="G5" t="inlineStr">
        <is>
          <t>SKINNSKATTEBERG</t>
        </is>
      </c>
      <c r="H5" t="inlineStr">
        <is>
          <t>Sveaskog</t>
        </is>
      </c>
      <c r="I5" t="n">
        <v>824.5</v>
      </c>
      <c r="J5" t="n">
        <v>5</v>
      </c>
      <c r="K5" t="n">
        <v>6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1</v>
      </c>
      <c r="S5" t="n">
        <v>11</v>
      </c>
      <c r="T5" t="n">
        <v>15</v>
      </c>
      <c r="U5" t="n">
        <v>1</v>
      </c>
      <c r="V5" s="2" t="inlineStr">
        <is>
          <t>Garnlav
Vedtrappmossa
Gräsull
Korallrot
Mörk husmossa
Smal svampklubba
Spindelblomster
Vedticka
Mindre vattensalamander
Fläcknycklar
Ängsnycklar</t>
        </is>
      </c>
      <c r="W5">
        <f>HYPERLINK("https://klasma.github.io/Logging_1904/artfynd/S 3570-2025 artfynd.xlsx", "S 3570-2025")</f>
        <v/>
      </c>
      <c r="X5">
        <f>HYPERLINK("https://klasma.github.io/Logging_1904/kartor/S 3570-2025 karta.png", "S 3570-2025")</f>
        <v/>
      </c>
      <c r="Y5">
        <f>HYPERLINK("https://klasma.github.io/Logging_1904/kartor_geotiff/S 3570-2025 georefererad karta.tif", "S 3570-2025")</f>
        <v/>
      </c>
      <c r="AA5">
        <f>HYPERLINK("https://klasma.github.io/Logging_1904/klagomål/S 3570-2025 FSC-klagomål.docx", "S 3570-2025")</f>
        <v/>
      </c>
      <c r="AB5">
        <f>HYPERLINK("https://klasma.github.io/Logging_1904/klagomålsmail/S 3570-2025 FSC-klagomål mail.docx", "S 3570-2025")</f>
        <v/>
      </c>
      <c r="AC5">
        <f>HYPERLINK("https://klasma.github.io/Logging_1904/tillsyn/S 3570-2025 tillsynsbegäran.docx", "S 3570-2025")</f>
        <v/>
      </c>
      <c r="AD5">
        <f>HYPERLINK("https://klasma.github.io/Logging_1904/tillsynsmail/S 3570-2025 tillsynsbegäran mail.docx", "S 3570-2025")</f>
        <v/>
      </c>
    </row>
    <row r="6" ht="15" customHeight="1">
      <c r="A6" t="inlineStr">
        <is>
          <t>A 39623-2026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46289</v>
      </c>
      <c r="E6" s="1" t="n">
        <v>46324</v>
      </c>
      <c r="F6" t="inlineStr">
        <is>
          <t>VÄSTMANLANDS LÄN</t>
        </is>
      </c>
      <c r="G6" t="inlineStr">
        <is>
          <t>SKINNSKATTEBERG</t>
        </is>
      </c>
      <c r="H6" t="inlineStr">
        <is>
          <t>Sveaskog</t>
        </is>
      </c>
      <c r="I6" t="n">
        <v>4.4</v>
      </c>
      <c r="J6" t="n">
        <v>1</v>
      </c>
      <c r="K6" t="n">
        <v>2</v>
      </c>
      <c r="L6" t="n">
        <v>4</v>
      </c>
      <c r="M6" t="n">
        <v>2</v>
      </c>
      <c r="N6" t="n">
        <v>0</v>
      </c>
      <c r="O6" t="n">
        <v>0</v>
      </c>
      <c r="P6" t="n">
        <v>0</v>
      </c>
      <c r="Q6" t="n">
        <v>6</v>
      </c>
      <c r="R6" t="n">
        <v>2</v>
      </c>
      <c r="S6" t="n">
        <v>9</v>
      </c>
      <c r="T6" t="n">
        <v>21</v>
      </c>
      <c r="U6" t="n">
        <v>5</v>
      </c>
      <c r="V6" s="2" t="inlineStr">
        <is>
          <t>Raggbock
Skrovlig taggsvamp
Motaggsvamp
Orange taggsvamp
Skarp dropptaggsvamp
Svartvit taggsvamp
Vätteros
Zontaggsvamp
Revlummer</t>
        </is>
      </c>
      <c r="W6">
        <f>HYPERLINK("https://klasma.github.io/Logging_1904/artfynd/A 39623-2026 artfynd.xlsx", "A 39623-2026")</f>
        <v/>
      </c>
      <c r="X6">
        <f>HYPERLINK("https://klasma.github.io/Logging_1904/kartor/A 39623-2026 karta.png", "A 39623-2026")</f>
        <v/>
      </c>
      <c r="Y6">
        <f>HYPERLINK("https://klasma.github.io/Logging_1904/kartor_geotiff/A 39623-2026 georefererad karta.tif", "A 39623-2026")</f>
        <v/>
      </c>
      <c r="AA6">
        <f>HYPERLINK("https://klasma.github.io/Logging_1904/klagomål/A 39623-2026 FSC-klagomål.docx", "A 39623-2026")</f>
        <v/>
      </c>
      <c r="AB6">
        <f>HYPERLINK("https://klasma.github.io/Logging_1904/klagomålsmail/A 39623-2026 FSC-klagomål mail.docx", "A 39623-2026")</f>
        <v/>
      </c>
      <c r="AC6">
        <f>HYPERLINK("https://klasma.github.io/Logging_1904/tillsyn/A 39623-2026 tillsynsbegäran.docx", "A 39623-2026")</f>
        <v/>
      </c>
      <c r="AD6">
        <f>HYPERLINK("https://klasma.github.io/Logging_1904/tillsynsmail/A 39623-2026 tillsynsbegäran mail.docx", "A 39623-2026")</f>
        <v/>
      </c>
    </row>
    <row r="7" ht="15" customHeight="1">
      <c r="A7" t="inlineStr">
        <is>
          <t>A 65300-2021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44515</v>
      </c>
      <c r="E7" s="1" t="n">
        <v>46324</v>
      </c>
      <c r="F7" t="inlineStr">
        <is>
          <t>VÄSTMANLANDS LÄN</t>
        </is>
      </c>
      <c r="G7" t="inlineStr">
        <is>
          <t>SKINNSKATTEBERG</t>
        </is>
      </c>
      <c r="I7" t="n">
        <v>30.2</v>
      </c>
      <c r="J7" t="n">
        <v>1</v>
      </c>
      <c r="K7" t="n">
        <v>3</v>
      </c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3</v>
      </c>
      <c r="R7" t="n">
        <v>1</v>
      </c>
      <c r="S7" t="n">
        <v>7</v>
      </c>
      <c r="T7" t="n">
        <v>8</v>
      </c>
      <c r="U7" t="n">
        <v>3</v>
      </c>
      <c r="V7" s="2" t="inlineStr">
        <is>
          <t>Aspgelélav
Lunglav
Ullticka
Bollvitmossa
Jättesvampmal
Platt fjädermossa
Blåsippa</t>
        </is>
      </c>
      <c r="W7">
        <f>HYPERLINK("https://klasma.github.io/Logging_1904/artfynd/A 65300-2021 artfynd.xlsx", "A 65300-2021")</f>
        <v/>
      </c>
      <c r="X7">
        <f>HYPERLINK("https://klasma.github.io/Logging_1904/kartor/A 65300-2021 karta.png", "A 65300-2021")</f>
        <v/>
      </c>
      <c r="Y7">
        <f>HYPERLINK("https://klasma.github.io/Logging_1904/kartor_geotiff/A 65300-2021 georefererad karta.tif", "A 65300-2021")</f>
        <v/>
      </c>
      <c r="AA7">
        <f>HYPERLINK("https://klasma.github.io/Logging_1904/klagomål/A 65300-2021 FSC-klagomål.docx", "A 65300-2021")</f>
        <v/>
      </c>
      <c r="AB7">
        <f>HYPERLINK("https://klasma.github.io/Logging_1904/klagomålsmail/A 65300-2021 FSC-klagomål mail.docx", "A 65300-2021")</f>
        <v/>
      </c>
      <c r="AC7">
        <f>HYPERLINK("https://klasma.github.io/Logging_1904/tillsyn/A 65300-2021 tillsynsbegäran.docx", "A 65300-2021")</f>
        <v/>
      </c>
      <c r="AD7">
        <f>HYPERLINK("https://klasma.github.io/Logging_1904/tillsynsmail/A 65300-2021 tillsynsbegäran mail.docx", "A 65300-2021")</f>
        <v/>
      </c>
    </row>
    <row r="8" ht="15" customHeight="1">
      <c r="A8" t="inlineStr">
        <is>
          <t>A 61212-2022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44908</v>
      </c>
      <c r="E8" s="1" t="n">
        <v>46324</v>
      </c>
      <c r="F8" t="inlineStr">
        <is>
          <t>VÄSTMANLANDS LÄN</t>
        </is>
      </c>
      <c r="G8" t="inlineStr">
        <is>
          <t>SKINNSKATTEBERG</t>
        </is>
      </c>
      <c r="I8" t="n">
        <v>17.4</v>
      </c>
      <c r="J8" t="n">
        <v>2</v>
      </c>
      <c r="K8" t="n">
        <v>0</v>
      </c>
      <c r="L8" t="n">
        <v>2</v>
      </c>
      <c r="M8" t="n">
        <v>1</v>
      </c>
      <c r="N8" t="n">
        <v>0</v>
      </c>
      <c r="O8" t="n">
        <v>0</v>
      </c>
      <c r="P8" t="n">
        <v>0</v>
      </c>
      <c r="Q8" t="n">
        <v>3</v>
      </c>
      <c r="R8" t="n">
        <v>1</v>
      </c>
      <c r="S8" t="n">
        <v>5</v>
      </c>
      <c r="T8" t="n">
        <v>10</v>
      </c>
      <c r="U8" t="n">
        <v>9</v>
      </c>
      <c r="V8" s="2" t="inlineStr">
        <is>
          <t>Grangråticka
Dofttaggsvamp
Tallticka
Blåsippa
Kråka</t>
        </is>
      </c>
      <c r="W8">
        <f>HYPERLINK("https://klasma.github.io/Logging_1904/artfynd/A 61212-2022 artfynd.xlsx", "A 61212-2022")</f>
        <v/>
      </c>
      <c r="X8">
        <f>HYPERLINK("https://klasma.github.io/Logging_1904/kartor/A 61212-2022 karta.png", "A 61212-2022")</f>
        <v/>
      </c>
      <c r="Y8">
        <f>HYPERLINK("https://klasma.github.io/Logging_1904/kartor_geotiff/A 61212-2022 georefererad karta.tif", "A 61212-2022")</f>
        <v/>
      </c>
      <c r="AA8">
        <f>HYPERLINK("https://klasma.github.io/Logging_1904/klagomål/A 61212-2022 FSC-klagomål.docx", "A 61212-2022")</f>
        <v/>
      </c>
      <c r="AB8">
        <f>HYPERLINK("https://klasma.github.io/Logging_1904/klagomålsmail/A 61212-2022 FSC-klagomål mail.docx", "A 61212-2022")</f>
        <v/>
      </c>
      <c r="AC8">
        <f>HYPERLINK("https://klasma.github.io/Logging_1904/tillsyn/A 61212-2022 tillsynsbegäran.docx", "A 61212-2022")</f>
        <v/>
      </c>
      <c r="AD8">
        <f>HYPERLINK("https://klasma.github.io/Logging_1904/tillsynsmail/A 61212-2022 tillsynsbegäran mail.docx", "A 61212-2022")</f>
        <v/>
      </c>
    </row>
    <row r="9" ht="15" customHeight="1">
      <c r="A9" t="inlineStr">
        <is>
          <t>A 21845-2026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46150</v>
      </c>
      <c r="E9" s="1" t="n">
        <v>46324</v>
      </c>
      <c r="F9" t="inlineStr">
        <is>
          <t>VÄSTMANLANDS LÄN</t>
        </is>
      </c>
      <c r="G9" t="inlineStr">
        <is>
          <t>SKINNSKATTEBERG</t>
        </is>
      </c>
      <c r="H9" t="inlineStr">
        <is>
          <t>Sveaskog</t>
        </is>
      </c>
      <c r="I9" t="n">
        <v>2.2</v>
      </c>
      <c r="J9" t="n">
        <v>0</v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5</v>
      </c>
      <c r="T9" t="n">
        <v>7</v>
      </c>
      <c r="U9" t="n">
        <v>7</v>
      </c>
      <c r="V9" s="2" t="inlineStr">
        <is>
          <t>Brunpudrad nållav
Vedtrappmossa
Gullgröppa
Vanlig flatbagge
Timmerticka</t>
        </is>
      </c>
      <c r="W9">
        <f>HYPERLINK("https://klasma.github.io/Logging_1904/artfynd/A 21845-2026 artfynd.xlsx", "A 21845-2026")</f>
        <v/>
      </c>
      <c r="X9">
        <f>HYPERLINK("https://klasma.github.io/Logging_1904/kartor/A 21845-2026 karta.png", "A 21845-2026")</f>
        <v/>
      </c>
      <c r="Y9">
        <f>HYPERLINK("https://klasma.github.io/Logging_1904/kartor_geotiff/A 21845-2026 georefererad karta.tif", "A 21845-2026")</f>
        <v/>
      </c>
      <c r="AA9">
        <f>HYPERLINK("https://klasma.github.io/Logging_1904/klagomål/A 21845-2026 FSC-klagomål.docx", "A 21845-2026")</f>
        <v/>
      </c>
      <c r="AB9">
        <f>HYPERLINK("https://klasma.github.io/Logging_1904/klagomålsmail/A 21845-2026 FSC-klagomål mail.docx", "A 21845-2026")</f>
        <v/>
      </c>
      <c r="AC9">
        <f>HYPERLINK("https://klasma.github.io/Logging_1904/tillsyn/A 21845-2026 tillsynsbegäran.docx", "A 21845-2026")</f>
        <v/>
      </c>
      <c r="AD9">
        <f>HYPERLINK("https://klasma.github.io/Logging_1904/tillsynsmail/A 21845-2026 tillsynsbegäran mail.docx", "A 21845-2026")</f>
        <v/>
      </c>
    </row>
    <row r="10" ht="15" customHeight="1">
      <c r="A10" t="inlineStr">
        <is>
          <t>A 34303-2026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46254</v>
      </c>
      <c r="E10" s="1" t="n">
        <v>46324</v>
      </c>
      <c r="F10" t="inlineStr">
        <is>
          <t>VÄSTMANLANDS LÄN</t>
        </is>
      </c>
      <c r="G10" t="inlineStr">
        <is>
          <t>SKINNSKATTEBERG</t>
        </is>
      </c>
      <c r="I10" t="n">
        <v>2</v>
      </c>
      <c r="J10" t="n">
        <v>0</v>
      </c>
      <c r="K10" t="n">
        <v>2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t="n">
        <v>2</v>
      </c>
      <c r="R10" t="n">
        <v>2</v>
      </c>
      <c r="S10" t="n">
        <v>5</v>
      </c>
      <c r="T10" t="n">
        <v>6</v>
      </c>
      <c r="U10" t="n">
        <v>5</v>
      </c>
      <c r="V10" s="2" t="inlineStr">
        <is>
          <t>Ask
Skogsalm
Svart trolldruva
Tibast
Brudborste</t>
        </is>
      </c>
      <c r="W10">
        <f>HYPERLINK("https://klasma.github.io/Logging_1904/artfynd/A 34303-2026 artfynd.xlsx", "A 34303-2026")</f>
        <v/>
      </c>
      <c r="X10">
        <f>HYPERLINK("https://klasma.github.io/Logging_1904/kartor/A 34303-2026 karta.png", "A 34303-2026")</f>
        <v/>
      </c>
      <c r="Y10">
        <f>HYPERLINK("https://klasma.github.io/Logging_1904/kartor_geotiff/A 34303-2026 georefererad karta.tif", "A 34303-2026")</f>
        <v/>
      </c>
      <c r="AA10">
        <f>HYPERLINK("https://klasma.github.io/Logging_1904/klagomål/A 34303-2026 FSC-klagomål.docx", "A 34303-2026")</f>
        <v/>
      </c>
      <c r="AB10">
        <f>HYPERLINK("https://klasma.github.io/Logging_1904/klagomålsmail/A 34303-2026 FSC-klagomål mail.docx", "A 34303-2026")</f>
        <v/>
      </c>
      <c r="AC10">
        <f>HYPERLINK("https://klasma.github.io/Logging_1904/tillsyn/A 34303-2026 tillsynsbegäran.docx", "A 34303-2026")</f>
        <v/>
      </c>
      <c r="AD10">
        <f>HYPERLINK("https://klasma.github.io/Logging_1904/tillsynsmail/A 34303-2026 tillsynsbegäran mail.docx", "A 34303-2026")</f>
        <v/>
      </c>
    </row>
    <row r="11" ht="15" customHeight="1">
      <c r="A11" t="inlineStr">
        <is>
          <t>A 36595-2024</t>
        </is>
      </c>
      <c r="B11" t="inlineStr">
        <is>
          <t>avverkningsanmälan</t>
        </is>
      </c>
      <c r="C11" t="inlineStr">
        <is>
          <t>Avverkning för att bevara och utveckla /försöksver</t>
        </is>
      </c>
      <c r="D11" s="1" t="n">
        <v>45537</v>
      </c>
      <c r="E11" s="1" t="n">
        <v>46324</v>
      </c>
      <c r="F11" t="inlineStr">
        <is>
          <t>VÄSTMANLANDS LÄN</t>
        </is>
      </c>
      <c r="G11" t="inlineStr">
        <is>
          <t>SKINNSKATTEBERG</t>
        </is>
      </c>
      <c r="H11" t="inlineStr">
        <is>
          <t>Sveaskog</t>
        </is>
      </c>
      <c r="I11" t="n">
        <v>1</v>
      </c>
      <c r="J11" t="n">
        <v>1</v>
      </c>
      <c r="K11" t="n">
        <v>0</v>
      </c>
      <c r="L11" t="n">
        <v>1</v>
      </c>
      <c r="M11" t="n">
        <v>3</v>
      </c>
      <c r="N11" t="n">
        <v>0</v>
      </c>
      <c r="O11" t="n">
        <v>0</v>
      </c>
      <c r="P11" t="n">
        <v>0</v>
      </c>
      <c r="Q11" t="n">
        <v>4</v>
      </c>
      <c r="R11" t="n">
        <v>3</v>
      </c>
      <c r="S11" t="n">
        <v>4</v>
      </c>
      <c r="T11" t="n">
        <v>4</v>
      </c>
      <c r="U11" t="n">
        <v>4</v>
      </c>
      <c r="V11" s="2" t="inlineStr">
        <is>
          <t>Knärot
Lakritsmusseron
Lammticka
Skarp dropptaggsvamp</t>
        </is>
      </c>
      <c r="W11">
        <f>HYPERLINK("https://klasma.github.io/Logging_1904/artfynd/A 36595-2024 artfynd.xlsx", "A 36595-2024")</f>
        <v/>
      </c>
      <c r="X11">
        <f>HYPERLINK("https://klasma.github.io/Logging_1904/kartor/A 36595-2024 karta.png", "A 36595-2024")</f>
        <v/>
      </c>
      <c r="Y11">
        <f>HYPERLINK("https://klasma.github.io/Logging_1904/kartor_geotiff/A 36595-2024 georefererad karta.tif", "A 36595-2024")</f>
        <v/>
      </c>
      <c r="Z11">
        <f>HYPERLINK("https://klasma.github.io/Logging_1904/knärot/A 36595-2024 karta knärot.png", "A 36595-2024")</f>
        <v/>
      </c>
      <c r="AA11">
        <f>HYPERLINK("https://klasma.github.io/Logging_1904/klagomål/A 36595-2024 FSC-klagomål.docx", "A 36595-2024")</f>
        <v/>
      </c>
      <c r="AB11">
        <f>HYPERLINK("https://klasma.github.io/Logging_1904/klagomålsmail/A 36595-2024 FSC-klagomål mail.docx", "A 36595-2024")</f>
        <v/>
      </c>
      <c r="AC11">
        <f>HYPERLINK("https://klasma.github.io/Logging_1904/tillsyn/A 36595-2024 tillsynsbegäran.docx", "A 36595-2024")</f>
        <v/>
      </c>
      <c r="AD11">
        <f>HYPERLINK("https://klasma.github.io/Logging_1904/tillsynsmail/A 36595-2024 tillsynsbegäran mail.docx", "A 36595-2024")</f>
        <v/>
      </c>
    </row>
    <row r="12" ht="15" customHeight="1">
      <c r="A12" t="inlineStr">
        <is>
          <t>A 56183-2025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45974</v>
      </c>
      <c r="E12" s="1" t="n">
        <v>46324</v>
      </c>
      <c r="F12" t="inlineStr">
        <is>
          <t>VÄSTMANLANDS LÄN</t>
        </is>
      </c>
      <c r="G12" t="inlineStr">
        <is>
          <t>SKINNSKATTEBERG</t>
        </is>
      </c>
      <c r="H12" t="inlineStr">
        <is>
          <t>Sveaskog</t>
        </is>
      </c>
      <c r="I12" t="n">
        <v>1</v>
      </c>
      <c r="J12" t="n">
        <v>0</v>
      </c>
      <c r="K12" t="n">
        <v>3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4</v>
      </c>
      <c r="T12" t="n">
        <v>6</v>
      </c>
      <c r="U12" t="n">
        <v>6</v>
      </c>
      <c r="V12" s="2" t="inlineStr">
        <is>
          <t>Vedtrappmossa
Björksplintborre
Gulnål
Vedticka</t>
        </is>
      </c>
      <c r="W12">
        <f>HYPERLINK("https://klasma.github.io/Logging_1904/artfynd/A 56183-2025 artfynd.xlsx", "A 56183-2025")</f>
        <v/>
      </c>
      <c r="X12">
        <f>HYPERLINK("https://klasma.github.io/Logging_1904/kartor/A 56183-2025 karta.png", "A 56183-2025")</f>
        <v/>
      </c>
      <c r="Y12">
        <f>HYPERLINK("https://klasma.github.io/Logging_1904/kartor_geotiff/A 56183-2025 georefererad karta.tif", "A 56183-2025")</f>
        <v/>
      </c>
      <c r="AA12">
        <f>HYPERLINK("https://klasma.github.io/Logging_1904/klagomål/A 56183-2025 FSC-klagomål.docx", "A 56183-2025")</f>
        <v/>
      </c>
      <c r="AB12">
        <f>HYPERLINK("https://klasma.github.io/Logging_1904/klagomålsmail/A 56183-2025 FSC-klagomål mail.docx", "A 56183-2025")</f>
        <v/>
      </c>
      <c r="AC12">
        <f>HYPERLINK("https://klasma.github.io/Logging_1904/tillsyn/A 56183-2025 tillsynsbegäran.docx", "A 56183-2025")</f>
        <v/>
      </c>
      <c r="AD12">
        <f>HYPERLINK("https://klasma.github.io/Logging_1904/tillsynsmail/A 56183-2025 tillsynsbegäran mail.docx", "A 56183-2025")</f>
        <v/>
      </c>
    </row>
    <row r="13" ht="15" customHeight="1">
      <c r="A13" t="inlineStr">
        <is>
          <t>A 39621-2026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46289</v>
      </c>
      <c r="E13" s="1" t="n">
        <v>46324</v>
      </c>
      <c r="F13" t="inlineStr">
        <is>
          <t>VÄSTMANLANDS LÄN</t>
        </is>
      </c>
      <c r="G13" t="inlineStr">
        <is>
          <t>SKINNSKATTEBERG</t>
        </is>
      </c>
      <c r="H13" t="inlineStr">
        <is>
          <t>Sveaskog</t>
        </is>
      </c>
      <c r="I13" t="n">
        <v>1.6</v>
      </c>
      <c r="J13" t="n">
        <v>0</v>
      </c>
      <c r="K13" t="n">
        <v>1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4</v>
      </c>
      <c r="T13" t="n">
        <v>5</v>
      </c>
      <c r="U13" t="n">
        <v>0</v>
      </c>
      <c r="V13" s="2" t="inlineStr">
        <is>
          <t>Motaggsvamp
Orange taggsvamp
Vedskivlav
Zontaggsvamp</t>
        </is>
      </c>
      <c r="W13">
        <f>HYPERLINK("https://klasma.github.io/Logging_1904/artfynd/A 39621-2026 artfynd.xlsx", "A 39621-2026")</f>
        <v/>
      </c>
      <c r="X13">
        <f>HYPERLINK("https://klasma.github.io/Logging_1904/kartor/A 39621-2026 karta.png", "A 39621-2026")</f>
        <v/>
      </c>
      <c r="Y13">
        <f>HYPERLINK("https://klasma.github.io/Logging_1904/kartor_geotiff/A 39621-2026 georefererad karta.tif", "A 39621-2026")</f>
        <v/>
      </c>
      <c r="AA13">
        <f>HYPERLINK("https://klasma.github.io/Logging_1904/klagomål/A 39621-2026 FSC-klagomål.docx", "A 39621-2026")</f>
        <v/>
      </c>
      <c r="AB13">
        <f>HYPERLINK("https://klasma.github.io/Logging_1904/klagomålsmail/A 39621-2026 FSC-klagomål mail.docx", "A 39621-2026")</f>
        <v/>
      </c>
      <c r="AC13">
        <f>HYPERLINK("https://klasma.github.io/Logging_1904/tillsyn/A 39621-2026 tillsynsbegäran.docx", "A 39621-2026")</f>
        <v/>
      </c>
      <c r="AD13">
        <f>HYPERLINK("https://klasma.github.io/Logging_1904/tillsynsmail/A 39621-2026 tillsynsbegäran mail.docx", "A 39621-2026")</f>
        <v/>
      </c>
    </row>
    <row r="14" ht="15" customHeight="1">
      <c r="A14" t="inlineStr">
        <is>
          <t>A 39619-2026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46289</v>
      </c>
      <c r="E14" s="1" t="n">
        <v>46324</v>
      </c>
      <c r="F14" t="inlineStr">
        <is>
          <t>VÄSTMANLANDS LÄN</t>
        </is>
      </c>
      <c r="G14" t="inlineStr">
        <is>
          <t>SKINNSKATTEBERG</t>
        </is>
      </c>
      <c r="H14" t="inlineStr">
        <is>
          <t>Sveaskog</t>
        </is>
      </c>
      <c r="I14" t="n">
        <v>6.3</v>
      </c>
      <c r="J14" t="n">
        <v>1</v>
      </c>
      <c r="K14" t="n">
        <v>1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4</v>
      </c>
      <c r="T14" t="n">
        <v>4</v>
      </c>
      <c r="U14" t="n">
        <v>1</v>
      </c>
      <c r="V14" s="2" t="inlineStr">
        <is>
          <t>Skrovlig taggsvamp
Mjölsvärting
Motaggsvamp
Plattlummer</t>
        </is>
      </c>
      <c r="W14">
        <f>HYPERLINK("https://klasma.github.io/Logging_1904/artfynd/A 39619-2026 artfynd.xlsx", "A 39619-2026")</f>
        <v/>
      </c>
      <c r="X14">
        <f>HYPERLINK("https://klasma.github.io/Logging_1904/kartor/A 39619-2026 karta.png", "A 39619-2026")</f>
        <v/>
      </c>
      <c r="Y14">
        <f>HYPERLINK("https://klasma.github.io/Logging_1904/kartor_geotiff/A 39619-2026 georefererad karta.tif", "A 39619-2026")</f>
        <v/>
      </c>
      <c r="AA14">
        <f>HYPERLINK("https://klasma.github.io/Logging_1904/klagomål/A 39619-2026 FSC-klagomål.docx", "A 39619-2026")</f>
        <v/>
      </c>
      <c r="AB14">
        <f>HYPERLINK("https://klasma.github.io/Logging_1904/klagomålsmail/A 39619-2026 FSC-klagomål mail.docx", "A 39619-2026")</f>
        <v/>
      </c>
      <c r="AC14">
        <f>HYPERLINK("https://klasma.github.io/Logging_1904/tillsyn/A 39619-2026 tillsynsbegäran.docx", "A 39619-2026")</f>
        <v/>
      </c>
      <c r="AD14">
        <f>HYPERLINK("https://klasma.github.io/Logging_1904/tillsynsmail/A 39619-2026 tillsynsbegäran mail.docx", "A 39619-2026")</f>
        <v/>
      </c>
    </row>
    <row r="15" ht="15" customHeight="1">
      <c r="A15" t="inlineStr">
        <is>
          <t>A 44698-2024</t>
        </is>
      </c>
      <c r="B15" t="inlineStr">
        <is>
          <t>avverkningsanmälan</t>
        </is>
      </c>
      <c r="C15" t="inlineStr">
        <is>
          <t>Avverkning för att bevara och utveckla /försöksver</t>
        </is>
      </c>
      <c r="D15" s="1" t="n">
        <v>45574</v>
      </c>
      <c r="E15" s="1" t="n">
        <v>46324</v>
      </c>
      <c r="F15" t="inlineStr">
        <is>
          <t>VÄSTMANLANDS LÄN</t>
        </is>
      </c>
      <c r="G15" t="inlineStr">
        <is>
          <t>SKINNSKATTEBERG</t>
        </is>
      </c>
      <c r="I15" t="n">
        <v>1.3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3</v>
      </c>
      <c r="U15" t="n">
        <v>0</v>
      </c>
      <c r="V15" s="2" t="inlineStr">
        <is>
          <t>Hässleklocka
Tibast
Gullviva</t>
        </is>
      </c>
      <c r="W15">
        <f>HYPERLINK("https://klasma.github.io/Logging_1904/artfynd/A 44698-2024 artfynd.xlsx", "A 44698-2024")</f>
        <v/>
      </c>
      <c r="X15">
        <f>HYPERLINK("https://klasma.github.io/Logging_1904/kartor/A 44698-2024 karta.png", "A 44698-2024")</f>
        <v/>
      </c>
      <c r="Y15">
        <f>HYPERLINK("https://klasma.github.io/Logging_1904/kartor_geotiff/A 44698-2024 georefererad karta.tif", "A 44698-2024")</f>
        <v/>
      </c>
      <c r="AA15">
        <f>HYPERLINK("https://klasma.github.io/Logging_1904/klagomål/A 44698-2024 FSC-klagomål.docx", "A 44698-2024")</f>
        <v/>
      </c>
      <c r="AB15">
        <f>HYPERLINK("https://klasma.github.io/Logging_1904/klagomålsmail/A 44698-2024 FSC-klagomål mail.docx", "A 44698-2024")</f>
        <v/>
      </c>
      <c r="AC15">
        <f>HYPERLINK("https://klasma.github.io/Logging_1904/tillsyn/A 44698-2024 tillsynsbegäran.docx", "A 44698-2024")</f>
        <v/>
      </c>
      <c r="AD15">
        <f>HYPERLINK("https://klasma.github.io/Logging_1904/tillsynsmail/A 44698-2024 tillsynsbegäran mail.docx", "A 44698-2024")</f>
        <v/>
      </c>
    </row>
    <row r="16" ht="15" customHeight="1">
      <c r="A16" t="inlineStr">
        <is>
          <t>A 19656-2025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45770</v>
      </c>
      <c r="E16" s="1" t="n">
        <v>46324</v>
      </c>
      <c r="F16" t="inlineStr">
        <is>
          <t>VÄSTMANLANDS LÄN</t>
        </is>
      </c>
      <c r="G16" t="inlineStr">
        <is>
          <t>SKINNSKATTEBERG</t>
        </is>
      </c>
      <c r="H16" t="inlineStr">
        <is>
          <t>Sveaskog</t>
        </is>
      </c>
      <c r="I16" t="n">
        <v>3.8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3</v>
      </c>
      <c r="T16" t="n">
        <v>4</v>
      </c>
      <c r="U16" t="n">
        <v>4</v>
      </c>
      <c r="V16" s="2" t="inlineStr">
        <is>
          <t>Rynkskinn
Ullticka
Brandticka</t>
        </is>
      </c>
      <c r="W16">
        <f>HYPERLINK("https://klasma.github.io/Logging_1904/artfynd/A 19656-2025 artfynd.xlsx", "A 19656-2025")</f>
        <v/>
      </c>
      <c r="X16">
        <f>HYPERLINK("https://klasma.github.io/Logging_1904/kartor/A 19656-2025 karta.png", "A 19656-2025")</f>
        <v/>
      </c>
      <c r="Y16">
        <f>HYPERLINK("https://klasma.github.io/Logging_1904/kartor_geotiff/A 19656-2025 georefererad karta.tif", "A 19656-2025")</f>
        <v/>
      </c>
      <c r="AA16">
        <f>HYPERLINK("https://klasma.github.io/Logging_1904/klagomål/A 19656-2025 FSC-klagomål.docx", "A 19656-2025")</f>
        <v/>
      </c>
      <c r="AB16">
        <f>HYPERLINK("https://klasma.github.io/Logging_1904/klagomålsmail/A 19656-2025 FSC-klagomål mail.docx", "A 19656-2025")</f>
        <v/>
      </c>
      <c r="AC16">
        <f>HYPERLINK("https://klasma.github.io/Logging_1904/tillsyn/A 19656-2025 tillsynsbegäran.docx", "A 19656-2025")</f>
        <v/>
      </c>
      <c r="AD16">
        <f>HYPERLINK("https://klasma.github.io/Logging_1904/tillsynsmail/A 19656-2025 tillsynsbegäran mail.docx", "A 19656-2025")</f>
        <v/>
      </c>
    </row>
    <row r="17" ht="15" customHeight="1">
      <c r="A17" t="inlineStr">
        <is>
          <t>A 21846-2026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46150</v>
      </c>
      <c r="E17" s="1" t="n">
        <v>46324</v>
      </c>
      <c r="F17" t="inlineStr">
        <is>
          <t>VÄSTMANLANDS LÄN</t>
        </is>
      </c>
      <c r="G17" t="inlineStr">
        <is>
          <t>SKINNSKATTEBERG</t>
        </is>
      </c>
      <c r="H17" t="inlineStr">
        <is>
          <t>Sveaskog</t>
        </is>
      </c>
      <c r="I17" t="n">
        <v>0.5</v>
      </c>
      <c r="J17" t="n">
        <v>0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3</v>
      </c>
      <c r="T17" t="n">
        <v>3</v>
      </c>
      <c r="U17" t="n">
        <v>3</v>
      </c>
      <c r="V17" s="2" t="inlineStr">
        <is>
          <t>Gränsticka
Brunpudrad nållav
Vedtrappmossa</t>
        </is>
      </c>
      <c r="W17">
        <f>HYPERLINK("https://klasma.github.io/Logging_1904/artfynd/A 21846-2026 artfynd.xlsx", "A 21846-2026")</f>
        <v/>
      </c>
      <c r="X17">
        <f>HYPERLINK("https://klasma.github.io/Logging_1904/kartor/A 21846-2026 karta.png", "A 21846-2026")</f>
        <v/>
      </c>
      <c r="Y17">
        <f>HYPERLINK("https://klasma.github.io/Logging_1904/kartor_geotiff/A 21846-2026 georefererad karta.tif", "A 21846-2026")</f>
        <v/>
      </c>
      <c r="AA17">
        <f>HYPERLINK("https://klasma.github.io/Logging_1904/klagomål/A 21846-2026 FSC-klagomål.docx", "A 21846-2026")</f>
        <v/>
      </c>
      <c r="AB17">
        <f>HYPERLINK("https://klasma.github.io/Logging_1904/klagomålsmail/A 21846-2026 FSC-klagomål mail.docx", "A 21846-2026")</f>
        <v/>
      </c>
      <c r="AC17">
        <f>HYPERLINK("https://klasma.github.io/Logging_1904/tillsyn/A 21846-2026 tillsynsbegäran.docx", "A 21846-2026")</f>
        <v/>
      </c>
      <c r="AD17">
        <f>HYPERLINK("https://klasma.github.io/Logging_1904/tillsynsmail/A 21846-2026 tillsynsbegäran mail.docx", "A 21846-2026")</f>
        <v/>
      </c>
    </row>
    <row r="18" ht="15" customHeight="1">
      <c r="A18" t="inlineStr">
        <is>
          <t>A 58355-2025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45985</v>
      </c>
      <c r="E18" s="1" t="n">
        <v>46324</v>
      </c>
      <c r="F18" t="inlineStr">
        <is>
          <t>VÄSTMANLANDS LÄN</t>
        </is>
      </c>
      <c r="G18" t="inlineStr">
        <is>
          <t>SKINNSKATTEBERG</t>
        </is>
      </c>
      <c r="H18" t="inlineStr">
        <is>
          <t>Sveaskog</t>
        </is>
      </c>
      <c r="I18" t="n">
        <v>1.9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3</v>
      </c>
      <c r="T18" t="n">
        <v>6</v>
      </c>
      <c r="U18" t="n">
        <v>4</v>
      </c>
      <c r="V18" s="2" t="inlineStr">
        <is>
          <t>Brunpudrad nållav
Vedtrappmossa
Brandticka</t>
        </is>
      </c>
      <c r="W18">
        <f>HYPERLINK("https://klasma.github.io/Logging_1904/artfynd/A 58355-2025 artfynd.xlsx", "A 58355-2025")</f>
        <v/>
      </c>
      <c r="X18">
        <f>HYPERLINK("https://klasma.github.io/Logging_1904/kartor/A 58355-2025 karta.png", "A 58355-2025")</f>
        <v/>
      </c>
      <c r="Y18">
        <f>HYPERLINK("https://klasma.github.io/Logging_1904/kartor_geotiff/A 58355-2025 georefererad karta.tif", "A 58355-2025")</f>
        <v/>
      </c>
      <c r="AA18">
        <f>HYPERLINK("https://klasma.github.io/Logging_1904/klagomål/A 58355-2025 FSC-klagomål.docx", "A 58355-2025")</f>
        <v/>
      </c>
      <c r="AB18">
        <f>HYPERLINK("https://klasma.github.io/Logging_1904/klagomålsmail/A 58355-2025 FSC-klagomål mail.docx", "A 58355-2025")</f>
        <v/>
      </c>
      <c r="AC18">
        <f>HYPERLINK("https://klasma.github.io/Logging_1904/tillsyn/A 58355-2025 tillsynsbegäran.docx", "A 58355-2025")</f>
        <v/>
      </c>
      <c r="AD18">
        <f>HYPERLINK("https://klasma.github.io/Logging_1904/tillsynsmail/A 58355-2025 tillsynsbegäran mail.docx", "A 58355-2025")</f>
        <v/>
      </c>
    </row>
    <row r="19" ht="15" customHeight="1">
      <c r="A19" t="inlineStr">
        <is>
          <t>A 13715-2024</t>
        </is>
      </c>
      <c r="B19" t="inlineStr">
        <is>
          <t>avverkningsanmälan</t>
        </is>
      </c>
      <c r="C19" t="inlineStr">
        <is>
          <t>Avverkning för annat ändamål</t>
        </is>
      </c>
      <c r="D19" s="1" t="n">
        <v>45390</v>
      </c>
      <c r="E19" s="1" t="n">
        <v>46324</v>
      </c>
      <c r="F19" t="inlineStr">
        <is>
          <t>VÄSTMANLANDS LÄN</t>
        </is>
      </c>
      <c r="G19" t="inlineStr">
        <is>
          <t>SKINNSKATTEBERG</t>
        </is>
      </c>
      <c r="H19" t="inlineStr">
        <is>
          <t>Sveaskog</t>
        </is>
      </c>
      <c r="I19" t="n">
        <v>2.2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5</v>
      </c>
      <c r="U19" t="n">
        <v>4</v>
      </c>
      <c r="V19" s="2" t="inlineStr">
        <is>
          <t>Krusfrö
Järpe
Tjäder</t>
        </is>
      </c>
      <c r="W19">
        <f>HYPERLINK("https://klasma.github.io/Logging_1904/artfynd/A 13715-2024 artfynd.xlsx", "A 13715-2024")</f>
        <v/>
      </c>
      <c r="X19">
        <f>HYPERLINK("https://klasma.github.io/Logging_1904/kartor/A 13715-2024 karta.png", "A 13715-2024")</f>
        <v/>
      </c>
      <c r="Y19">
        <f>HYPERLINK("https://klasma.github.io/Logging_1904/kartor_geotiff/A 13715-2024 georefererad karta.tif", "A 13715-2024")</f>
        <v/>
      </c>
      <c r="AA19">
        <f>HYPERLINK("https://klasma.github.io/Logging_1904/klagomål/A 13715-2024 FSC-klagomål.docx", "A 13715-2024")</f>
        <v/>
      </c>
      <c r="AB19">
        <f>HYPERLINK("https://klasma.github.io/Logging_1904/klagomålsmail/A 13715-2024 FSC-klagomål mail.docx", "A 13715-2024")</f>
        <v/>
      </c>
      <c r="AC19">
        <f>HYPERLINK("https://klasma.github.io/Logging_1904/tillsyn/A 13715-2024 tillsynsbegäran.docx", "A 13715-2024")</f>
        <v/>
      </c>
      <c r="AD19">
        <f>HYPERLINK("https://klasma.github.io/Logging_1904/tillsynsmail/A 13715-2024 tillsynsbegäran mail.docx", "A 13715-2024")</f>
        <v/>
      </c>
      <c r="AE19">
        <f>HYPERLINK("https://klasma.github.io/Logging_1904/fåglar/A 13715-2024 prioriterade fågelarter.docx", "A 13715-2024")</f>
        <v/>
      </c>
    </row>
    <row r="20" ht="15" customHeight="1">
      <c r="A20" t="inlineStr">
        <is>
          <t>A 39622-2026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46289</v>
      </c>
      <c r="E20" s="1" t="n">
        <v>46324</v>
      </c>
      <c r="F20" t="inlineStr">
        <is>
          <t>VÄSTMANLANDS LÄN</t>
        </is>
      </c>
      <c r="G20" t="inlineStr">
        <is>
          <t>SKINNSKATTEBERG</t>
        </is>
      </c>
      <c r="H20" t="inlineStr">
        <is>
          <t>Sveaskog</t>
        </is>
      </c>
      <c r="I20" t="n">
        <v>1.5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4</v>
      </c>
      <c r="U20" t="n">
        <v>0</v>
      </c>
      <c r="V20" s="2" t="inlineStr">
        <is>
          <t>Motaggsvamp
Orange taggsvamp
Zontaggsvamp</t>
        </is>
      </c>
      <c r="W20">
        <f>HYPERLINK("https://klasma.github.io/Logging_1904/artfynd/A 39622-2026 artfynd.xlsx", "A 39622-2026")</f>
        <v/>
      </c>
      <c r="X20">
        <f>HYPERLINK("https://klasma.github.io/Logging_1904/kartor/A 39622-2026 karta.png", "A 39622-2026")</f>
        <v/>
      </c>
      <c r="Y20">
        <f>HYPERLINK("https://klasma.github.io/Logging_1904/kartor_geotiff/A 39622-2026 georefererad karta.tif", "A 39622-2026")</f>
        <v/>
      </c>
      <c r="AA20">
        <f>HYPERLINK("https://klasma.github.io/Logging_1904/klagomål/A 39622-2026 FSC-klagomål.docx", "A 39622-2026")</f>
        <v/>
      </c>
      <c r="AB20">
        <f>HYPERLINK("https://klasma.github.io/Logging_1904/klagomålsmail/A 39622-2026 FSC-klagomål mail.docx", "A 39622-2026")</f>
        <v/>
      </c>
      <c r="AC20">
        <f>HYPERLINK("https://klasma.github.io/Logging_1904/tillsyn/A 39622-2026 tillsynsbegäran.docx", "A 39622-2026")</f>
        <v/>
      </c>
      <c r="AD20">
        <f>HYPERLINK("https://klasma.github.io/Logging_1904/tillsynsmail/A 39622-2026 tillsynsbegäran mail.docx", "A 39622-2026")</f>
        <v/>
      </c>
    </row>
    <row r="21" ht="15" customHeight="1">
      <c r="A21" t="inlineStr">
        <is>
          <t>A 18515-2024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45425</v>
      </c>
      <c r="E21" s="1" t="n">
        <v>46324</v>
      </c>
      <c r="F21" t="inlineStr">
        <is>
          <t>VÄSTMANLANDS LÄN</t>
        </is>
      </c>
      <c r="G21" t="inlineStr">
        <is>
          <t>SKINNSKATTEBERG</t>
        </is>
      </c>
      <c r="H21" t="inlineStr">
        <is>
          <t>Sveaskog</t>
        </is>
      </c>
      <c r="I21" t="n">
        <v>21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3</v>
      </c>
      <c r="U21" t="n">
        <v>3</v>
      </c>
      <c r="V21" s="2" t="inlineStr">
        <is>
          <t>Plattlummer
Fläcknycklar
Revlummer</t>
        </is>
      </c>
      <c r="W21">
        <f>HYPERLINK("https://klasma.github.io/Logging_1904/artfynd/A 18515-2024 artfynd.xlsx", "A 18515-2024")</f>
        <v/>
      </c>
      <c r="X21">
        <f>HYPERLINK("https://klasma.github.io/Logging_1904/kartor/A 18515-2024 karta.png", "A 18515-2024")</f>
        <v/>
      </c>
      <c r="Y21">
        <f>HYPERLINK("https://klasma.github.io/Logging_1904/kartor_geotiff/A 18515-2024 georefererad karta.tif", "A 18515-2024")</f>
        <v/>
      </c>
      <c r="AA21">
        <f>HYPERLINK("https://klasma.github.io/Logging_1904/klagomål/A 18515-2024 FSC-klagomål.docx", "A 18515-2024")</f>
        <v/>
      </c>
      <c r="AB21">
        <f>HYPERLINK("https://klasma.github.io/Logging_1904/klagomålsmail/A 18515-2024 FSC-klagomål mail.docx", "A 18515-2024")</f>
        <v/>
      </c>
      <c r="AC21">
        <f>HYPERLINK("https://klasma.github.io/Logging_1904/tillsyn/A 18515-2024 tillsynsbegäran.docx", "A 18515-2024")</f>
        <v/>
      </c>
      <c r="AD21">
        <f>HYPERLINK("https://klasma.github.io/Logging_1904/tillsynsmail/A 18515-2024 tillsynsbegäran mail.docx", "A 18515-2024")</f>
        <v/>
      </c>
    </row>
    <row r="22" ht="15" customHeight="1">
      <c r="A22" t="inlineStr">
        <is>
          <t>A 44409-2026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46321</v>
      </c>
      <c r="E22" s="1" t="n">
        <v>46324</v>
      </c>
      <c r="F22" t="inlineStr">
        <is>
          <t>VÄSTMANLANDS LÄN</t>
        </is>
      </c>
      <c r="G22" t="inlineStr">
        <is>
          <t>SKINNSKATTEBERG</t>
        </is>
      </c>
      <c r="H22" t="inlineStr">
        <is>
          <t>Sveaskog</t>
        </is>
      </c>
      <c r="I22" t="n">
        <v>2.7</v>
      </c>
      <c r="J22" t="n">
        <v>0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5</v>
      </c>
      <c r="U22" t="n">
        <v>0</v>
      </c>
      <c r="V22" s="2" t="inlineStr">
        <is>
          <t>Motaggsvamp
Svartvit taggsvamp
Rökmusseron</t>
        </is>
      </c>
      <c r="W22">
        <f>HYPERLINK("https://klasma.github.io/Logging_1904/artfynd/A 44409-2026 artfynd.xlsx", "A 44409-2026")</f>
        <v/>
      </c>
      <c r="X22">
        <f>HYPERLINK("https://klasma.github.io/Logging_1904/kartor/A 44409-2026 karta.png", "A 44409-2026")</f>
        <v/>
      </c>
      <c r="Y22">
        <f>HYPERLINK("https://klasma.github.io/Logging_1904/kartor_geotiff/A 44409-2026 georefererad karta.tif", "A 44409-2026")</f>
        <v/>
      </c>
      <c r="AA22">
        <f>HYPERLINK("https://klasma.github.io/Logging_1904/klagomål/A 44409-2026 FSC-klagomål.docx", "A 44409-2026")</f>
        <v/>
      </c>
      <c r="AB22">
        <f>HYPERLINK("https://klasma.github.io/Logging_1904/klagomålsmail/A 44409-2026 FSC-klagomål mail.docx", "A 44409-2026")</f>
        <v/>
      </c>
      <c r="AC22">
        <f>HYPERLINK("https://klasma.github.io/Logging_1904/tillsyn/A 44409-2026 tillsynsbegäran.docx", "A 44409-2026")</f>
        <v/>
      </c>
      <c r="AD22">
        <f>HYPERLINK("https://klasma.github.io/Logging_1904/tillsynsmail/A 44409-2026 tillsynsbegäran mail.docx", "A 44409-2026")</f>
        <v/>
      </c>
    </row>
    <row r="23" ht="15" customHeight="1">
      <c r="A23" t="inlineStr">
        <is>
          <t>A 16910-2025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45755</v>
      </c>
      <c r="E23" s="1" t="n">
        <v>46324</v>
      </c>
      <c r="F23" t="inlineStr">
        <is>
          <t>VÄSTMANLANDS LÄN</t>
        </is>
      </c>
      <c r="G23" t="inlineStr">
        <is>
          <t>SKINNSKATTEBERG</t>
        </is>
      </c>
      <c r="I23" t="n">
        <v>3.2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4</v>
      </c>
      <c r="U23" t="n">
        <v>4</v>
      </c>
      <c r="V23" s="2" t="inlineStr">
        <is>
          <t>Vedtrappmossa
Fläcknycklar</t>
        </is>
      </c>
      <c r="W23">
        <f>HYPERLINK("https://klasma.github.io/Logging_1904/artfynd/A 16910-2025 artfynd.xlsx", "A 16910-2025")</f>
        <v/>
      </c>
      <c r="X23">
        <f>HYPERLINK("https://klasma.github.io/Logging_1904/kartor/A 16910-2025 karta.png", "A 16910-2025")</f>
        <v/>
      </c>
      <c r="Y23">
        <f>HYPERLINK("https://klasma.github.io/Logging_1904/kartor_geotiff/A 16910-2025 georefererad karta.tif", "A 16910-2025")</f>
        <v/>
      </c>
      <c r="AA23">
        <f>HYPERLINK("https://klasma.github.io/Logging_1904/klagomål/A 16910-2025 FSC-klagomål.docx", "A 16910-2025")</f>
        <v/>
      </c>
      <c r="AB23">
        <f>HYPERLINK("https://klasma.github.io/Logging_1904/klagomålsmail/A 16910-2025 FSC-klagomål mail.docx", "A 16910-2025")</f>
        <v/>
      </c>
      <c r="AC23">
        <f>HYPERLINK("https://klasma.github.io/Logging_1904/tillsyn/A 16910-2025 tillsynsbegäran.docx", "A 16910-2025")</f>
        <v/>
      </c>
      <c r="AD23">
        <f>HYPERLINK("https://klasma.github.io/Logging_1904/tillsynsmail/A 16910-2025 tillsynsbegäran mail.docx", "A 16910-2025")</f>
        <v/>
      </c>
    </row>
    <row r="24" ht="15" customHeight="1">
      <c r="A24" t="inlineStr">
        <is>
          <t>A 36596-2024</t>
        </is>
      </c>
      <c r="B24" t="inlineStr">
        <is>
          <t>avverkningsanmälan</t>
        </is>
      </c>
      <c r="C24" t="inlineStr">
        <is>
          <t>Avverkning för att bevara och utveckla /försöksver</t>
        </is>
      </c>
      <c r="D24" s="1" t="n">
        <v>45537</v>
      </c>
      <c r="E24" s="1" t="n">
        <v>46324</v>
      </c>
      <c r="F24" t="inlineStr">
        <is>
          <t>VÄSTMANLANDS LÄN</t>
        </is>
      </c>
      <c r="G24" t="inlineStr">
        <is>
          <t>SKINNSKATTEBERG</t>
        </is>
      </c>
      <c r="H24" t="inlineStr">
        <is>
          <t>Sveaskog</t>
        </is>
      </c>
      <c r="I24" t="n">
        <v>0.8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s="2" t="inlineStr">
        <is>
          <t>Jättemusseron
Lakritsmusseron</t>
        </is>
      </c>
      <c r="W24">
        <f>HYPERLINK("https://klasma.github.io/Logging_1904/artfynd/A 36596-2024 artfynd.xlsx", "A 36596-2024")</f>
        <v/>
      </c>
      <c r="X24">
        <f>HYPERLINK("https://klasma.github.io/Logging_1904/kartor/A 36596-2024 karta.png", "A 36596-2024")</f>
        <v/>
      </c>
      <c r="Y24">
        <f>HYPERLINK("https://klasma.github.io/Logging_1904/kartor_geotiff/A 36596-2024 georefererad karta.tif", "A 36596-2024")</f>
        <v/>
      </c>
      <c r="AA24">
        <f>HYPERLINK("https://klasma.github.io/Logging_1904/klagomål/A 36596-2024 FSC-klagomål.docx", "A 36596-2024")</f>
        <v/>
      </c>
      <c r="AB24">
        <f>HYPERLINK("https://klasma.github.io/Logging_1904/klagomålsmail/A 36596-2024 FSC-klagomål mail.docx", "A 36596-2024")</f>
        <v/>
      </c>
      <c r="AC24">
        <f>HYPERLINK("https://klasma.github.io/Logging_1904/tillsyn/A 36596-2024 tillsynsbegäran.docx", "A 36596-2024")</f>
        <v/>
      </c>
      <c r="AD24">
        <f>HYPERLINK("https://klasma.github.io/Logging_1904/tillsynsmail/A 36596-2024 tillsynsbegäran mail.docx", "A 36596-2024")</f>
        <v/>
      </c>
    </row>
    <row r="25" ht="15" customHeight="1">
      <c r="A25" t="inlineStr">
        <is>
          <t>A 18416-2025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45762</v>
      </c>
      <c r="E25" s="1" t="n">
        <v>46324</v>
      </c>
      <c r="F25" t="inlineStr">
        <is>
          <t>VÄSTMANLANDS LÄN</t>
        </is>
      </c>
      <c r="G25" t="inlineStr">
        <is>
          <t>SKINNSKATTEBERG</t>
        </is>
      </c>
      <c r="H25" t="inlineStr">
        <is>
          <t>Sveaskog</t>
        </is>
      </c>
      <c r="I25" t="n">
        <v>2.7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2</v>
      </c>
      <c r="U25" t="n">
        <v>0</v>
      </c>
      <c r="V25" s="2" t="inlineStr">
        <is>
          <t>Stubbspretmossa
Svart trolldruva</t>
        </is>
      </c>
      <c r="W25">
        <f>HYPERLINK("https://klasma.github.io/Logging_1904/artfynd/A 18416-2025 artfynd.xlsx", "A 18416-2025")</f>
        <v/>
      </c>
      <c r="X25">
        <f>HYPERLINK("https://klasma.github.io/Logging_1904/kartor/A 18416-2025 karta.png", "A 18416-2025")</f>
        <v/>
      </c>
      <c r="Y25">
        <f>HYPERLINK("https://klasma.github.io/Logging_1904/kartor_geotiff/A 18416-2025 georefererad karta.tif", "A 18416-2025")</f>
        <v/>
      </c>
      <c r="AA25">
        <f>HYPERLINK("https://klasma.github.io/Logging_1904/klagomål/A 18416-2025 FSC-klagomål.docx", "A 18416-2025")</f>
        <v/>
      </c>
      <c r="AB25">
        <f>HYPERLINK("https://klasma.github.io/Logging_1904/klagomålsmail/A 18416-2025 FSC-klagomål mail.docx", "A 18416-2025")</f>
        <v/>
      </c>
      <c r="AC25">
        <f>HYPERLINK("https://klasma.github.io/Logging_1904/tillsyn/A 18416-2025 tillsynsbegäran.docx", "A 18416-2025")</f>
        <v/>
      </c>
      <c r="AD25">
        <f>HYPERLINK("https://klasma.github.io/Logging_1904/tillsynsmail/A 18416-2025 tillsynsbegäran mail.docx", "A 18416-2025")</f>
        <v/>
      </c>
    </row>
    <row r="26" ht="15" customHeight="1">
      <c r="A26" t="inlineStr">
        <is>
          <t>A 39618-2026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46289</v>
      </c>
      <c r="E26" s="1" t="n">
        <v>46324</v>
      </c>
      <c r="F26" t="inlineStr">
        <is>
          <t>VÄSTMANLANDS LÄN</t>
        </is>
      </c>
      <c r="G26" t="inlineStr">
        <is>
          <t>SKINNSKATTEBERG</t>
        </is>
      </c>
      <c r="H26" t="inlineStr">
        <is>
          <t>Sveaskog</t>
        </is>
      </c>
      <c r="I26" t="n">
        <v>4.3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2</v>
      </c>
      <c r="T26" t="n">
        <v>2</v>
      </c>
      <c r="U26" t="n">
        <v>1</v>
      </c>
      <c r="V26" s="2" t="inlineStr">
        <is>
          <t>Raggbock
Motaggsvamp</t>
        </is>
      </c>
      <c r="W26">
        <f>HYPERLINK("https://klasma.github.io/Logging_1904/artfynd/A 39618-2026 artfynd.xlsx", "A 39618-2026")</f>
        <v/>
      </c>
      <c r="X26">
        <f>HYPERLINK("https://klasma.github.io/Logging_1904/kartor/A 39618-2026 karta.png", "A 39618-2026")</f>
        <v/>
      </c>
      <c r="Y26">
        <f>HYPERLINK("https://klasma.github.io/Logging_1904/kartor_geotiff/A 39618-2026 georefererad karta.tif", "A 39618-2026")</f>
        <v/>
      </c>
      <c r="AA26">
        <f>HYPERLINK("https://klasma.github.io/Logging_1904/klagomål/A 39618-2026 FSC-klagomål.docx", "A 39618-2026")</f>
        <v/>
      </c>
      <c r="AB26">
        <f>HYPERLINK("https://klasma.github.io/Logging_1904/klagomålsmail/A 39618-2026 FSC-klagomål mail.docx", "A 39618-2026")</f>
        <v/>
      </c>
      <c r="AC26">
        <f>HYPERLINK("https://klasma.github.io/Logging_1904/tillsyn/A 39618-2026 tillsynsbegäran.docx", "A 39618-2026")</f>
        <v/>
      </c>
      <c r="AD26">
        <f>HYPERLINK("https://klasma.github.io/Logging_1904/tillsynsmail/A 39618-2026 tillsynsbegäran mail.docx", "A 39618-2026")</f>
        <v/>
      </c>
    </row>
    <row r="27" ht="15" customHeight="1">
      <c r="A27" t="inlineStr">
        <is>
          <t>A 44412-2026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46321</v>
      </c>
      <c r="E27" s="1" t="n">
        <v>46324</v>
      </c>
      <c r="F27" t="inlineStr">
        <is>
          <t>VÄSTMANLANDS LÄN</t>
        </is>
      </c>
      <c r="G27" t="inlineStr">
        <is>
          <t>SKINNSKATTEBERG</t>
        </is>
      </c>
      <c r="H27" t="inlineStr">
        <is>
          <t>Sveaskog</t>
        </is>
      </c>
      <c r="I27" t="n">
        <v>4.1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2</v>
      </c>
      <c r="U27" t="n">
        <v>0</v>
      </c>
      <c r="V27" s="2" t="inlineStr">
        <is>
          <t>Vätteros
Revlummer</t>
        </is>
      </c>
      <c r="W27">
        <f>HYPERLINK("https://klasma.github.io/Logging_1904/artfynd/A 44412-2026 artfynd.xlsx", "A 44412-2026")</f>
        <v/>
      </c>
      <c r="X27">
        <f>HYPERLINK("https://klasma.github.io/Logging_1904/kartor/A 44412-2026 karta.png", "A 44412-2026")</f>
        <v/>
      </c>
      <c r="Y27">
        <f>HYPERLINK("https://klasma.github.io/Logging_1904/kartor_geotiff/A 44412-2026 georefererad karta.tif", "A 44412-2026")</f>
        <v/>
      </c>
      <c r="AA27">
        <f>HYPERLINK("https://klasma.github.io/Logging_1904/klagomål/A 44412-2026 FSC-klagomål.docx", "A 44412-2026")</f>
        <v/>
      </c>
      <c r="AB27">
        <f>HYPERLINK("https://klasma.github.io/Logging_1904/klagomålsmail/A 44412-2026 FSC-klagomål mail.docx", "A 44412-2026")</f>
        <v/>
      </c>
      <c r="AC27">
        <f>HYPERLINK("https://klasma.github.io/Logging_1904/tillsyn/A 44412-2026 tillsynsbegäran.docx", "A 44412-2026")</f>
        <v/>
      </c>
      <c r="AD27">
        <f>HYPERLINK("https://klasma.github.io/Logging_1904/tillsynsmail/A 44412-2026 tillsynsbegäran mail.docx", "A 44412-2026")</f>
        <v/>
      </c>
    </row>
    <row r="28" ht="15" customHeight="1">
      <c r="A28" t="inlineStr">
        <is>
          <t>A 41868-2022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44829</v>
      </c>
      <c r="E28" s="1" t="n">
        <v>46324</v>
      </c>
      <c r="F28" t="inlineStr">
        <is>
          <t>VÄSTMANLANDS LÄN</t>
        </is>
      </c>
      <c r="G28" t="inlineStr">
        <is>
          <t>SKINNSKATTEBERG</t>
        </is>
      </c>
      <c r="I28" t="n">
        <v>0.9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Skogsklocka</t>
        </is>
      </c>
      <c r="W28">
        <f>HYPERLINK("https://klasma.github.io/Logging_1904/artfynd/A 41868-2022 artfynd.xlsx", "A 41868-2022")</f>
        <v/>
      </c>
      <c r="X28">
        <f>HYPERLINK("https://klasma.github.io/Logging_1904/kartor/A 41868-2022 karta.png", "A 41868-2022")</f>
        <v/>
      </c>
      <c r="Y28">
        <f>HYPERLINK("https://klasma.github.io/Logging_1904/kartor_geotiff/A 41868-2022 georefererad karta.tif", "A 41868-2022")</f>
        <v/>
      </c>
      <c r="AA28">
        <f>HYPERLINK("https://klasma.github.io/Logging_1904/klagomål/A 41868-2022 FSC-klagomål.docx", "A 41868-2022")</f>
        <v/>
      </c>
      <c r="AB28">
        <f>HYPERLINK("https://klasma.github.io/Logging_1904/klagomålsmail/A 41868-2022 FSC-klagomål mail.docx", "A 41868-2022")</f>
        <v/>
      </c>
      <c r="AC28">
        <f>HYPERLINK("https://klasma.github.io/Logging_1904/tillsyn/A 41868-2022 tillsynsbegäran.docx", "A 41868-2022")</f>
        <v/>
      </c>
      <c r="AD28">
        <f>HYPERLINK("https://klasma.github.io/Logging_1904/tillsynsmail/A 41868-2022 tillsynsbegäran mail.docx", "A 41868-2022")</f>
        <v/>
      </c>
    </row>
    <row r="29" ht="15" customHeight="1">
      <c r="A29" t="inlineStr">
        <is>
          <t>A 27565-2024</t>
        </is>
      </c>
      <c r="B29" t="inlineStr">
        <is>
          <t>avverkningsanmälan</t>
        </is>
      </c>
      <c r="C29" t="inlineStr">
        <is>
          <t>Avverkning för att bevara och utveckla /försöksver</t>
        </is>
      </c>
      <c r="D29" s="1" t="n">
        <v>45474</v>
      </c>
      <c r="E29" s="1" t="n">
        <v>46324</v>
      </c>
      <c r="F29" t="inlineStr">
        <is>
          <t>VÄSTMANLANDS LÄN</t>
        </is>
      </c>
      <c r="G29" t="inlineStr">
        <is>
          <t>SKINNSKATTEBERG</t>
        </is>
      </c>
      <c r="H29" t="inlineStr">
        <is>
          <t>Sveaskog</t>
        </is>
      </c>
      <c r="I29" t="n">
        <v>1.4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Mörk husmossa</t>
        </is>
      </c>
      <c r="W29">
        <f>HYPERLINK("https://klasma.github.io/Logging_1904/artfynd/A 27565-2024 artfynd.xlsx", "A 27565-2024")</f>
        <v/>
      </c>
      <c r="X29">
        <f>HYPERLINK("https://klasma.github.io/Logging_1904/kartor/A 27565-2024 karta.png", "A 27565-2024")</f>
        <v/>
      </c>
      <c r="Y29">
        <f>HYPERLINK("https://klasma.github.io/Logging_1904/kartor_geotiff/A 27565-2024 georefererad karta.tif", "A 27565-2024")</f>
        <v/>
      </c>
      <c r="AA29">
        <f>HYPERLINK("https://klasma.github.io/Logging_1904/klagomål/A 27565-2024 FSC-klagomål.docx", "A 27565-2024")</f>
        <v/>
      </c>
      <c r="AB29">
        <f>HYPERLINK("https://klasma.github.io/Logging_1904/klagomålsmail/A 27565-2024 FSC-klagomål mail.docx", "A 27565-2024")</f>
        <v/>
      </c>
      <c r="AC29">
        <f>HYPERLINK("https://klasma.github.io/Logging_1904/tillsyn/A 27565-2024 tillsynsbegäran.docx", "A 27565-2024")</f>
        <v/>
      </c>
      <c r="AD29">
        <f>HYPERLINK("https://klasma.github.io/Logging_1904/tillsynsmail/A 27565-2024 tillsynsbegäran mail.docx", "A 27565-2024")</f>
        <v/>
      </c>
    </row>
    <row r="30" ht="15" customHeight="1">
      <c r="A30" t="inlineStr">
        <is>
          <t>A 31006-2025</t>
        </is>
      </c>
      <c r="B30" t="inlineStr">
        <is>
          <t>avverkningsanmälan</t>
        </is>
      </c>
      <c r="C30" t="inlineStr">
        <is>
          <t>Avverkning för att bevara och utveckla /försöksver</t>
        </is>
      </c>
      <c r="D30" s="1" t="n">
        <v>45832</v>
      </c>
      <c r="E30" s="1" t="n">
        <v>46324</v>
      </c>
      <c r="F30" t="inlineStr">
        <is>
          <t>VÄSTMANLANDS LÄN</t>
        </is>
      </c>
      <c r="G30" t="inlineStr">
        <is>
          <t>SKINNSKATTEBERG</t>
        </is>
      </c>
      <c r="H30" t="inlineStr">
        <is>
          <t>Sveaskog</t>
        </is>
      </c>
      <c r="I30" t="n">
        <v>3.8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s="2" t="inlineStr">
        <is>
          <t>Spillkråka</t>
        </is>
      </c>
      <c r="W30">
        <f>HYPERLINK("https://klasma.github.io/Logging_1904/artfynd/A 31006-2025 artfynd.xlsx", "A 31006-2025")</f>
        <v/>
      </c>
      <c r="X30">
        <f>HYPERLINK("https://klasma.github.io/Logging_1904/kartor/A 31006-2025 karta.png", "A 31006-2025")</f>
        <v/>
      </c>
      <c r="Y30">
        <f>HYPERLINK("https://klasma.github.io/Logging_1904/kartor_geotiff/A 31006-2025 georefererad karta.tif", "A 31006-2025")</f>
        <v/>
      </c>
      <c r="AA30">
        <f>HYPERLINK("https://klasma.github.io/Logging_1904/klagomål/A 31006-2025 FSC-klagomål.docx", "A 31006-2025")</f>
        <v/>
      </c>
      <c r="AB30">
        <f>HYPERLINK("https://klasma.github.io/Logging_1904/klagomålsmail/A 31006-2025 FSC-klagomål mail.docx", "A 31006-2025")</f>
        <v/>
      </c>
      <c r="AC30">
        <f>HYPERLINK("https://klasma.github.io/Logging_1904/tillsyn/A 31006-2025 tillsynsbegäran.docx", "A 31006-2025")</f>
        <v/>
      </c>
      <c r="AD30">
        <f>HYPERLINK("https://klasma.github.io/Logging_1904/tillsynsmail/A 31006-2025 tillsynsbegäran mail.docx", "A 31006-2025")</f>
        <v/>
      </c>
      <c r="AE30">
        <f>HYPERLINK("https://klasma.github.io/Logging_1904/fåglar/A 31006-2025 prioriterade fågelarter.docx", "A 31006-2025")</f>
        <v/>
      </c>
    </row>
    <row r="31" ht="15" customHeight="1">
      <c r="A31" t="inlineStr">
        <is>
          <t>A 21849-2026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46150</v>
      </c>
      <c r="E31" s="1" t="n">
        <v>46324</v>
      </c>
      <c r="F31" t="inlineStr">
        <is>
          <t>VÄSTMANLANDS LÄN</t>
        </is>
      </c>
      <c r="G31" t="inlineStr">
        <is>
          <t>SKINNSKATTEBERG</t>
        </is>
      </c>
      <c r="H31" t="inlineStr">
        <is>
          <t>Sveaskog</t>
        </is>
      </c>
      <c r="I31" t="n">
        <v>12.5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s="2" t="inlineStr">
        <is>
          <t>Knärot</t>
        </is>
      </c>
      <c r="W31">
        <f>HYPERLINK("https://klasma.github.io/Logging_1904/artfynd/A 21849-2026 artfynd.xlsx", "A 21849-2026")</f>
        <v/>
      </c>
      <c r="X31">
        <f>HYPERLINK("https://klasma.github.io/Logging_1904/kartor/A 21849-2026 karta.png", "A 21849-2026")</f>
        <v/>
      </c>
      <c r="Y31">
        <f>HYPERLINK("https://klasma.github.io/Logging_1904/kartor_geotiff/A 21849-2026 georefererad karta.tif", "A 21849-2026")</f>
        <v/>
      </c>
      <c r="Z31">
        <f>HYPERLINK("https://klasma.github.io/Logging_1904/knärot/A 21849-2026 karta knärot.png", "A 21849-2026")</f>
        <v/>
      </c>
      <c r="AA31">
        <f>HYPERLINK("https://klasma.github.io/Logging_1904/klagomål/A 21849-2026 FSC-klagomål.docx", "A 21849-2026")</f>
        <v/>
      </c>
      <c r="AB31">
        <f>HYPERLINK("https://klasma.github.io/Logging_1904/klagomålsmail/A 21849-2026 FSC-klagomål mail.docx", "A 21849-2026")</f>
        <v/>
      </c>
      <c r="AC31">
        <f>HYPERLINK("https://klasma.github.io/Logging_1904/tillsyn/A 21849-2026 tillsynsbegäran.docx", "A 21849-2026")</f>
        <v/>
      </c>
      <c r="AD31">
        <f>HYPERLINK("https://klasma.github.io/Logging_1904/tillsynsmail/A 21849-2026 tillsynsbegäran mail.docx", "A 21849-2026")</f>
        <v/>
      </c>
    </row>
    <row r="32" ht="15" customHeight="1">
      <c r="A32" t="inlineStr">
        <is>
          <t>A 9491-2024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45359</v>
      </c>
      <c r="E32" s="1" t="n">
        <v>46324</v>
      </c>
      <c r="F32" t="inlineStr">
        <is>
          <t>VÄSTMANLANDS LÄN</t>
        </is>
      </c>
      <c r="G32" t="inlineStr">
        <is>
          <t>SKINNSKATTEBERG</t>
        </is>
      </c>
      <c r="H32" t="inlineStr">
        <is>
          <t>Sveaskog</t>
        </is>
      </c>
      <c r="I32" t="n">
        <v>1.2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s="2" t="inlineStr">
        <is>
          <t>Skogshare</t>
        </is>
      </c>
      <c r="W32">
        <f>HYPERLINK("https://klasma.github.io/Logging_1904/artfynd/A 9491-2024 artfynd.xlsx", "A 9491-2024")</f>
        <v/>
      </c>
      <c r="X32">
        <f>HYPERLINK("https://klasma.github.io/Logging_1904/kartor/A 9491-2024 karta.png", "A 9491-2024")</f>
        <v/>
      </c>
      <c r="Y32">
        <f>HYPERLINK("https://klasma.github.io/Logging_1904/kartor_geotiff/A 9491-2024 georefererad karta.tif", "A 9491-2024")</f>
        <v/>
      </c>
      <c r="AA32">
        <f>HYPERLINK("https://klasma.github.io/Logging_1904/klagomål/A 9491-2024 FSC-klagomål.docx", "A 9491-2024")</f>
        <v/>
      </c>
      <c r="AB32">
        <f>HYPERLINK("https://klasma.github.io/Logging_1904/klagomålsmail/A 9491-2024 FSC-klagomål mail.docx", "A 9491-2024")</f>
        <v/>
      </c>
      <c r="AC32">
        <f>HYPERLINK("https://klasma.github.io/Logging_1904/tillsyn/A 9491-2024 tillsynsbegäran.docx", "A 9491-2024")</f>
        <v/>
      </c>
      <c r="AD32">
        <f>HYPERLINK("https://klasma.github.io/Logging_1904/tillsynsmail/A 9491-2024 tillsynsbegäran mail.docx", "A 9491-2024")</f>
        <v/>
      </c>
    </row>
    <row r="33" ht="15" customHeight="1">
      <c r="A33" t="inlineStr">
        <is>
          <t>A 43413-2024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45568</v>
      </c>
      <c r="E33" s="1" t="n">
        <v>46324</v>
      </c>
      <c r="F33" t="inlineStr">
        <is>
          <t>VÄSTMANLANDS LÄN</t>
        </is>
      </c>
      <c r="G33" t="inlineStr">
        <is>
          <t>SKINNSKATTEBERG</t>
        </is>
      </c>
      <c r="H33" t="inlineStr">
        <is>
          <t>Sveaskog</t>
        </is>
      </c>
      <c r="I33" t="n">
        <v>1.9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s="2" t="inlineStr">
        <is>
          <t>Orange taggsvamp</t>
        </is>
      </c>
      <c r="W33">
        <f>HYPERLINK("https://klasma.github.io/Logging_1904/artfynd/A 43413-2024 artfynd.xlsx", "A 43413-2024")</f>
        <v/>
      </c>
      <c r="X33">
        <f>HYPERLINK("https://klasma.github.io/Logging_1904/kartor/A 43413-2024 karta.png", "A 43413-2024")</f>
        <v/>
      </c>
      <c r="Y33">
        <f>HYPERLINK("https://klasma.github.io/Logging_1904/kartor_geotiff/A 43413-2024 georefererad karta.tif", "A 43413-2024")</f>
        <v/>
      </c>
      <c r="AA33">
        <f>HYPERLINK("https://klasma.github.io/Logging_1904/klagomål/A 43413-2024 FSC-klagomål.docx", "A 43413-2024")</f>
        <v/>
      </c>
      <c r="AB33">
        <f>HYPERLINK("https://klasma.github.io/Logging_1904/klagomålsmail/A 43413-2024 FSC-klagomål mail.docx", "A 43413-2024")</f>
        <v/>
      </c>
      <c r="AC33">
        <f>HYPERLINK("https://klasma.github.io/Logging_1904/tillsyn/A 43413-2024 tillsynsbegäran.docx", "A 43413-2024")</f>
        <v/>
      </c>
      <c r="AD33">
        <f>HYPERLINK("https://klasma.github.io/Logging_1904/tillsynsmail/A 43413-2024 tillsynsbegäran mail.docx", "A 43413-2024")</f>
        <v/>
      </c>
    </row>
    <row r="34" ht="15" customHeight="1">
      <c r="A34" t="inlineStr">
        <is>
          <t>A 24492-2026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46170</v>
      </c>
      <c r="E34" s="1" t="n">
        <v>46324</v>
      </c>
      <c r="F34" t="inlineStr">
        <is>
          <t>VÄSTMANLANDS LÄN</t>
        </is>
      </c>
      <c r="G34" t="inlineStr">
        <is>
          <t>SKINNSKATTEBERG</t>
        </is>
      </c>
      <c r="H34" t="inlineStr">
        <is>
          <t>Sveaskog</t>
        </is>
      </c>
      <c r="I34" t="n">
        <v>0.8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Tjäder</t>
        </is>
      </c>
      <c r="W34">
        <f>HYPERLINK("https://klasma.github.io/Logging_1904/artfynd/A 24492-2026 artfynd.xlsx", "A 24492-2026")</f>
        <v/>
      </c>
      <c r="X34">
        <f>HYPERLINK("https://klasma.github.io/Logging_1904/kartor/A 24492-2026 karta.png", "A 24492-2026")</f>
        <v/>
      </c>
      <c r="Y34">
        <f>HYPERLINK("https://klasma.github.io/Logging_1904/kartor_geotiff/A 24492-2026 georefererad karta.tif", "A 24492-2026")</f>
        <v/>
      </c>
      <c r="AA34">
        <f>HYPERLINK("https://klasma.github.io/Logging_1904/klagomål/A 24492-2026 FSC-klagomål.docx", "A 24492-2026")</f>
        <v/>
      </c>
      <c r="AB34">
        <f>HYPERLINK("https://klasma.github.io/Logging_1904/klagomålsmail/A 24492-2026 FSC-klagomål mail.docx", "A 24492-2026")</f>
        <v/>
      </c>
      <c r="AC34">
        <f>HYPERLINK("https://klasma.github.io/Logging_1904/tillsyn/A 24492-2026 tillsynsbegäran.docx", "A 24492-2026")</f>
        <v/>
      </c>
      <c r="AD34">
        <f>HYPERLINK("https://klasma.github.io/Logging_1904/tillsynsmail/A 24492-2026 tillsynsbegäran mail.docx", "A 24492-2026")</f>
        <v/>
      </c>
      <c r="AE34">
        <f>HYPERLINK("https://klasma.github.io/Logging_1904/fåglar/A 24492-2026 prioriterade fågelarter.docx", "A 24492-2026")</f>
        <v/>
      </c>
    </row>
    <row r="35" ht="15" customHeight="1">
      <c r="A35" t="inlineStr">
        <is>
          <t>A 23893-2023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45078</v>
      </c>
      <c r="E35" s="1" t="n">
        <v>46324</v>
      </c>
      <c r="F35" t="inlineStr">
        <is>
          <t>VÄSTMANLANDS LÄN</t>
        </is>
      </c>
      <c r="G35" t="inlineStr">
        <is>
          <t>SKINNSKATTEBERG</t>
        </is>
      </c>
      <c r="I35" t="n">
        <v>1.6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2</v>
      </c>
      <c r="U35" t="n">
        <v>2</v>
      </c>
      <c r="V35" s="2" t="inlineStr">
        <is>
          <t>Knärot</t>
        </is>
      </c>
      <c r="W35">
        <f>HYPERLINK("https://klasma.github.io/Logging_1904/artfynd/A 23893-2023 artfynd.xlsx", "A 23893-2023")</f>
        <v/>
      </c>
      <c r="X35">
        <f>HYPERLINK("https://klasma.github.io/Logging_1904/kartor/A 23893-2023 karta.png", "A 23893-2023")</f>
        <v/>
      </c>
      <c r="Y35">
        <f>HYPERLINK("https://klasma.github.io/Logging_1904/kartor_geotiff/A 23893-2023 georefererad karta.tif", "A 23893-2023")</f>
        <v/>
      </c>
      <c r="Z35">
        <f>HYPERLINK("https://klasma.github.io/Logging_1904/knärot/A 23893-2023 karta knärot.png", "A 23893-2023")</f>
        <v/>
      </c>
      <c r="AA35">
        <f>HYPERLINK("https://klasma.github.io/Logging_1904/klagomål/A 23893-2023 FSC-klagomål.docx", "A 23893-2023")</f>
        <v/>
      </c>
      <c r="AB35">
        <f>HYPERLINK("https://klasma.github.io/Logging_1904/klagomålsmail/A 23893-2023 FSC-klagomål mail.docx", "A 23893-2023")</f>
        <v/>
      </c>
      <c r="AC35">
        <f>HYPERLINK("https://klasma.github.io/Logging_1904/tillsyn/A 23893-2023 tillsynsbegäran.docx", "A 23893-2023")</f>
        <v/>
      </c>
      <c r="AD35">
        <f>HYPERLINK("https://klasma.github.io/Logging_1904/tillsynsmail/A 23893-2023 tillsynsbegäran mail.docx", "A 23893-2023")</f>
        <v/>
      </c>
    </row>
    <row r="36" ht="15" customHeight="1">
      <c r="A36" t="inlineStr">
        <is>
          <t>A 24944-2026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46174</v>
      </c>
      <c r="E36" s="1" t="n">
        <v>46324</v>
      </c>
      <c r="F36" t="inlineStr">
        <is>
          <t>VÄSTMANLANDS LÄN</t>
        </is>
      </c>
      <c r="G36" t="inlineStr">
        <is>
          <t>SKINNSKATTEBERG</t>
        </is>
      </c>
      <c r="H36" t="inlineStr">
        <is>
          <t>Sveaskog</t>
        </is>
      </c>
      <c r="I36" t="n">
        <v>8.4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s="2" t="inlineStr">
        <is>
          <t>Garnlav</t>
        </is>
      </c>
      <c r="W36">
        <f>HYPERLINK("https://klasma.github.io/Logging_1904/artfynd/A 24944-2026 artfynd.xlsx", "A 24944-2026")</f>
        <v/>
      </c>
      <c r="X36">
        <f>HYPERLINK("https://klasma.github.io/Logging_1904/kartor/A 24944-2026 karta.png", "A 24944-2026")</f>
        <v/>
      </c>
      <c r="Y36">
        <f>HYPERLINK("https://klasma.github.io/Logging_1904/kartor_geotiff/A 24944-2026 georefererad karta.tif", "A 24944-2026")</f>
        <v/>
      </c>
      <c r="AA36">
        <f>HYPERLINK("https://klasma.github.io/Logging_1904/klagomål/A 24944-2026 FSC-klagomål.docx", "A 24944-2026")</f>
        <v/>
      </c>
      <c r="AB36">
        <f>HYPERLINK("https://klasma.github.io/Logging_1904/klagomålsmail/A 24944-2026 FSC-klagomål mail.docx", "A 24944-2026")</f>
        <v/>
      </c>
      <c r="AC36">
        <f>HYPERLINK("https://klasma.github.io/Logging_1904/tillsyn/A 24944-2026 tillsynsbegäran.docx", "A 24944-2026")</f>
        <v/>
      </c>
      <c r="AD36">
        <f>HYPERLINK("https://klasma.github.io/Logging_1904/tillsynsmail/A 24944-2026 tillsynsbegäran mail.docx", "A 24944-2026")</f>
        <v/>
      </c>
    </row>
    <row r="37" ht="15" customHeight="1">
      <c r="A37" t="inlineStr">
        <is>
          <t>A 33435-2024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45519</v>
      </c>
      <c r="E37" s="1" t="n">
        <v>46324</v>
      </c>
      <c r="F37" t="inlineStr">
        <is>
          <t>VÄSTMANLANDS LÄN</t>
        </is>
      </c>
      <c r="G37" t="inlineStr">
        <is>
          <t>SKINNSKATTEBERG</t>
        </is>
      </c>
      <c r="H37" t="inlineStr">
        <is>
          <t>Sveaskog</t>
        </is>
      </c>
      <c r="I37" t="n">
        <v>3.2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s="2" t="inlineStr">
        <is>
          <t>Nattskärra</t>
        </is>
      </c>
      <c r="W37">
        <f>HYPERLINK("https://klasma.github.io/Logging_1904/artfynd/A 33435-2024 artfynd.xlsx", "A 33435-2024")</f>
        <v/>
      </c>
      <c r="X37">
        <f>HYPERLINK("https://klasma.github.io/Logging_1904/kartor/A 33435-2024 karta.png", "A 33435-2024")</f>
        <v/>
      </c>
      <c r="Y37">
        <f>HYPERLINK("https://klasma.github.io/Logging_1904/kartor_geotiff/A 33435-2024 georefererad karta.tif", "A 33435-2024")</f>
        <v/>
      </c>
      <c r="AA37">
        <f>HYPERLINK("https://klasma.github.io/Logging_1904/klagomål/A 33435-2024 FSC-klagomål.docx", "A 33435-2024")</f>
        <v/>
      </c>
      <c r="AB37">
        <f>HYPERLINK("https://klasma.github.io/Logging_1904/klagomålsmail/A 33435-2024 FSC-klagomål mail.docx", "A 33435-2024")</f>
        <v/>
      </c>
      <c r="AC37">
        <f>HYPERLINK("https://klasma.github.io/Logging_1904/tillsyn/A 33435-2024 tillsynsbegäran.docx", "A 33435-2024")</f>
        <v/>
      </c>
      <c r="AD37">
        <f>HYPERLINK("https://klasma.github.io/Logging_1904/tillsynsmail/A 33435-2024 tillsynsbegäran mail.docx", "A 33435-2024")</f>
        <v/>
      </c>
      <c r="AE37">
        <f>HYPERLINK("https://klasma.github.io/Logging_1904/fåglar/A 33435-2024 prioriterade fågelarter.docx", "A 33435-2024")</f>
        <v/>
      </c>
    </row>
    <row r="38" ht="15" customHeight="1">
      <c r="A38" t="inlineStr">
        <is>
          <t>A 12024-2023</t>
        </is>
      </c>
      <c r="B38" t="inlineStr">
        <is>
          <t>avverkningsanmälan</t>
        </is>
      </c>
      <c r="C38" t="inlineStr">
        <is>
          <t>Avverkning för att bevara och utveckla /försöksver</t>
        </is>
      </c>
      <c r="D38" s="1" t="n">
        <v>44995</v>
      </c>
      <c r="E38" s="1" t="n">
        <v>46324</v>
      </c>
      <c r="F38" t="inlineStr">
        <is>
          <t>VÄSTMANLANDS LÄN</t>
        </is>
      </c>
      <c r="G38" t="inlineStr">
        <is>
          <t>SKINNSKATTEBERG</t>
        </is>
      </c>
      <c r="H38" t="inlineStr">
        <is>
          <t>Sveaskog</t>
        </is>
      </c>
      <c r="I38" t="n">
        <v>1.4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Skogsklocka</t>
        </is>
      </c>
      <c r="W38">
        <f>HYPERLINK("https://klasma.github.io/Logging_1904/artfynd/A 12024-2023 artfynd.xlsx", "A 12024-2023")</f>
        <v/>
      </c>
      <c r="X38">
        <f>HYPERLINK("https://klasma.github.io/Logging_1904/kartor/A 12024-2023 karta.png", "A 12024-2023")</f>
        <v/>
      </c>
      <c r="Y38">
        <f>HYPERLINK("https://klasma.github.io/Logging_1904/kartor_geotiff/A 12024-2023 georefererad karta.tif", "A 12024-2023")</f>
        <v/>
      </c>
      <c r="AA38">
        <f>HYPERLINK("https://klasma.github.io/Logging_1904/klagomål/A 12024-2023 FSC-klagomål.docx", "A 12024-2023")</f>
        <v/>
      </c>
      <c r="AB38">
        <f>HYPERLINK("https://klasma.github.io/Logging_1904/klagomålsmail/A 12024-2023 FSC-klagomål mail.docx", "A 12024-2023")</f>
        <v/>
      </c>
      <c r="AC38">
        <f>HYPERLINK("https://klasma.github.io/Logging_1904/tillsyn/A 12024-2023 tillsynsbegäran.docx", "A 12024-2023")</f>
        <v/>
      </c>
      <c r="AD38">
        <f>HYPERLINK("https://klasma.github.io/Logging_1904/tillsynsmail/A 12024-2023 tillsynsbegäran mail.docx", "A 12024-2023")</f>
        <v/>
      </c>
    </row>
    <row r="39" ht="15" customHeight="1">
      <c r="A39" t="inlineStr">
        <is>
          <t>A 26860-2026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46185</v>
      </c>
      <c r="E39" s="1" t="n">
        <v>46324</v>
      </c>
      <c r="F39" t="inlineStr">
        <is>
          <t>VÄSTMANLANDS LÄN</t>
        </is>
      </c>
      <c r="G39" t="inlineStr">
        <is>
          <t>SKINNSKATTEBERG</t>
        </is>
      </c>
      <c r="H39" t="inlineStr">
        <is>
          <t>Sveaskog</t>
        </is>
      </c>
      <c r="I39" t="n">
        <v>10.3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Kungsörn</t>
        </is>
      </c>
      <c r="W39">
        <f>HYPERLINK("https://klasma.github.io/Logging_1904/artfynd/A 26860-2026 artfynd.xlsx", "A 26860-2026")</f>
        <v/>
      </c>
      <c r="X39">
        <f>HYPERLINK("https://klasma.github.io/Logging_1904/kartor/A 26860-2026 karta.png", "A 26860-2026")</f>
        <v/>
      </c>
      <c r="Y39">
        <f>HYPERLINK("https://klasma.github.io/Logging_1904/kartor_geotiff/A 26860-2026 georefererad karta.tif", "A 26860-2026")</f>
        <v/>
      </c>
      <c r="AA39">
        <f>HYPERLINK("https://klasma.github.io/Logging_1904/klagomål/A 26860-2026 FSC-klagomål.docx", "A 26860-2026")</f>
        <v/>
      </c>
      <c r="AB39">
        <f>HYPERLINK("https://klasma.github.io/Logging_1904/klagomålsmail/A 26860-2026 FSC-klagomål mail.docx", "A 26860-2026")</f>
        <v/>
      </c>
      <c r="AC39">
        <f>HYPERLINK("https://klasma.github.io/Logging_1904/tillsyn/A 26860-2026 tillsynsbegäran.docx", "A 26860-2026")</f>
        <v/>
      </c>
      <c r="AD39">
        <f>HYPERLINK("https://klasma.github.io/Logging_1904/tillsynsmail/A 26860-2026 tillsynsbegäran mail.docx", "A 26860-2026")</f>
        <v/>
      </c>
      <c r="AE39">
        <f>HYPERLINK("https://klasma.github.io/Logging_1904/fåglar/A 26860-2026 prioriterade fågelarter.docx", "A 26860-2026")</f>
        <v/>
      </c>
    </row>
    <row r="40" ht="15" customHeight="1">
      <c r="A40" t="inlineStr">
        <is>
          <t>A 9490-2024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45359</v>
      </c>
      <c r="E40" s="1" t="n">
        <v>46324</v>
      </c>
      <c r="F40" t="inlineStr">
        <is>
          <t>VÄSTMANLANDS LÄN</t>
        </is>
      </c>
      <c r="G40" t="inlineStr">
        <is>
          <t>SKINNSKATTEBERG</t>
        </is>
      </c>
      <c r="H40" t="inlineStr">
        <is>
          <t>Sveaskog</t>
        </is>
      </c>
      <c r="I40" t="n">
        <v>0.5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s="2" t="inlineStr">
        <is>
          <t>Nattskärra</t>
        </is>
      </c>
      <c r="W40">
        <f>HYPERLINK("https://klasma.github.io/Logging_1904/artfynd/A 9490-2024 artfynd.xlsx", "A 9490-2024")</f>
        <v/>
      </c>
      <c r="X40">
        <f>HYPERLINK("https://klasma.github.io/Logging_1904/kartor/A 9490-2024 karta.png", "A 9490-2024")</f>
        <v/>
      </c>
      <c r="Y40">
        <f>HYPERLINK("https://klasma.github.io/Logging_1904/kartor_geotiff/A 9490-2024 georefererad karta.tif", "A 9490-2024")</f>
        <v/>
      </c>
      <c r="AA40">
        <f>HYPERLINK("https://klasma.github.io/Logging_1904/klagomål/A 9490-2024 FSC-klagomål.docx", "A 9490-2024")</f>
        <v/>
      </c>
      <c r="AB40">
        <f>HYPERLINK("https://klasma.github.io/Logging_1904/klagomålsmail/A 9490-2024 FSC-klagomål mail.docx", "A 9490-2024")</f>
        <v/>
      </c>
      <c r="AC40">
        <f>HYPERLINK("https://klasma.github.io/Logging_1904/tillsyn/A 9490-2024 tillsynsbegäran.docx", "A 9490-2024")</f>
        <v/>
      </c>
      <c r="AD40">
        <f>HYPERLINK("https://klasma.github.io/Logging_1904/tillsynsmail/A 9490-2024 tillsynsbegäran mail.docx", "A 9490-2024")</f>
        <v/>
      </c>
      <c r="AE40">
        <f>HYPERLINK("https://klasma.github.io/Logging_1904/fåglar/A 9490-2024 prioriterade fågelarter.docx", "A 9490-2024")</f>
        <v/>
      </c>
    </row>
    <row r="41" ht="15" customHeight="1">
      <c r="A41" t="inlineStr">
        <is>
          <t>A 4000-2024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45322</v>
      </c>
      <c r="E41" s="1" t="n">
        <v>46324</v>
      </c>
      <c r="F41" t="inlineStr">
        <is>
          <t>VÄSTMANLANDS LÄN</t>
        </is>
      </c>
      <c r="G41" t="inlineStr">
        <is>
          <t>SKINNSKATTEBERG</t>
        </is>
      </c>
      <c r="I41" t="n">
        <v>14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Klasefibbla</t>
        </is>
      </c>
      <c r="W41">
        <f>HYPERLINK("https://klasma.github.io/Logging_1904/artfynd/A 4000-2024 artfynd.xlsx", "A 4000-2024")</f>
        <v/>
      </c>
      <c r="X41">
        <f>HYPERLINK("https://klasma.github.io/Logging_1904/kartor/A 4000-2024 karta.png", "A 4000-2024")</f>
        <v/>
      </c>
      <c r="Y41">
        <f>HYPERLINK("https://klasma.github.io/Logging_1904/kartor_geotiff/A 4000-2024 georefererad karta.tif", "A 4000-2024")</f>
        <v/>
      </c>
      <c r="AA41">
        <f>HYPERLINK("https://klasma.github.io/Logging_1904/klagomål/A 4000-2024 FSC-klagomål.docx", "A 4000-2024")</f>
        <v/>
      </c>
      <c r="AB41">
        <f>HYPERLINK("https://klasma.github.io/Logging_1904/klagomålsmail/A 4000-2024 FSC-klagomål mail.docx", "A 4000-2024")</f>
        <v/>
      </c>
      <c r="AC41">
        <f>HYPERLINK("https://klasma.github.io/Logging_1904/tillsyn/A 4000-2024 tillsynsbegäran.docx", "A 4000-2024")</f>
        <v/>
      </c>
      <c r="AD41">
        <f>HYPERLINK("https://klasma.github.io/Logging_1904/tillsynsmail/A 4000-2024 tillsynsbegäran mail.docx", "A 4000-2024")</f>
        <v/>
      </c>
    </row>
    <row r="42" ht="15" customHeight="1">
      <c r="A42" t="inlineStr">
        <is>
          <t>A 28312-2023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45099</v>
      </c>
      <c r="E42" s="1" t="n">
        <v>46324</v>
      </c>
      <c r="F42" t="inlineStr">
        <is>
          <t>VÄSTMANLANDS LÄN</t>
        </is>
      </c>
      <c r="G42" t="inlineStr">
        <is>
          <t>SKINNSKATTEBERG</t>
        </is>
      </c>
      <c r="H42" t="inlineStr">
        <is>
          <t>Sveaskog</t>
        </is>
      </c>
      <c r="I42" t="n">
        <v>2.8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s="2" t="inlineStr">
        <is>
          <t>Skrovlig taggsvamp</t>
        </is>
      </c>
      <c r="W42">
        <f>HYPERLINK("https://klasma.github.io/Logging_1904/artfynd/A 28312-2023 artfynd.xlsx", "A 28312-2023")</f>
        <v/>
      </c>
      <c r="X42">
        <f>HYPERLINK("https://klasma.github.io/Logging_1904/kartor/A 28312-2023 karta.png", "A 28312-2023")</f>
        <v/>
      </c>
      <c r="Y42">
        <f>HYPERLINK("https://klasma.github.io/Logging_1904/kartor_geotiff/A 28312-2023 georefererad karta.tif", "A 28312-2023")</f>
        <v/>
      </c>
      <c r="AA42">
        <f>HYPERLINK("https://klasma.github.io/Logging_1904/klagomål/A 28312-2023 FSC-klagomål.docx", "A 28312-2023")</f>
        <v/>
      </c>
      <c r="AB42">
        <f>HYPERLINK("https://klasma.github.io/Logging_1904/klagomålsmail/A 28312-2023 FSC-klagomål mail.docx", "A 28312-2023")</f>
        <v/>
      </c>
      <c r="AC42">
        <f>HYPERLINK("https://klasma.github.io/Logging_1904/tillsyn/A 28312-2023 tillsynsbegäran.docx", "A 28312-2023")</f>
        <v/>
      </c>
      <c r="AD42">
        <f>HYPERLINK("https://klasma.github.io/Logging_1904/tillsynsmail/A 28312-2023 tillsynsbegäran mail.docx", "A 28312-2023")</f>
        <v/>
      </c>
    </row>
    <row r="43" ht="15" customHeight="1">
      <c r="A43" t="inlineStr">
        <is>
          <t>A 30579-2026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46210</v>
      </c>
      <c r="E43" s="1" t="n">
        <v>46324</v>
      </c>
      <c r="F43" t="inlineStr">
        <is>
          <t>VÄSTMANLANDS LÄN</t>
        </is>
      </c>
      <c r="G43" t="inlineStr">
        <is>
          <t>SKINNSKATTEBERG</t>
        </is>
      </c>
      <c r="H43" t="inlineStr">
        <is>
          <t>Sveaskog</t>
        </is>
      </c>
      <c r="I43" t="n">
        <v>2.8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Motaggsvamp</t>
        </is>
      </c>
      <c r="W43">
        <f>HYPERLINK("https://klasma.github.io/Logging_1904/artfynd/A 30579-2026 artfynd.xlsx", "A 30579-2026")</f>
        <v/>
      </c>
      <c r="X43">
        <f>HYPERLINK("https://klasma.github.io/Logging_1904/kartor/A 30579-2026 karta.png", "A 30579-2026")</f>
        <v/>
      </c>
      <c r="Y43">
        <f>HYPERLINK("https://klasma.github.io/Logging_1904/kartor_geotiff/A 30579-2026 georefererad karta.tif", "A 30579-2026")</f>
        <v/>
      </c>
      <c r="AA43">
        <f>HYPERLINK("https://klasma.github.io/Logging_1904/klagomål/A 30579-2026 FSC-klagomål.docx", "A 30579-2026")</f>
        <v/>
      </c>
      <c r="AB43">
        <f>HYPERLINK("https://klasma.github.io/Logging_1904/klagomålsmail/A 30579-2026 FSC-klagomål mail.docx", "A 30579-2026")</f>
        <v/>
      </c>
      <c r="AC43">
        <f>HYPERLINK("https://klasma.github.io/Logging_1904/tillsyn/A 30579-2026 tillsynsbegäran.docx", "A 30579-2026")</f>
        <v/>
      </c>
      <c r="AD43">
        <f>HYPERLINK("https://klasma.github.io/Logging_1904/tillsynsmail/A 30579-2026 tillsynsbegäran mail.docx", "A 30579-2026")</f>
        <v/>
      </c>
    </row>
    <row r="44" ht="15" customHeight="1">
      <c r="A44" t="inlineStr">
        <is>
          <t>A 15734-2026</t>
        </is>
      </c>
      <c r="B44" t="inlineStr">
        <is>
          <t>avverkningsanmälan</t>
        </is>
      </c>
      <c r="C44" t="inlineStr">
        <is>
          <t>Avverkning för att bevara och utveckla /försöksver</t>
        </is>
      </c>
      <c r="D44" s="1" t="n">
        <v>46107</v>
      </c>
      <c r="E44" s="1" t="n">
        <v>46324</v>
      </c>
      <c r="F44" t="inlineStr">
        <is>
          <t>VÄSTMANLANDS LÄN</t>
        </is>
      </c>
      <c r="G44" t="inlineStr">
        <is>
          <t>SKINNSKATTEBERG</t>
        </is>
      </c>
      <c r="H44" t="inlineStr">
        <is>
          <t>Sveaskog</t>
        </is>
      </c>
      <c r="I44" t="n">
        <v>2.8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s="2" t="inlineStr">
        <is>
          <t>Koppartaggsvamp</t>
        </is>
      </c>
      <c r="W44">
        <f>HYPERLINK("https://klasma.github.io/Logging_1904/artfynd/A 15734-2026 artfynd.xlsx", "A 15734-2026")</f>
        <v/>
      </c>
      <c r="X44">
        <f>HYPERLINK("https://klasma.github.io/Logging_1904/kartor/A 15734-2026 karta.png", "A 15734-2026")</f>
        <v/>
      </c>
      <c r="Y44">
        <f>HYPERLINK("https://klasma.github.io/Logging_1904/kartor_geotiff/A 15734-2026 georefererad karta.tif", "A 15734-2026")</f>
        <v/>
      </c>
      <c r="AA44">
        <f>HYPERLINK("https://klasma.github.io/Logging_1904/klagomål/A 15734-2026 FSC-klagomål.docx", "A 15734-2026")</f>
        <v/>
      </c>
      <c r="AB44">
        <f>HYPERLINK("https://klasma.github.io/Logging_1904/klagomålsmail/A 15734-2026 FSC-klagomål mail.docx", "A 15734-2026")</f>
        <v/>
      </c>
      <c r="AC44">
        <f>HYPERLINK("https://klasma.github.io/Logging_1904/tillsyn/A 15734-2026 tillsynsbegäran.docx", "A 15734-2026")</f>
        <v/>
      </c>
      <c r="AD44">
        <f>HYPERLINK("https://klasma.github.io/Logging_1904/tillsynsmail/A 15734-2026 tillsynsbegäran mail.docx", "A 15734-2026")</f>
        <v/>
      </c>
    </row>
    <row r="45" ht="15" customHeight="1">
      <c r="A45" t="inlineStr">
        <is>
          <t>A 12887-2024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45385</v>
      </c>
      <c r="E45" s="1" t="n">
        <v>46324</v>
      </c>
      <c r="F45" t="inlineStr">
        <is>
          <t>VÄSTMANLANDS LÄN</t>
        </is>
      </c>
      <c r="G45" t="inlineStr">
        <is>
          <t>SKINNSKATTEBERG</t>
        </is>
      </c>
      <c r="H45" t="inlineStr">
        <is>
          <t>Sveaskog</t>
        </is>
      </c>
      <c r="I45" t="n">
        <v>6.5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s="2" t="inlineStr">
        <is>
          <t>Sparvuggla</t>
        </is>
      </c>
      <c r="W45">
        <f>HYPERLINK("https://klasma.github.io/Logging_1904/artfynd/A 12887-2024 artfynd.xlsx", "A 12887-2024")</f>
        <v/>
      </c>
      <c r="X45">
        <f>HYPERLINK("https://klasma.github.io/Logging_1904/kartor/A 12887-2024 karta.png", "A 12887-2024")</f>
        <v/>
      </c>
      <c r="Y45">
        <f>HYPERLINK("https://klasma.github.io/Logging_1904/kartor_geotiff/A 12887-2024 georefererad karta.tif", "A 12887-2024")</f>
        <v/>
      </c>
      <c r="AA45">
        <f>HYPERLINK("https://klasma.github.io/Logging_1904/klagomål/A 12887-2024 FSC-klagomål.docx", "A 12887-2024")</f>
        <v/>
      </c>
      <c r="AB45">
        <f>HYPERLINK("https://klasma.github.io/Logging_1904/klagomålsmail/A 12887-2024 FSC-klagomål mail.docx", "A 12887-2024")</f>
        <v/>
      </c>
      <c r="AC45">
        <f>HYPERLINK("https://klasma.github.io/Logging_1904/tillsyn/A 12887-2024 tillsynsbegäran.docx", "A 12887-2024")</f>
        <v/>
      </c>
      <c r="AD45">
        <f>HYPERLINK("https://klasma.github.io/Logging_1904/tillsynsmail/A 12887-2024 tillsynsbegäran mail.docx", "A 12887-2024")</f>
        <v/>
      </c>
      <c r="AE45">
        <f>HYPERLINK("https://klasma.github.io/Logging_1904/fåglar/A 12887-2024 prioriterade fågelarter.docx", "A 12887-2024")</f>
        <v/>
      </c>
    </row>
    <row r="46" ht="15" customHeight="1">
      <c r="A46" t="inlineStr">
        <is>
          <t>A 38733-2026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46285</v>
      </c>
      <c r="E46" s="1" t="n">
        <v>46324</v>
      </c>
      <c r="F46" t="inlineStr">
        <is>
          <t>VÄSTMANLANDS LÄN</t>
        </is>
      </c>
      <c r="G46" t="inlineStr">
        <is>
          <t>SKINNSKATTEBERG</t>
        </is>
      </c>
      <c r="H46" t="inlineStr">
        <is>
          <t>Sveaskog</t>
        </is>
      </c>
      <c r="I46" t="n">
        <v>4.2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s="2" t="inlineStr">
        <is>
          <t>Garnlav</t>
        </is>
      </c>
      <c r="W46">
        <f>HYPERLINK("https://klasma.github.io/Logging_1904/artfynd/A 38733-2026 artfynd.xlsx", "A 38733-2026")</f>
        <v/>
      </c>
      <c r="X46">
        <f>HYPERLINK("https://klasma.github.io/Logging_1904/kartor/A 38733-2026 karta.png", "A 38733-2026")</f>
        <v/>
      </c>
      <c r="Y46">
        <f>HYPERLINK("https://klasma.github.io/Logging_1904/kartor_geotiff/A 38733-2026 georefererad karta.tif", "A 38733-2026")</f>
        <v/>
      </c>
      <c r="AA46">
        <f>HYPERLINK("https://klasma.github.io/Logging_1904/klagomål/A 38733-2026 FSC-klagomål.docx", "A 38733-2026")</f>
        <v/>
      </c>
      <c r="AB46">
        <f>HYPERLINK("https://klasma.github.io/Logging_1904/klagomålsmail/A 38733-2026 FSC-klagomål mail.docx", "A 38733-2026")</f>
        <v/>
      </c>
      <c r="AC46">
        <f>HYPERLINK("https://klasma.github.io/Logging_1904/tillsyn/A 38733-2026 tillsynsbegäran.docx", "A 38733-2026")</f>
        <v/>
      </c>
      <c r="AD46">
        <f>HYPERLINK("https://klasma.github.io/Logging_1904/tillsynsmail/A 38733-2026 tillsynsbegäran mail.docx", "A 38733-2026")</f>
        <v/>
      </c>
    </row>
    <row r="47" ht="15" customHeight="1">
      <c r="A47" t="inlineStr">
        <is>
          <t>A 38734-2026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46285</v>
      </c>
      <c r="E47" s="1" t="n">
        <v>46324</v>
      </c>
      <c r="F47" t="inlineStr">
        <is>
          <t>VÄSTMANLANDS LÄN</t>
        </is>
      </c>
      <c r="G47" t="inlineStr">
        <is>
          <t>SKINNSKATTEBERG</t>
        </is>
      </c>
      <c r="H47" t="inlineStr">
        <is>
          <t>Sveaskog</t>
        </is>
      </c>
      <c r="I47" t="n">
        <v>6.1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Fällmossa</t>
        </is>
      </c>
      <c r="W47">
        <f>HYPERLINK("https://klasma.github.io/Logging_1904/artfynd/A 38734-2026 artfynd.xlsx", "A 38734-2026")</f>
        <v/>
      </c>
      <c r="X47">
        <f>HYPERLINK("https://klasma.github.io/Logging_1904/kartor/A 38734-2026 karta.png", "A 38734-2026")</f>
        <v/>
      </c>
      <c r="Y47">
        <f>HYPERLINK("https://klasma.github.io/Logging_1904/kartor_geotiff/A 38734-2026 georefererad karta.tif", "A 38734-2026")</f>
        <v/>
      </c>
      <c r="AA47">
        <f>HYPERLINK("https://klasma.github.io/Logging_1904/klagomål/A 38734-2026 FSC-klagomål.docx", "A 38734-2026")</f>
        <v/>
      </c>
      <c r="AB47">
        <f>HYPERLINK("https://klasma.github.io/Logging_1904/klagomålsmail/A 38734-2026 FSC-klagomål mail.docx", "A 38734-2026")</f>
        <v/>
      </c>
      <c r="AC47">
        <f>HYPERLINK("https://klasma.github.io/Logging_1904/tillsyn/A 38734-2026 tillsynsbegäran.docx", "A 38734-2026")</f>
        <v/>
      </c>
      <c r="AD47">
        <f>HYPERLINK("https://klasma.github.io/Logging_1904/tillsynsmail/A 38734-2026 tillsynsbegäran mail.docx", "A 38734-2026")</f>
        <v/>
      </c>
    </row>
    <row r="48" ht="15" customHeight="1">
      <c r="A48" t="inlineStr">
        <is>
          <t>A 54296-2023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45232</v>
      </c>
      <c r="E48" s="1" t="n">
        <v>46324</v>
      </c>
      <c r="F48" t="inlineStr">
        <is>
          <t>VÄSTMANLANDS LÄN</t>
        </is>
      </c>
      <c r="G48" t="inlineStr">
        <is>
          <t>SKINNSKATTEBERG</t>
        </is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Kopparödla</t>
        </is>
      </c>
      <c r="W48">
        <f>HYPERLINK("https://klasma.github.io/Logging_1904/artfynd/A 54296-2023 artfynd.xlsx", "A 54296-2023")</f>
        <v/>
      </c>
      <c r="X48">
        <f>HYPERLINK("https://klasma.github.io/Logging_1904/kartor/A 54296-2023 karta.png", "A 54296-2023")</f>
        <v/>
      </c>
      <c r="Y48">
        <f>HYPERLINK("https://klasma.github.io/Logging_1904/kartor_geotiff/A 54296-2023 georefererad karta.tif", "A 54296-2023")</f>
        <v/>
      </c>
      <c r="AA48">
        <f>HYPERLINK("https://klasma.github.io/Logging_1904/klagomål/A 54296-2023 FSC-klagomål.docx", "A 54296-2023")</f>
        <v/>
      </c>
      <c r="AB48">
        <f>HYPERLINK("https://klasma.github.io/Logging_1904/klagomålsmail/A 54296-2023 FSC-klagomål mail.docx", "A 54296-2023")</f>
        <v/>
      </c>
      <c r="AC48">
        <f>HYPERLINK("https://klasma.github.io/Logging_1904/tillsyn/A 54296-2023 tillsynsbegäran.docx", "A 54296-2023")</f>
        <v/>
      </c>
      <c r="AD48">
        <f>HYPERLINK("https://klasma.github.io/Logging_1904/tillsynsmail/A 54296-2023 tillsynsbegäran mail.docx", "A 54296-2023")</f>
        <v/>
      </c>
    </row>
    <row r="49" ht="15" customHeight="1">
      <c r="A49" t="inlineStr">
        <is>
          <t>A 20559-2026</t>
        </is>
      </c>
      <c r="B49" t="inlineStr">
        <is>
          <t>avverkningsanmälan</t>
        </is>
      </c>
      <c r="C49" t="inlineStr">
        <is>
          <t>Avverkning för annat ändamål</t>
        </is>
      </c>
      <c r="D49" s="1" t="n">
        <v>46140</v>
      </c>
      <c r="E49" s="1" t="n">
        <v>46324</v>
      </c>
      <c r="F49" t="inlineStr">
        <is>
          <t>VÄSTMANLANDS LÄN</t>
        </is>
      </c>
      <c r="G49" t="inlineStr">
        <is>
          <t>SKINNSKATTEBERG</t>
        </is>
      </c>
      <c r="H49" t="inlineStr">
        <is>
          <t>Sveaskog</t>
        </is>
      </c>
      <c r="I49" t="n">
        <v>0.3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Tjäder</t>
        </is>
      </c>
      <c r="W49">
        <f>HYPERLINK("https://klasma.github.io/Logging_1904/artfynd/A 20559-2026 artfynd.xlsx", "A 20559-2026")</f>
        <v/>
      </c>
      <c r="X49">
        <f>HYPERLINK("https://klasma.github.io/Logging_1904/kartor/A 20559-2026 karta.png", "A 20559-2026")</f>
        <v/>
      </c>
      <c r="Y49">
        <f>HYPERLINK("https://klasma.github.io/Logging_1904/kartor_geotiff/A 20559-2026 georefererad karta.tif", "A 20559-2026")</f>
        <v/>
      </c>
      <c r="AA49">
        <f>HYPERLINK("https://klasma.github.io/Logging_1904/klagomål/A 20559-2026 FSC-klagomål.docx", "A 20559-2026")</f>
        <v/>
      </c>
      <c r="AB49">
        <f>HYPERLINK("https://klasma.github.io/Logging_1904/klagomålsmail/A 20559-2026 FSC-klagomål mail.docx", "A 20559-2026")</f>
        <v/>
      </c>
      <c r="AC49">
        <f>HYPERLINK("https://klasma.github.io/Logging_1904/tillsyn/A 20559-2026 tillsynsbegäran.docx", "A 20559-2026")</f>
        <v/>
      </c>
      <c r="AD49">
        <f>HYPERLINK("https://klasma.github.io/Logging_1904/tillsynsmail/A 20559-2026 tillsynsbegäran mail.docx", "A 20559-2026")</f>
        <v/>
      </c>
      <c r="AE49">
        <f>HYPERLINK("https://klasma.github.io/Logging_1904/fåglar/A 20559-2026 prioriterade fågelarter.docx", "A 20559-2026")</f>
        <v/>
      </c>
    </row>
    <row r="50" ht="15" customHeight="1">
      <c r="A50" t="inlineStr">
        <is>
          <t>A 57747-2023</t>
        </is>
      </c>
      <c r="B50" t="inlineStr">
        <is>
          <t>avverkningsanmälan</t>
        </is>
      </c>
      <c r="C50" t="inlineStr">
        <is>
          <t>Avverkning för att bevara och utveckla /försöksver</t>
        </is>
      </c>
      <c r="D50" s="1" t="n">
        <v>45246</v>
      </c>
      <c r="E50" s="1" t="n">
        <v>46324</v>
      </c>
      <c r="F50" t="inlineStr">
        <is>
          <t>VÄSTMANLANDS LÄN</t>
        </is>
      </c>
      <c r="G50" t="inlineStr">
        <is>
          <t>SKINNSKATTEBERG</t>
        </is>
      </c>
      <c r="H50" t="inlineStr">
        <is>
          <t>Sveaskog</t>
        </is>
      </c>
      <c r="I50" t="n">
        <v>2.3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Myopa fasciata</t>
        </is>
      </c>
      <c r="W50">
        <f>HYPERLINK("https://klasma.github.io/Logging_1904/artfynd/A 57747-2023 artfynd.xlsx", "A 57747-2023")</f>
        <v/>
      </c>
      <c r="X50">
        <f>HYPERLINK("https://klasma.github.io/Logging_1904/kartor/A 57747-2023 karta.png", "A 57747-2023")</f>
        <v/>
      </c>
      <c r="Y50">
        <f>HYPERLINK("https://klasma.github.io/Logging_1904/kartor_geotiff/A 57747-2023 georefererad karta.tif", "A 57747-2023")</f>
        <v/>
      </c>
      <c r="AA50">
        <f>HYPERLINK("https://klasma.github.io/Logging_1904/klagomål/A 57747-2023 FSC-klagomål.docx", "A 57747-2023")</f>
        <v/>
      </c>
      <c r="AB50">
        <f>HYPERLINK("https://klasma.github.io/Logging_1904/klagomålsmail/A 57747-2023 FSC-klagomål mail.docx", "A 57747-2023")</f>
        <v/>
      </c>
      <c r="AC50">
        <f>HYPERLINK("https://klasma.github.io/Logging_1904/tillsyn/A 57747-2023 tillsynsbegäran.docx", "A 57747-2023")</f>
        <v/>
      </c>
      <c r="AD50">
        <f>HYPERLINK("https://klasma.github.io/Logging_1904/tillsynsmail/A 57747-2023 tillsynsbegäran mail.docx", "A 57747-2023")</f>
        <v/>
      </c>
    </row>
    <row r="51" ht="15" customHeight="1">
      <c r="A51" t="inlineStr">
        <is>
          <t>A 35371-2026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46261</v>
      </c>
      <c r="E51" s="1" t="n">
        <v>46324</v>
      </c>
      <c r="F51" t="inlineStr">
        <is>
          <t>VÄSTMANLANDS LÄN</t>
        </is>
      </c>
      <c r="G51" t="inlineStr">
        <is>
          <t>SKINNSKATTEBERG</t>
        </is>
      </c>
      <c r="I51" t="n">
        <v>1.3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s="2" t="inlineStr">
        <is>
          <t>Talltita</t>
        </is>
      </c>
      <c r="W51">
        <f>HYPERLINK("https://klasma.github.io/Logging_1904/artfynd/A 35371-2026 artfynd.xlsx", "A 35371-2026")</f>
        <v/>
      </c>
      <c r="X51">
        <f>HYPERLINK("https://klasma.github.io/Logging_1904/kartor/A 35371-2026 karta.png", "A 35371-2026")</f>
        <v/>
      </c>
      <c r="Y51">
        <f>HYPERLINK("https://klasma.github.io/Logging_1904/kartor_geotiff/A 35371-2026 georefererad karta.tif", "A 35371-2026")</f>
        <v/>
      </c>
      <c r="AA51">
        <f>HYPERLINK("https://klasma.github.io/Logging_1904/klagomål/A 35371-2026 FSC-klagomål.docx", "A 35371-2026")</f>
        <v/>
      </c>
      <c r="AB51">
        <f>HYPERLINK("https://klasma.github.io/Logging_1904/klagomålsmail/A 35371-2026 FSC-klagomål mail.docx", "A 35371-2026")</f>
        <v/>
      </c>
      <c r="AC51">
        <f>HYPERLINK("https://klasma.github.io/Logging_1904/tillsyn/A 35371-2026 tillsynsbegäran.docx", "A 35371-2026")</f>
        <v/>
      </c>
      <c r="AD51">
        <f>HYPERLINK("https://klasma.github.io/Logging_1904/tillsynsmail/A 35371-2026 tillsynsbegäran mail.docx", "A 35371-2026")</f>
        <v/>
      </c>
      <c r="AE51">
        <f>HYPERLINK("https://klasma.github.io/Logging_1904/fåglar/A 35371-2026 prioriterade fågelarter.docx", "A 35371-2026")</f>
        <v/>
      </c>
    </row>
    <row r="52" ht="15" customHeight="1">
      <c r="A52" t="inlineStr">
        <is>
          <t>A 49630-2024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45596</v>
      </c>
      <c r="E52" s="1" t="n">
        <v>46324</v>
      </c>
      <c r="F52" t="inlineStr">
        <is>
          <t>VÄSTMANLANDS LÄN</t>
        </is>
      </c>
      <c r="G52" t="inlineStr">
        <is>
          <t>SKINNSKATTEBERG</t>
        </is>
      </c>
      <c r="H52" t="inlineStr">
        <is>
          <t>Sveaskog</t>
        </is>
      </c>
      <c r="I52" t="n">
        <v>7.3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s="2" t="inlineStr">
        <is>
          <t>Fläcknycklar</t>
        </is>
      </c>
      <c r="W52">
        <f>HYPERLINK("https://klasma.github.io/Logging_1904/artfynd/A 49630-2024 artfynd.xlsx", "A 49630-2024")</f>
        <v/>
      </c>
      <c r="X52">
        <f>HYPERLINK("https://klasma.github.io/Logging_1904/kartor/A 49630-2024 karta.png", "A 49630-2024")</f>
        <v/>
      </c>
      <c r="Y52">
        <f>HYPERLINK("https://klasma.github.io/Logging_1904/kartor_geotiff/A 49630-2024 georefererad karta.tif", "A 49630-2024")</f>
        <v/>
      </c>
      <c r="AA52">
        <f>HYPERLINK("https://klasma.github.io/Logging_1904/klagomål/A 49630-2024 FSC-klagomål.docx", "A 49630-2024")</f>
        <v/>
      </c>
      <c r="AB52">
        <f>HYPERLINK("https://klasma.github.io/Logging_1904/klagomålsmail/A 49630-2024 FSC-klagomål mail.docx", "A 49630-2024")</f>
        <v/>
      </c>
      <c r="AC52">
        <f>HYPERLINK("https://klasma.github.io/Logging_1904/tillsyn/A 49630-2024 tillsynsbegäran.docx", "A 49630-2024")</f>
        <v/>
      </c>
      <c r="AD52">
        <f>HYPERLINK("https://klasma.github.io/Logging_1904/tillsynsmail/A 49630-2024 tillsynsbegäran mail.docx", "A 49630-2024")</f>
        <v/>
      </c>
    </row>
    <row r="53" ht="15" customHeight="1">
      <c r="A53" t="inlineStr">
        <is>
          <t>A 42434-2026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46308</v>
      </c>
      <c r="E53" s="1" t="n">
        <v>46324</v>
      </c>
      <c r="F53" t="inlineStr">
        <is>
          <t>VÄSTMANLANDS LÄN</t>
        </is>
      </c>
      <c r="G53" t="inlineStr">
        <is>
          <t>SKINNSKATTEBERG</t>
        </is>
      </c>
      <c r="H53" t="inlineStr">
        <is>
          <t>Sveaskog</t>
        </is>
      </c>
      <c r="I53" t="n">
        <v>2.3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s="2" t="inlineStr">
        <is>
          <t>Mattlummer</t>
        </is>
      </c>
      <c r="W53">
        <f>HYPERLINK("https://klasma.github.io/Logging_1904/artfynd/A 42434-2026 artfynd.xlsx", "A 42434-2026")</f>
        <v/>
      </c>
      <c r="X53">
        <f>HYPERLINK("https://klasma.github.io/Logging_1904/kartor/A 42434-2026 karta.png", "A 42434-2026")</f>
        <v/>
      </c>
      <c r="Y53">
        <f>HYPERLINK("https://klasma.github.io/Logging_1904/kartor_geotiff/A 42434-2026 georefererad karta.tif", "A 42434-2026")</f>
        <v/>
      </c>
      <c r="AA53">
        <f>HYPERLINK("https://klasma.github.io/Logging_1904/klagomål/A 42434-2026 FSC-klagomål.docx", "A 42434-2026")</f>
        <v/>
      </c>
      <c r="AB53">
        <f>HYPERLINK("https://klasma.github.io/Logging_1904/klagomålsmail/A 42434-2026 FSC-klagomål mail.docx", "A 42434-2026")</f>
        <v/>
      </c>
      <c r="AC53">
        <f>HYPERLINK("https://klasma.github.io/Logging_1904/tillsyn/A 42434-2026 tillsynsbegäran.docx", "A 42434-2026")</f>
        <v/>
      </c>
      <c r="AD53">
        <f>HYPERLINK("https://klasma.github.io/Logging_1904/tillsynsmail/A 42434-2026 tillsynsbegäran mail.docx", "A 42434-2026")</f>
        <v/>
      </c>
    </row>
    <row r="54" ht="15" customHeight="1">
      <c r="A54" t="inlineStr">
        <is>
          <t>A 19205-2024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45428</v>
      </c>
      <c r="E54" s="1" t="n">
        <v>46324</v>
      </c>
      <c r="F54" t="inlineStr">
        <is>
          <t>VÄSTMANLANDS LÄN</t>
        </is>
      </c>
      <c r="G54" t="inlineStr">
        <is>
          <t>SKINNSKATTEBERG</t>
        </is>
      </c>
      <c r="H54" t="inlineStr">
        <is>
          <t>Sveaskog</t>
        </is>
      </c>
      <c r="I54" t="n">
        <v>3.4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s="2" t="inlineStr">
        <is>
          <t>Järpe</t>
        </is>
      </c>
      <c r="W54">
        <f>HYPERLINK("https://klasma.github.io/Logging_1904/artfynd/A 19205-2024 artfynd.xlsx", "A 19205-2024")</f>
        <v/>
      </c>
      <c r="X54">
        <f>HYPERLINK("https://klasma.github.io/Logging_1904/kartor/A 19205-2024 karta.png", "A 19205-2024")</f>
        <v/>
      </c>
      <c r="Y54">
        <f>HYPERLINK("https://klasma.github.io/Logging_1904/kartor_geotiff/A 19205-2024 georefererad karta.tif", "A 19205-2024")</f>
        <v/>
      </c>
      <c r="AA54">
        <f>HYPERLINK("https://klasma.github.io/Logging_1904/klagomål/A 19205-2024 FSC-klagomål.docx", "A 19205-2024")</f>
        <v/>
      </c>
      <c r="AB54">
        <f>HYPERLINK("https://klasma.github.io/Logging_1904/klagomålsmail/A 19205-2024 FSC-klagomål mail.docx", "A 19205-2024")</f>
        <v/>
      </c>
      <c r="AC54">
        <f>HYPERLINK("https://klasma.github.io/Logging_1904/tillsyn/A 19205-2024 tillsynsbegäran.docx", "A 19205-2024")</f>
        <v/>
      </c>
      <c r="AD54">
        <f>HYPERLINK("https://klasma.github.io/Logging_1904/tillsynsmail/A 19205-2024 tillsynsbegäran mail.docx", "A 19205-2024")</f>
        <v/>
      </c>
      <c r="AE54">
        <f>HYPERLINK("https://klasma.github.io/Logging_1904/fåglar/A 19205-2024 prioriterade fågelarter.docx", "A 19205-2024")</f>
        <v/>
      </c>
    </row>
    <row r="55" ht="15" customHeight="1">
      <c r="A55" t="inlineStr">
        <is>
          <t>A 36263-2026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46268</v>
      </c>
      <c r="E55" s="1" t="n">
        <v>46324</v>
      </c>
      <c r="F55" t="inlineStr">
        <is>
          <t>VÄSTMANLANDS LÄN</t>
        </is>
      </c>
      <c r="G55" t="inlineStr">
        <is>
          <t>SKINNSKATTEBERG</t>
        </is>
      </c>
      <c r="H55" t="inlineStr">
        <is>
          <t>Sveaskog</t>
        </is>
      </c>
      <c r="I55" t="n">
        <v>3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Lopplummer (aggregat)</t>
        </is>
      </c>
      <c r="W55">
        <f>HYPERLINK("https://klasma.github.io/Logging_1904/artfynd/A 36263-2026 artfynd.xlsx", "A 36263-2026")</f>
        <v/>
      </c>
      <c r="X55">
        <f>HYPERLINK("https://klasma.github.io/Logging_1904/kartor/A 36263-2026 karta.png", "A 36263-2026")</f>
        <v/>
      </c>
      <c r="Y55">
        <f>HYPERLINK("https://klasma.github.io/Logging_1904/kartor_geotiff/A 36263-2026 georefererad karta.tif", "A 36263-2026")</f>
        <v/>
      </c>
      <c r="AA55">
        <f>HYPERLINK("https://klasma.github.io/Logging_1904/klagomål/A 36263-2026 FSC-klagomål.docx", "A 36263-2026")</f>
        <v/>
      </c>
      <c r="AB55">
        <f>HYPERLINK("https://klasma.github.io/Logging_1904/klagomålsmail/A 36263-2026 FSC-klagomål mail.docx", "A 36263-2026")</f>
        <v/>
      </c>
      <c r="AC55">
        <f>HYPERLINK("https://klasma.github.io/Logging_1904/tillsyn/A 36263-2026 tillsynsbegäran.docx", "A 36263-2026")</f>
        <v/>
      </c>
      <c r="AD55">
        <f>HYPERLINK("https://klasma.github.io/Logging_1904/tillsynsmail/A 36263-2026 tillsynsbegäran mail.docx", "A 36263-2026")</f>
        <v/>
      </c>
    </row>
    <row r="56" ht="15" customHeight="1">
      <c r="A56" t="inlineStr">
        <is>
          <t>A 43673-2026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46316</v>
      </c>
      <c r="E56" s="1" t="n">
        <v>46324</v>
      </c>
      <c r="F56" t="inlineStr">
        <is>
          <t>VÄSTMANLANDS LÄN</t>
        </is>
      </c>
      <c r="G56" t="inlineStr">
        <is>
          <t>SKINNSKATTEBERG</t>
        </is>
      </c>
      <c r="H56" t="inlineStr">
        <is>
          <t>Sveaskog</t>
        </is>
      </c>
      <c r="I56" t="n">
        <v>4.6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0</v>
      </c>
      <c r="V56" s="2" t="inlineStr">
        <is>
          <t>Dropptaggsvamp</t>
        </is>
      </c>
      <c r="W56">
        <f>HYPERLINK("https://klasma.github.io/Logging_1904/artfynd/A 43673-2026 artfynd.xlsx", "A 43673-2026")</f>
        <v/>
      </c>
      <c r="X56">
        <f>HYPERLINK("https://klasma.github.io/Logging_1904/kartor/A 43673-2026 karta.png", "A 43673-2026")</f>
        <v/>
      </c>
      <c r="Y56">
        <f>HYPERLINK("https://klasma.github.io/Logging_1904/kartor_geotiff/A 43673-2026 georefererad karta.tif", "A 43673-2026")</f>
        <v/>
      </c>
      <c r="AA56">
        <f>HYPERLINK("https://klasma.github.io/Logging_1904/klagomål/A 43673-2026 FSC-klagomål.docx", "A 43673-2026")</f>
        <v/>
      </c>
      <c r="AB56">
        <f>HYPERLINK("https://klasma.github.io/Logging_1904/klagomålsmail/A 43673-2026 FSC-klagomål mail.docx", "A 43673-2026")</f>
        <v/>
      </c>
      <c r="AC56">
        <f>HYPERLINK("https://klasma.github.io/Logging_1904/tillsyn/A 43673-2026 tillsynsbegäran.docx", "A 43673-2026")</f>
        <v/>
      </c>
      <c r="AD56">
        <f>HYPERLINK("https://klasma.github.io/Logging_1904/tillsynsmail/A 43673-2026 tillsynsbegäran mail.docx", "A 43673-2026")</f>
        <v/>
      </c>
    </row>
    <row r="57" ht="15" customHeight="1">
      <c r="A57" t="inlineStr">
        <is>
          <t>A 57395-2025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45980</v>
      </c>
      <c r="E57" s="1" t="n">
        <v>46324</v>
      </c>
      <c r="F57" t="inlineStr">
        <is>
          <t>VÄSTMANLANDS LÄN</t>
        </is>
      </c>
      <c r="G57" t="inlineStr">
        <is>
          <t>SKINNSKATTEBERG</t>
        </is>
      </c>
      <c r="H57" t="inlineStr">
        <is>
          <t>Sveaskog</t>
        </is>
      </c>
      <c r="I57" t="n">
        <v>6.9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s="2" t="inlineStr">
        <is>
          <t>Vedticka</t>
        </is>
      </c>
      <c r="W57">
        <f>HYPERLINK("https://klasma.github.io/Logging_1904/artfynd/A 57395-2025 artfynd.xlsx", "A 57395-2025")</f>
        <v/>
      </c>
      <c r="X57">
        <f>HYPERLINK("https://klasma.github.io/Logging_1904/kartor/A 57395-2025 karta.png", "A 57395-2025")</f>
        <v/>
      </c>
      <c r="Y57">
        <f>HYPERLINK("https://klasma.github.io/Logging_1904/kartor_geotiff/A 57395-2025 georefererad karta.tif", "A 57395-2025")</f>
        <v/>
      </c>
      <c r="AA57">
        <f>HYPERLINK("https://klasma.github.io/Logging_1904/klagomål/A 57395-2025 FSC-klagomål.docx", "A 57395-2025")</f>
        <v/>
      </c>
      <c r="AB57">
        <f>HYPERLINK("https://klasma.github.io/Logging_1904/klagomålsmail/A 57395-2025 FSC-klagomål mail.docx", "A 57395-2025")</f>
        <v/>
      </c>
      <c r="AC57">
        <f>HYPERLINK("https://klasma.github.io/Logging_1904/tillsyn/A 57395-2025 tillsynsbegäran.docx", "A 57395-2025")</f>
        <v/>
      </c>
      <c r="AD57">
        <f>HYPERLINK("https://klasma.github.io/Logging_1904/tillsynsmail/A 57395-2025 tillsynsbegäran mail.docx", "A 57395-2025")</f>
        <v/>
      </c>
    </row>
    <row r="58" ht="15" customHeight="1">
      <c r="A58" t="inlineStr">
        <is>
          <t>A 37900-2026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46279</v>
      </c>
      <c r="E58" s="1" t="n">
        <v>46324</v>
      </c>
      <c r="F58" t="inlineStr">
        <is>
          <t>VÄSTMANLANDS LÄN</t>
        </is>
      </c>
      <c r="G58" t="inlineStr">
        <is>
          <t>SKINNSKATTEBERG</t>
        </is>
      </c>
      <c r="H58" t="inlineStr">
        <is>
          <t>Sveaskog</t>
        </is>
      </c>
      <c r="I58" t="n">
        <v>9.199999999999999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Tjäder</t>
        </is>
      </c>
      <c r="W58">
        <f>HYPERLINK("https://klasma.github.io/Logging_1904/artfynd/A 37900-2026 artfynd.xlsx", "A 37900-2026")</f>
        <v/>
      </c>
      <c r="X58">
        <f>HYPERLINK("https://klasma.github.io/Logging_1904/kartor/A 37900-2026 karta.png", "A 37900-2026")</f>
        <v/>
      </c>
      <c r="Y58">
        <f>HYPERLINK("https://klasma.github.io/Logging_1904/kartor_geotiff/A 37900-2026 georefererad karta.tif", "A 37900-2026")</f>
        <v/>
      </c>
      <c r="AA58">
        <f>HYPERLINK("https://klasma.github.io/Logging_1904/klagomål/A 37900-2026 FSC-klagomål.docx", "A 37900-2026")</f>
        <v/>
      </c>
      <c r="AB58">
        <f>HYPERLINK("https://klasma.github.io/Logging_1904/klagomålsmail/A 37900-2026 FSC-klagomål mail.docx", "A 37900-2026")</f>
        <v/>
      </c>
      <c r="AC58">
        <f>HYPERLINK("https://klasma.github.io/Logging_1904/tillsyn/A 37900-2026 tillsynsbegäran.docx", "A 37900-2026")</f>
        <v/>
      </c>
      <c r="AD58">
        <f>HYPERLINK("https://klasma.github.io/Logging_1904/tillsynsmail/A 37900-2026 tillsynsbegäran mail.docx", "A 37900-2026")</f>
        <v/>
      </c>
      <c r="AE58">
        <f>HYPERLINK("https://klasma.github.io/Logging_1904/fåglar/A 37900-2026 prioriterade fågelarter.docx", "A 37900-2026")</f>
        <v/>
      </c>
    </row>
    <row r="59" ht="15" customHeight="1">
      <c r="A59" t="inlineStr">
        <is>
          <t>A 44677-2026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46322</v>
      </c>
      <c r="E59" s="1" t="n">
        <v>46324</v>
      </c>
      <c r="F59" t="inlineStr">
        <is>
          <t>VÄSTMANLANDS LÄN</t>
        </is>
      </c>
      <c r="G59" t="inlineStr">
        <is>
          <t>SKINNSKATTEBERG</t>
        </is>
      </c>
      <c r="H59" t="inlineStr">
        <is>
          <t>Sveaskog</t>
        </is>
      </c>
      <c r="I59" t="n">
        <v>7.7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Lopplummer (aggregat)</t>
        </is>
      </c>
      <c r="W59">
        <f>HYPERLINK("https://klasma.github.io/Logging_1904/artfynd/A 44677-2026 artfynd.xlsx", "A 44677-2026")</f>
        <v/>
      </c>
      <c r="X59">
        <f>HYPERLINK("https://klasma.github.io/Logging_1904/kartor/A 44677-2026 karta.png", "A 44677-2026")</f>
        <v/>
      </c>
      <c r="Y59">
        <f>HYPERLINK("https://klasma.github.io/Logging_1904/kartor_geotiff/A 44677-2026 georefererad karta.tif", "A 44677-2026")</f>
        <v/>
      </c>
      <c r="AA59">
        <f>HYPERLINK("https://klasma.github.io/Logging_1904/klagomål/A 44677-2026 FSC-klagomål.docx", "A 44677-2026")</f>
        <v/>
      </c>
      <c r="AB59">
        <f>HYPERLINK("https://klasma.github.io/Logging_1904/klagomålsmail/A 44677-2026 FSC-klagomål mail.docx", "A 44677-2026")</f>
        <v/>
      </c>
      <c r="AC59">
        <f>HYPERLINK("https://klasma.github.io/Logging_1904/tillsyn/A 44677-2026 tillsynsbegäran.docx", "A 44677-2026")</f>
        <v/>
      </c>
      <c r="AD59">
        <f>HYPERLINK("https://klasma.github.io/Logging_1904/tillsynsmail/A 44677-2026 tillsynsbegäran mail.docx", "A 44677-2026")</f>
        <v/>
      </c>
    </row>
    <row r="60" ht="15" customHeight="1">
      <c r="A60" t="inlineStr">
        <is>
          <t>A 43662-2026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46316</v>
      </c>
      <c r="E60" s="1" t="n">
        <v>46324</v>
      </c>
      <c r="F60" t="inlineStr">
        <is>
          <t>VÄSTMANLANDS LÄN</t>
        </is>
      </c>
      <c r="G60" t="inlineStr">
        <is>
          <t>SKINNSKATTEBERG</t>
        </is>
      </c>
      <c r="H60" t="inlineStr">
        <is>
          <t>Sveaskog</t>
        </is>
      </c>
      <c r="I60" t="n">
        <v>4.6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0</v>
      </c>
      <c r="V60" s="2" t="inlineStr">
        <is>
          <t>Dropptaggsvamp</t>
        </is>
      </c>
      <c r="W60">
        <f>HYPERLINK("https://klasma.github.io/Logging_1904/artfynd/A 43662-2026 artfynd.xlsx", "A 43662-2026")</f>
        <v/>
      </c>
      <c r="X60">
        <f>HYPERLINK("https://klasma.github.io/Logging_1904/kartor/A 43662-2026 karta.png", "A 43662-2026")</f>
        <v/>
      </c>
      <c r="Y60">
        <f>HYPERLINK("https://klasma.github.io/Logging_1904/kartor_geotiff/A 43662-2026 georefererad karta.tif", "A 43662-2026")</f>
        <v/>
      </c>
      <c r="AA60">
        <f>HYPERLINK("https://klasma.github.io/Logging_1904/klagomål/A 43662-2026 FSC-klagomål.docx", "A 43662-2026")</f>
        <v/>
      </c>
      <c r="AB60">
        <f>HYPERLINK("https://klasma.github.io/Logging_1904/klagomålsmail/A 43662-2026 FSC-klagomål mail.docx", "A 43662-2026")</f>
        <v/>
      </c>
      <c r="AC60">
        <f>HYPERLINK("https://klasma.github.io/Logging_1904/tillsyn/A 43662-2026 tillsynsbegäran.docx", "A 43662-2026")</f>
        <v/>
      </c>
      <c r="AD60">
        <f>HYPERLINK("https://klasma.github.io/Logging_1904/tillsynsmail/A 43662-2026 tillsynsbegäran mail.docx", "A 43662-2026")</f>
        <v/>
      </c>
    </row>
    <row r="61" ht="15" customHeight="1">
      <c r="A61" t="inlineStr">
        <is>
          <t>A 44669-2026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46322</v>
      </c>
      <c r="E61" s="1" t="n">
        <v>46324</v>
      </c>
      <c r="F61" t="inlineStr">
        <is>
          <t>VÄSTMANLANDS LÄN</t>
        </is>
      </c>
      <c r="G61" t="inlineStr">
        <is>
          <t>SKINNSKATTEBERG</t>
        </is>
      </c>
      <c r="H61" t="inlineStr">
        <is>
          <t>Sveaskog</t>
        </is>
      </c>
      <c r="I61" t="n">
        <v>3.5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2</v>
      </c>
      <c r="U61" t="n">
        <v>0</v>
      </c>
      <c r="V61" s="2" t="inlineStr">
        <is>
          <t>Revlummer</t>
        </is>
      </c>
      <c r="W61">
        <f>HYPERLINK("https://klasma.github.io/Logging_1904/artfynd/A 44669-2026 artfynd.xlsx", "A 44669-2026")</f>
        <v/>
      </c>
      <c r="X61">
        <f>HYPERLINK("https://klasma.github.io/Logging_1904/kartor/A 44669-2026 karta.png", "A 44669-2026")</f>
        <v/>
      </c>
      <c r="Y61">
        <f>HYPERLINK("https://klasma.github.io/Logging_1904/kartor_geotiff/A 44669-2026 georefererad karta.tif", "A 44669-2026")</f>
        <v/>
      </c>
      <c r="AA61">
        <f>HYPERLINK("https://klasma.github.io/Logging_1904/klagomål/A 44669-2026 FSC-klagomål.docx", "A 44669-2026")</f>
        <v/>
      </c>
      <c r="AB61">
        <f>HYPERLINK("https://klasma.github.io/Logging_1904/klagomålsmail/A 44669-2026 FSC-klagomål mail.docx", "A 44669-2026")</f>
        <v/>
      </c>
      <c r="AC61">
        <f>HYPERLINK("https://klasma.github.io/Logging_1904/tillsyn/A 44669-2026 tillsynsbegäran.docx", "A 44669-2026")</f>
        <v/>
      </c>
      <c r="AD61">
        <f>HYPERLINK("https://klasma.github.io/Logging_1904/tillsynsmail/A 44669-2026 tillsynsbegäran mail.docx", "A 44669-2026")</f>
        <v/>
      </c>
    </row>
    <row r="62" ht="15" customHeight="1">
      <c r="A62" t="inlineStr">
        <is>
          <t>S 3632-2024</t>
        </is>
      </c>
      <c r="B62" t="inlineStr">
        <is>
          <t>samrådsanmälan</t>
        </is>
      </c>
      <c r="C62" t="inlineStr">
        <is>
          <t>Skogsgödsling</t>
        </is>
      </c>
      <c r="D62" s="1" t="n">
        <v>45548</v>
      </c>
      <c r="E62" s="1" t="n">
        <v>46324</v>
      </c>
      <c r="F62" t="inlineStr">
        <is>
          <t>VÄSTMANLANDS LÄN</t>
        </is>
      </c>
      <c r="G62" t="inlineStr">
        <is>
          <t>SKINNSKATTEBERG</t>
        </is>
      </c>
      <c r="H62" t="inlineStr">
        <is>
          <t>Sveaskog</t>
        </is>
      </c>
      <c r="I62" t="n">
        <v>196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3</v>
      </c>
      <c r="U62" t="n">
        <v>3</v>
      </c>
      <c r="V62" s="2" t="inlineStr">
        <is>
          <t>Tjäder</t>
        </is>
      </c>
      <c r="W62">
        <f>HYPERLINK("https://klasma.github.io/Logging_1904/artfynd/S 3632-2024 artfynd.xlsx", "S 3632-2024")</f>
        <v/>
      </c>
      <c r="X62">
        <f>HYPERLINK("https://klasma.github.io/Logging_1904/kartor/S 3632-2024 karta.png", "S 3632-2024")</f>
        <v/>
      </c>
      <c r="Y62">
        <f>HYPERLINK("https://klasma.github.io/Logging_1904/kartor_geotiff/S 3632-2024 georefererad karta.tif", "S 3632-2024")</f>
        <v/>
      </c>
      <c r="AA62">
        <f>HYPERLINK("https://klasma.github.io/Logging_1904/klagomål/S 3632-2024 FSC-klagomål.docx", "S 3632-2024")</f>
        <v/>
      </c>
      <c r="AB62">
        <f>HYPERLINK("https://klasma.github.io/Logging_1904/klagomålsmail/S 3632-2024 FSC-klagomål mail.docx", "S 3632-2024")</f>
        <v/>
      </c>
      <c r="AC62">
        <f>HYPERLINK("https://klasma.github.io/Logging_1904/tillsyn/S 3632-2024 tillsynsbegäran.docx", "S 3632-2024")</f>
        <v/>
      </c>
      <c r="AD62">
        <f>HYPERLINK("https://klasma.github.io/Logging_1904/tillsynsmail/S 3632-2024 tillsynsbegäran mail.docx", "S 3632-2024")</f>
        <v/>
      </c>
      <c r="AE62">
        <f>HYPERLINK("https://klasma.github.io/Logging_1904/fåglar/S 3632-2024 prioriterade fågelarter.docx", "S 3632-2024")</f>
        <v/>
      </c>
    </row>
    <row r="63" ht="15" customHeight="1">
      <c r="A63" t="inlineStr">
        <is>
          <t>S 1982-2025</t>
        </is>
      </c>
      <c r="B63" t="inlineStr">
        <is>
          <t>samrådsanmälan</t>
        </is>
      </c>
      <c r="C63" t="inlineStr">
        <is>
          <t>Annan skogsbruksåtgärd</t>
        </is>
      </c>
      <c r="D63" s="1" t="n">
        <v>45832</v>
      </c>
      <c r="E63" s="1" t="n">
        <v>46324</v>
      </c>
      <c r="F63" t="inlineStr">
        <is>
          <t>VÄSTMANLANDS LÄN</t>
        </is>
      </c>
      <c r="G63" t="inlineStr">
        <is>
          <t>SKINNSKATTEBERG</t>
        </is>
      </c>
      <c r="H63" t="inlineStr">
        <is>
          <t>Sveaskog</t>
        </is>
      </c>
      <c r="I63" t="n">
        <v>3.8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s="2" t="inlineStr">
        <is>
          <t>Spillkråka</t>
        </is>
      </c>
      <c r="W63">
        <f>HYPERLINK("https://klasma.github.io/Logging_1904/artfynd/S 1982-2025 artfynd.xlsx", "S 1982-2025")</f>
        <v/>
      </c>
      <c r="X63">
        <f>HYPERLINK("https://klasma.github.io/Logging_1904/kartor/S 1982-2025 karta.png", "S 1982-2025")</f>
        <v/>
      </c>
      <c r="Y63">
        <f>HYPERLINK("https://klasma.github.io/Logging_1904/kartor_geotiff/S 1982-2025 georefererad karta.tif", "S 1982-2025")</f>
        <v/>
      </c>
      <c r="AA63">
        <f>HYPERLINK("https://klasma.github.io/Logging_1904/klagomål/S 1982-2025 FSC-klagomål.docx", "S 1982-2025")</f>
        <v/>
      </c>
      <c r="AB63">
        <f>HYPERLINK("https://klasma.github.io/Logging_1904/klagomålsmail/S 1982-2025 FSC-klagomål mail.docx", "S 1982-2025")</f>
        <v/>
      </c>
      <c r="AC63">
        <f>HYPERLINK("https://klasma.github.io/Logging_1904/tillsyn/S 1982-2025 tillsynsbegäran.docx", "S 1982-2025")</f>
        <v/>
      </c>
      <c r="AD63">
        <f>HYPERLINK("https://klasma.github.io/Logging_1904/tillsynsmail/S 1982-2025 tillsynsbegäran mail.docx", "S 1982-2025")</f>
        <v/>
      </c>
      <c r="AE63">
        <f>HYPERLINK("https://klasma.github.io/Logging_1904/fåglar/S 1982-2025 prioriterade fågelarter.docx", "S 1982-2025")</f>
        <v/>
      </c>
    </row>
    <row r="64" ht="15" customHeight="1">
      <c r="A64" t="inlineStr">
        <is>
          <t>S 870-2026</t>
        </is>
      </c>
      <c r="B64" t="inlineStr">
        <is>
          <t>samrådsanmälan</t>
        </is>
      </c>
      <c r="C64" t="inlineStr">
        <is>
          <t>Annan skogsbruksåtgärd</t>
        </is>
      </c>
      <c r="D64" s="1" t="n">
        <v>46107</v>
      </c>
      <c r="E64" s="1" t="n">
        <v>46324</v>
      </c>
      <c r="F64" t="inlineStr">
        <is>
          <t>VÄSTMANLANDS LÄN</t>
        </is>
      </c>
      <c r="G64" t="inlineStr">
        <is>
          <t>SKINNSKATTEBERG</t>
        </is>
      </c>
      <c r="H64" t="inlineStr">
        <is>
          <t>Sveaskog</t>
        </is>
      </c>
      <c r="I64" t="n">
        <v>2.8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s="2" t="inlineStr">
        <is>
          <t>Koppartaggsvamp</t>
        </is>
      </c>
      <c r="W64">
        <f>HYPERLINK("https://klasma.github.io/Logging_1904/artfynd/S 870-2026 artfynd.xlsx", "S 870-2026")</f>
        <v/>
      </c>
      <c r="X64">
        <f>HYPERLINK("https://klasma.github.io/Logging_1904/kartor/S 870-2026 karta.png", "S 870-2026")</f>
        <v/>
      </c>
      <c r="Y64">
        <f>HYPERLINK("https://klasma.github.io/Logging_1904/kartor_geotiff/S 870-2026 georefererad karta.tif", "S 870-2026")</f>
        <v/>
      </c>
      <c r="AA64">
        <f>HYPERLINK("https://klasma.github.io/Logging_1904/klagomål/S 870-2026 FSC-klagomål.docx", "S 870-2026")</f>
        <v/>
      </c>
      <c r="AB64">
        <f>HYPERLINK("https://klasma.github.io/Logging_1904/klagomålsmail/S 870-2026 FSC-klagomål mail.docx", "S 870-2026")</f>
        <v/>
      </c>
      <c r="AC64">
        <f>HYPERLINK("https://klasma.github.io/Logging_1904/tillsyn/S 870-2026 tillsynsbegäran.docx", "S 870-2026")</f>
        <v/>
      </c>
      <c r="AD64">
        <f>HYPERLINK("https://klasma.github.io/Logging_1904/tillsynsmail/S 870-2026 tillsynsbegäran mail.docx", "S 870-2026")</f>
        <v/>
      </c>
    </row>
    <row r="65" ht="15" customHeight="1">
      <c r="A65" t="inlineStr">
        <is>
          <t>A 33600-2022</t>
        </is>
      </c>
      <c r="B65" t="inlineStr">
        <is>
          <t>avverkningsanmälan</t>
        </is>
      </c>
      <c r="C65" t="inlineStr">
        <is>
          <t>Avverkning för annat ändamål</t>
        </is>
      </c>
      <c r="D65" s="1" t="n">
        <v>44789</v>
      </c>
      <c r="E65" s="1" t="n">
        <v>46324</v>
      </c>
      <c r="F65" t="inlineStr">
        <is>
          <t>VÄSTMANLANDS LÄN</t>
        </is>
      </c>
      <c r="G65" t="inlineStr">
        <is>
          <t>SKINNSKATTEBERG</t>
        </is>
      </c>
      <c r="I65" t="n">
        <v>1.5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72710-2021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44545</v>
      </c>
      <c r="E66" s="1" t="n">
        <v>46324</v>
      </c>
      <c r="F66" t="inlineStr">
        <is>
          <t>VÄSTMANLANDS LÄN</t>
        </is>
      </c>
      <c r="G66" t="inlineStr">
        <is>
          <t>SKINNSKATTEBERG</t>
        </is>
      </c>
      <c r="I66" t="n">
        <v>7.9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53454-2022</t>
        </is>
      </c>
      <c r="B67" t="inlineStr">
        <is>
          <t>avverkningsanmälan</t>
        </is>
      </c>
      <c r="C67" t="inlineStr">
        <is>
          <t>Avverkning för annat ändamål</t>
        </is>
      </c>
      <c r="D67" s="1" t="n">
        <v>44879</v>
      </c>
      <c r="E67" s="1" t="n">
        <v>46324</v>
      </c>
      <c r="F67" t="inlineStr">
        <is>
          <t>VÄSTMANLANDS LÄN</t>
        </is>
      </c>
      <c r="G67" t="inlineStr">
        <is>
          <t>SKINNSKATTEBERG</t>
        </is>
      </c>
      <c r="I67" t="n">
        <v>0.9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16860-2022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44674</v>
      </c>
      <c r="E68" s="1" t="n">
        <v>46324</v>
      </c>
      <c r="F68" t="inlineStr">
        <is>
          <t>VÄSTMANLANDS LÄN</t>
        </is>
      </c>
      <c r="G68" t="inlineStr">
        <is>
          <t>SKINNSKATTEBERG</t>
        </is>
      </c>
      <c r="I68" t="n">
        <v>1.9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41866-2022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44829</v>
      </c>
      <c r="E69" s="1" t="n">
        <v>46324</v>
      </c>
      <c r="F69" t="inlineStr">
        <is>
          <t>VÄSTMANLANDS LÄN</t>
        </is>
      </c>
      <c r="G69" t="inlineStr">
        <is>
          <t>SKINNSKATTEBERG</t>
        </is>
      </c>
      <c r="I69" t="n">
        <v>3.7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69259-2021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44531</v>
      </c>
      <c r="E70" s="1" t="n">
        <v>46324</v>
      </c>
      <c r="F70" t="inlineStr">
        <is>
          <t>VÄSTMANLANDS LÄN</t>
        </is>
      </c>
      <c r="G70" t="inlineStr">
        <is>
          <t>SKINNSKATTEBERG</t>
        </is>
      </c>
      <c r="H70" t="inlineStr">
        <is>
          <t>Sveaskog</t>
        </is>
      </c>
      <c r="I70" t="n">
        <v>1.2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72634-2021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44545</v>
      </c>
      <c r="E71" s="1" t="n">
        <v>46324</v>
      </c>
      <c r="F71" t="inlineStr">
        <is>
          <t>VÄSTMANLANDS LÄN</t>
        </is>
      </c>
      <c r="G71" t="inlineStr">
        <is>
          <t>SKINNSKATTEBERG</t>
        </is>
      </c>
      <c r="I71" t="n">
        <v>6.2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27164-2022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44741</v>
      </c>
      <c r="E72" s="1" t="n">
        <v>46324</v>
      </c>
      <c r="F72" t="inlineStr">
        <is>
          <t>VÄSTMANLANDS LÄN</t>
        </is>
      </c>
      <c r="G72" t="inlineStr">
        <is>
          <t>SKINNSKATTEBERG</t>
        </is>
      </c>
      <c r="H72" t="inlineStr">
        <is>
          <t>Sveaskog</t>
        </is>
      </c>
      <c r="I72" t="n">
        <v>0.5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40499-2022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44823</v>
      </c>
      <c r="E73" s="1" t="n">
        <v>46324</v>
      </c>
      <c r="F73" t="inlineStr">
        <is>
          <t>VÄSTMANLANDS LÄN</t>
        </is>
      </c>
      <c r="G73" t="inlineStr">
        <is>
          <t>SKINNSKATTEBERG</t>
        </is>
      </c>
      <c r="I73" t="n">
        <v>2.5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71996-2021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44544</v>
      </c>
      <c r="E74" s="1" t="n">
        <v>46324</v>
      </c>
      <c r="F74" t="inlineStr">
        <is>
          <t>VÄSTMANLANDS LÄN</t>
        </is>
      </c>
      <c r="G74" t="inlineStr">
        <is>
          <t>SKINNSKATTEBERG</t>
        </is>
      </c>
      <c r="I74" t="n">
        <v>2.3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68525-2021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44529</v>
      </c>
      <c r="E75" s="1" t="n">
        <v>46324</v>
      </c>
      <c r="F75" t="inlineStr">
        <is>
          <t>VÄSTMANLANDS LÄN</t>
        </is>
      </c>
      <c r="G75" t="inlineStr">
        <is>
          <t>SKINNSKATTEBERG</t>
        </is>
      </c>
      <c r="I75" t="n">
        <v>6.7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68540-2021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44529</v>
      </c>
      <c r="E76" s="1" t="n">
        <v>46324</v>
      </c>
      <c r="F76" t="inlineStr">
        <is>
          <t>VÄSTMANLANDS LÄN</t>
        </is>
      </c>
      <c r="G76" t="inlineStr">
        <is>
          <t>SKINNSKATTEBERG</t>
        </is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66587-2021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44519</v>
      </c>
      <c r="E77" s="1" t="n">
        <v>46324</v>
      </c>
      <c r="F77" t="inlineStr">
        <is>
          <t>VÄSTMANLANDS LÄN</t>
        </is>
      </c>
      <c r="G77" t="inlineStr">
        <is>
          <t>SKINNSKATTEBERG</t>
        </is>
      </c>
      <c r="H77" t="inlineStr">
        <is>
          <t>Sveaskog</t>
        </is>
      </c>
      <c r="I77" t="n">
        <v>0.9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72684-2021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44545</v>
      </c>
      <c r="E78" s="1" t="n">
        <v>46324</v>
      </c>
      <c r="F78" t="inlineStr">
        <is>
          <t>VÄSTMANLANDS LÄN</t>
        </is>
      </c>
      <c r="G78" t="inlineStr">
        <is>
          <t>SKINNSKATTEBERG</t>
        </is>
      </c>
      <c r="I78" t="n">
        <v>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47653-2022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44852</v>
      </c>
      <c r="E79" s="1" t="n">
        <v>46324</v>
      </c>
      <c r="F79" t="inlineStr">
        <is>
          <t>VÄSTMANLANDS LÄN</t>
        </is>
      </c>
      <c r="G79" t="inlineStr">
        <is>
          <t>SKINNSKATTEBERG</t>
        </is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42093-2023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45177</v>
      </c>
      <c r="E80" s="1" t="n">
        <v>46324</v>
      </c>
      <c r="F80" t="inlineStr">
        <is>
          <t>VÄSTMANLANDS LÄN</t>
        </is>
      </c>
      <c r="G80" t="inlineStr">
        <is>
          <t>SKINNSKATTEBERG</t>
        </is>
      </c>
      <c r="H80" t="inlineStr">
        <is>
          <t>Sveaskog</t>
        </is>
      </c>
      <c r="I80" t="n">
        <v>0.6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71999-2021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44544</v>
      </c>
      <c r="E81" s="1" t="n">
        <v>46324</v>
      </c>
      <c r="F81" t="inlineStr">
        <is>
          <t>VÄSTMANLANDS LÄN</t>
        </is>
      </c>
      <c r="G81" t="inlineStr">
        <is>
          <t>SKINNSKATTEBERG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47658-2022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44852</v>
      </c>
      <c r="E82" s="1" t="n">
        <v>46324</v>
      </c>
      <c r="F82" t="inlineStr">
        <is>
          <t>VÄSTMANLANDS LÄN</t>
        </is>
      </c>
      <c r="G82" t="inlineStr">
        <is>
          <t>SKINNSKATTEBERG</t>
        </is>
      </c>
      <c r="I82" t="n">
        <v>2.3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18163-2024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45420</v>
      </c>
      <c r="E83" s="1" t="n">
        <v>46324</v>
      </c>
      <c r="F83" t="inlineStr">
        <is>
          <t>VÄSTMANLANDS LÄN</t>
        </is>
      </c>
      <c r="G83" t="inlineStr">
        <is>
          <t>SKINNSKATTEBERG</t>
        </is>
      </c>
      <c r="H83" t="inlineStr">
        <is>
          <t>Sveaskog</t>
        </is>
      </c>
      <c r="I83" t="n">
        <v>1.1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35370-2024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45531</v>
      </c>
      <c r="E84" s="1" t="n">
        <v>46324</v>
      </c>
      <c r="F84" t="inlineStr">
        <is>
          <t>VÄSTMANLANDS LÄN</t>
        </is>
      </c>
      <c r="G84" t="inlineStr">
        <is>
          <t>SKINNSKATTEBERG</t>
        </is>
      </c>
      <c r="I84" t="n">
        <v>5.1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22285-2025</t>
        </is>
      </c>
      <c r="B85" t="inlineStr">
        <is>
          <t>avverkningsanmälan</t>
        </is>
      </c>
      <c r="C85" t="inlineStr">
        <is>
          <t>Avverkning för att bevara och utveckla /försöksver</t>
        </is>
      </c>
      <c r="D85" s="1" t="n">
        <v>45786</v>
      </c>
      <c r="E85" s="1" t="n">
        <v>46324</v>
      </c>
      <c r="F85" t="inlineStr">
        <is>
          <t>VÄSTMANLANDS LÄN</t>
        </is>
      </c>
      <c r="G85" t="inlineStr">
        <is>
          <t>SKINNSKATTEBERG</t>
        </is>
      </c>
      <c r="H85" t="inlineStr">
        <is>
          <t>Sveaskog</t>
        </is>
      </c>
      <c r="I85" t="n">
        <v>3.3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22079-2024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45443</v>
      </c>
      <c r="E86" s="1" t="n">
        <v>46324</v>
      </c>
      <c r="F86" t="inlineStr">
        <is>
          <t>VÄSTMANLANDS LÄN</t>
        </is>
      </c>
      <c r="G86" t="inlineStr">
        <is>
          <t>SKINNSKATTEBERG</t>
        </is>
      </c>
      <c r="I86" t="n">
        <v>3.6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35051-2024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45527</v>
      </c>
      <c r="E87" s="1" t="n">
        <v>46324</v>
      </c>
      <c r="F87" t="inlineStr">
        <is>
          <t>VÄSTMANLANDS LÄN</t>
        </is>
      </c>
      <c r="G87" t="inlineStr">
        <is>
          <t>SKINNSKATTEBERG</t>
        </is>
      </c>
      <c r="H87" t="inlineStr">
        <is>
          <t>Sveaskog</t>
        </is>
      </c>
      <c r="I87" t="n">
        <v>1.1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32316-2024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45512</v>
      </c>
      <c r="E88" s="1" t="n">
        <v>46324</v>
      </c>
      <c r="F88" t="inlineStr">
        <is>
          <t>VÄSTMANLANDS LÄN</t>
        </is>
      </c>
      <c r="G88" t="inlineStr">
        <is>
          <t>SKINNSKATTEBERG</t>
        </is>
      </c>
      <c r="H88" t="inlineStr">
        <is>
          <t>Sveaskog</t>
        </is>
      </c>
      <c r="I88" t="n">
        <v>3.6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28058-2024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45476</v>
      </c>
      <c r="E89" s="1" t="n">
        <v>46324</v>
      </c>
      <c r="F89" t="inlineStr">
        <is>
          <t>VÄSTMANLANDS LÄN</t>
        </is>
      </c>
      <c r="G89" t="inlineStr">
        <is>
          <t>SKINNSKATTEBERG</t>
        </is>
      </c>
      <c r="H89" t="inlineStr">
        <is>
          <t>Sveaskog</t>
        </is>
      </c>
      <c r="I89" t="n">
        <v>1.2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51475-2024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45604</v>
      </c>
      <c r="E90" s="1" t="n">
        <v>46324</v>
      </c>
      <c r="F90" t="inlineStr">
        <is>
          <t>VÄSTMANLANDS LÄN</t>
        </is>
      </c>
      <c r="G90" t="inlineStr">
        <is>
          <t>SKINNSKATTEBERG</t>
        </is>
      </c>
      <c r="H90" t="inlineStr">
        <is>
          <t>Sveaskog</t>
        </is>
      </c>
      <c r="I90" t="n">
        <v>3.3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24793-2022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44728</v>
      </c>
      <c r="E91" s="1" t="n">
        <v>46324</v>
      </c>
      <c r="F91" t="inlineStr">
        <is>
          <t>VÄSTMANLANDS LÄN</t>
        </is>
      </c>
      <c r="G91" t="inlineStr">
        <is>
          <t>SKINNSKATTEBERG</t>
        </is>
      </c>
      <c r="H91" t="inlineStr">
        <is>
          <t>Sveaskog</t>
        </is>
      </c>
      <c r="I91" t="n">
        <v>0.9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41333-2023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45174</v>
      </c>
      <c r="E92" s="1" t="n">
        <v>46324</v>
      </c>
      <c r="F92" t="inlineStr">
        <is>
          <t>VÄSTMANLANDS LÄN</t>
        </is>
      </c>
      <c r="G92" t="inlineStr">
        <is>
          <t>SKINNSKATTEBERG</t>
        </is>
      </c>
      <c r="H92" t="inlineStr">
        <is>
          <t>Sveaskog</t>
        </is>
      </c>
      <c r="I92" t="n">
        <v>0.6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16400-2024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45407</v>
      </c>
      <c r="E93" s="1" t="n">
        <v>46324</v>
      </c>
      <c r="F93" t="inlineStr">
        <is>
          <t>VÄSTMANLANDS LÄN</t>
        </is>
      </c>
      <c r="G93" t="inlineStr">
        <is>
          <t>SKINNSKATTEBERG</t>
        </is>
      </c>
      <c r="H93" t="inlineStr">
        <is>
          <t>Sveaskog</t>
        </is>
      </c>
      <c r="I93" t="n">
        <v>0.5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25846-2025</t>
        </is>
      </c>
      <c r="B94" t="inlineStr">
        <is>
          <t>avverkningsanmälan</t>
        </is>
      </c>
      <c r="C94" t="inlineStr">
        <is>
          <t>Avverkning för annat ändamål</t>
        </is>
      </c>
      <c r="D94" s="1" t="n">
        <v>45804</v>
      </c>
      <c r="E94" s="1" t="n">
        <v>46324</v>
      </c>
      <c r="F94" t="inlineStr">
        <is>
          <t>VÄSTMANLANDS LÄN</t>
        </is>
      </c>
      <c r="G94" t="inlineStr">
        <is>
          <t>SKINNSKATTEBERG</t>
        </is>
      </c>
      <c r="H94" t="inlineStr">
        <is>
          <t>Sveaskog</t>
        </is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36288-2022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44803</v>
      </c>
      <c r="E95" s="1" t="n">
        <v>46324</v>
      </c>
      <c r="F95" t="inlineStr">
        <is>
          <t>VÄSTMANLANDS LÄN</t>
        </is>
      </c>
      <c r="G95" t="inlineStr">
        <is>
          <t>SKINNSKATTEBERG</t>
        </is>
      </c>
      <c r="I95" t="n">
        <v>1.5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24777-2022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44728</v>
      </c>
      <c r="E96" s="1" t="n">
        <v>46324</v>
      </c>
      <c r="F96" t="inlineStr">
        <is>
          <t>VÄSTMANLANDS LÄN</t>
        </is>
      </c>
      <c r="G96" t="inlineStr">
        <is>
          <t>SKINNSKATTEBERG</t>
        </is>
      </c>
      <c r="H96" t="inlineStr">
        <is>
          <t>Sveaskog</t>
        </is>
      </c>
      <c r="I96" t="n">
        <v>1.6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28940-2024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45480</v>
      </c>
      <c r="E97" s="1" t="n">
        <v>46324</v>
      </c>
      <c r="F97" t="inlineStr">
        <is>
          <t>VÄSTMANLANDS LÄN</t>
        </is>
      </c>
      <c r="G97" t="inlineStr">
        <is>
          <t>SKINNSKATTEBERG</t>
        </is>
      </c>
      <c r="I97" t="n">
        <v>3.9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19398-2024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45429</v>
      </c>
      <c r="E98" s="1" t="n">
        <v>46324</v>
      </c>
      <c r="F98" t="inlineStr">
        <is>
          <t>VÄSTMANLANDS LÄN</t>
        </is>
      </c>
      <c r="G98" t="inlineStr">
        <is>
          <t>SKINNSKATTEBERG</t>
        </is>
      </c>
      <c r="H98" t="inlineStr">
        <is>
          <t>Sveaskog</t>
        </is>
      </c>
      <c r="I98" t="n">
        <v>1.7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20430-2024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45435</v>
      </c>
      <c r="E99" s="1" t="n">
        <v>46324</v>
      </c>
      <c r="F99" t="inlineStr">
        <is>
          <t>VÄSTMANLANDS LÄN</t>
        </is>
      </c>
      <c r="G99" t="inlineStr">
        <is>
          <t>SKINNSKATTEBERG</t>
        </is>
      </c>
      <c r="I99" t="n">
        <v>1.9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27653-2023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45097</v>
      </c>
      <c r="E100" s="1" t="n">
        <v>46324</v>
      </c>
      <c r="F100" t="inlineStr">
        <is>
          <t>VÄSTMANLANDS LÄN</t>
        </is>
      </c>
      <c r="G100" t="inlineStr">
        <is>
          <t>SKINNSKATTEBERG</t>
        </is>
      </c>
      <c r="I100" t="n">
        <v>1.5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39691-2025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45890</v>
      </c>
      <c r="E101" s="1" t="n">
        <v>46324</v>
      </c>
      <c r="F101" t="inlineStr">
        <is>
          <t>VÄSTMANLANDS LÄN</t>
        </is>
      </c>
      <c r="G101" t="inlineStr">
        <is>
          <t>SKINNSKATTEBERG</t>
        </is>
      </c>
      <c r="H101" t="inlineStr">
        <is>
          <t>Sveaskog</t>
        </is>
      </c>
      <c r="I101" t="n">
        <v>1.5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20816-2023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45058</v>
      </c>
      <c r="E102" s="1" t="n">
        <v>46324</v>
      </c>
      <c r="F102" t="inlineStr">
        <is>
          <t>VÄSTMANLANDS LÄN</t>
        </is>
      </c>
      <c r="G102" t="inlineStr">
        <is>
          <t>SKINNSKATTEBERG</t>
        </is>
      </c>
      <c r="H102" t="inlineStr">
        <is>
          <t>Sveaskog</t>
        </is>
      </c>
      <c r="I102" t="n">
        <v>2.4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28831-2025</t>
        </is>
      </c>
      <c r="B103" t="inlineStr">
        <is>
          <t>avverkningsanmälan</t>
        </is>
      </c>
      <c r="C103" t="inlineStr">
        <is>
          <t>Avverkning för annat ändamål</t>
        </is>
      </c>
      <c r="D103" s="1" t="n">
        <v>45820</v>
      </c>
      <c r="E103" s="1" t="n">
        <v>46324</v>
      </c>
      <c r="F103" t="inlineStr">
        <is>
          <t>VÄSTMANLANDS LÄN</t>
        </is>
      </c>
      <c r="G103" t="inlineStr">
        <is>
          <t>SKINNSKATTEBERG</t>
        </is>
      </c>
      <c r="H103" t="inlineStr">
        <is>
          <t>Sveaskog</t>
        </is>
      </c>
      <c r="I103" t="n">
        <v>1.2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28873-2025</t>
        </is>
      </c>
      <c r="B104" t="inlineStr">
        <is>
          <t>avverkningsanmälan</t>
        </is>
      </c>
      <c r="C104" t="inlineStr">
        <is>
          <t>Avverkning för annat ändamål</t>
        </is>
      </c>
      <c r="D104" s="1" t="n">
        <v>45820</v>
      </c>
      <c r="E104" s="1" t="n">
        <v>46324</v>
      </c>
      <c r="F104" t="inlineStr">
        <is>
          <t>VÄSTMANLANDS LÄN</t>
        </is>
      </c>
      <c r="G104" t="inlineStr">
        <is>
          <t>SKINNSKATTEBERG</t>
        </is>
      </c>
      <c r="H104" t="inlineStr">
        <is>
          <t>Sveaskog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29808-2025</t>
        </is>
      </c>
      <c r="B105" t="inlineStr">
        <is>
          <t>avverkningsanmälan</t>
        </is>
      </c>
      <c r="C105" t="inlineStr">
        <is>
          <t>Avverkning för annat ändamål</t>
        </is>
      </c>
      <c r="D105" s="1" t="n">
        <v>45825</v>
      </c>
      <c r="E105" s="1" t="n">
        <v>46324</v>
      </c>
      <c r="F105" t="inlineStr">
        <is>
          <t>VÄSTMANLANDS LÄN</t>
        </is>
      </c>
      <c r="G105" t="inlineStr">
        <is>
          <t>SKINNSKATTEBERG</t>
        </is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20074-2023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45054</v>
      </c>
      <c r="E106" s="1" t="n">
        <v>46324</v>
      </c>
      <c r="F106" t="inlineStr">
        <is>
          <t>VÄSTMANLANDS LÄN</t>
        </is>
      </c>
      <c r="G106" t="inlineStr">
        <is>
          <t>SKINNSKATTEBERG</t>
        </is>
      </c>
      <c r="H106" t="inlineStr">
        <is>
          <t>Sveaskog</t>
        </is>
      </c>
      <c r="I106" t="n">
        <v>0.5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40788-2025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45897</v>
      </c>
      <c r="E107" s="1" t="n">
        <v>46324</v>
      </c>
      <c r="F107" t="inlineStr">
        <is>
          <t>VÄSTMANLANDS LÄN</t>
        </is>
      </c>
      <c r="G107" t="inlineStr">
        <is>
          <t>SKINNSKATTEBERG</t>
        </is>
      </c>
      <c r="H107" t="inlineStr">
        <is>
          <t>Sveaskog</t>
        </is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40776-2025</t>
        </is>
      </c>
      <c r="B108" t="inlineStr">
        <is>
          <t>avverkningsanmälan</t>
        </is>
      </c>
      <c r="C108" t="inlineStr">
        <is>
          <t>Avverkning för att bevara och utveckla /försöksver</t>
        </is>
      </c>
      <c r="D108" s="1" t="n">
        <v>45897</v>
      </c>
      <c r="E108" s="1" t="n">
        <v>46324</v>
      </c>
      <c r="F108" t="inlineStr">
        <is>
          <t>VÄSTMANLANDS LÄN</t>
        </is>
      </c>
      <c r="G108" t="inlineStr">
        <is>
          <t>SKINNSKATTEBERG</t>
        </is>
      </c>
      <c r="H108" t="inlineStr">
        <is>
          <t>Sveaskog</t>
        </is>
      </c>
      <c r="I108" t="n">
        <v>0.5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40778-2025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45897</v>
      </c>
      <c r="E109" s="1" t="n">
        <v>46324</v>
      </c>
      <c r="F109" t="inlineStr">
        <is>
          <t>VÄSTMANLANDS LÄN</t>
        </is>
      </c>
      <c r="G109" t="inlineStr">
        <is>
          <t>SKINNSKATTEBERG</t>
        </is>
      </c>
      <c r="H109" t="inlineStr">
        <is>
          <t>Sveaskog</t>
        </is>
      </c>
      <c r="I109" t="n">
        <v>2.6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40784-2025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45897</v>
      </c>
      <c r="E110" s="1" t="n">
        <v>46324</v>
      </c>
      <c r="F110" t="inlineStr">
        <is>
          <t>VÄSTMANLANDS LÄN</t>
        </is>
      </c>
      <c r="G110" t="inlineStr">
        <is>
          <t>SKINNSKATTEBERG</t>
        </is>
      </c>
      <c r="H110" t="inlineStr">
        <is>
          <t>Sveaskog</t>
        </is>
      </c>
      <c r="I110" t="n">
        <v>0.8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40783-2025</t>
        </is>
      </c>
      <c r="B111" t="inlineStr">
        <is>
          <t>avverkningsanmälan</t>
        </is>
      </c>
      <c r="C111" t="inlineStr">
        <is>
          <t>Avverkning för att bevara och utveckla /försöksver</t>
        </is>
      </c>
      <c r="D111" s="1" t="n">
        <v>45897</v>
      </c>
      <c r="E111" s="1" t="n">
        <v>46324</v>
      </c>
      <c r="F111" t="inlineStr">
        <is>
          <t>VÄSTMANLANDS LÄN</t>
        </is>
      </c>
      <c r="G111" t="inlineStr">
        <is>
          <t>SKINNSKATTEBERG</t>
        </is>
      </c>
      <c r="H111" t="inlineStr">
        <is>
          <t>Sveaskog</t>
        </is>
      </c>
      <c r="I111" t="n">
        <v>0.7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40782-2025</t>
        </is>
      </c>
      <c r="B112" t="inlineStr">
        <is>
          <t>avverkningsanmälan</t>
        </is>
      </c>
      <c r="C112" t="inlineStr">
        <is>
          <t>Avverkning för att bevara och utveckla /försöksver</t>
        </is>
      </c>
      <c r="D112" s="1" t="n">
        <v>45897</v>
      </c>
      <c r="E112" s="1" t="n">
        <v>46324</v>
      </c>
      <c r="F112" t="inlineStr">
        <is>
          <t>VÄSTMANLANDS LÄN</t>
        </is>
      </c>
      <c r="G112" t="inlineStr">
        <is>
          <t>SKINNSKATTEBERG</t>
        </is>
      </c>
      <c r="H112" t="inlineStr">
        <is>
          <t>Sveaskog</t>
        </is>
      </c>
      <c r="I112" t="n">
        <v>1.7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29810-2025</t>
        </is>
      </c>
      <c r="B113" t="inlineStr">
        <is>
          <t>avverkningsanmälan</t>
        </is>
      </c>
      <c r="C113" t="inlineStr">
        <is>
          <t>Avverkning för annat ändamål</t>
        </is>
      </c>
      <c r="D113" s="1" t="n">
        <v>45825</v>
      </c>
      <c r="E113" s="1" t="n">
        <v>46324</v>
      </c>
      <c r="F113" t="inlineStr">
        <is>
          <t>VÄSTMANLANDS LÄN</t>
        </is>
      </c>
      <c r="G113" t="inlineStr">
        <is>
          <t>SKINNSKATTEBERG</t>
        </is>
      </c>
      <c r="I113" t="n">
        <v>0.9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30439-2025</t>
        </is>
      </c>
      <c r="B114" t="inlineStr">
        <is>
          <t>avverkningsanmälan</t>
        </is>
      </c>
      <c r="C114" t="inlineStr">
        <is>
          <t>Avverkning för att bevara och utveckla /försöksver</t>
        </is>
      </c>
      <c r="D114" s="1" t="n">
        <v>45827</v>
      </c>
      <c r="E114" s="1" t="n">
        <v>46324</v>
      </c>
      <c r="F114" t="inlineStr">
        <is>
          <t>VÄSTMANLANDS LÄN</t>
        </is>
      </c>
      <c r="G114" t="inlineStr">
        <is>
          <t>SKINNSKATTEBERG</t>
        </is>
      </c>
      <c r="H114" t="inlineStr">
        <is>
          <t>Sveaskog</t>
        </is>
      </c>
      <c r="I114" t="n">
        <v>4.2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20430-2023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45056</v>
      </c>
      <c r="E115" s="1" t="n">
        <v>46324</v>
      </c>
      <c r="F115" t="inlineStr">
        <is>
          <t>VÄSTMANLANDS LÄN</t>
        </is>
      </c>
      <c r="G115" t="inlineStr">
        <is>
          <t>SKINNSKATTEBERG</t>
        </is>
      </c>
      <c r="H115" t="inlineStr">
        <is>
          <t>Sveaskog</t>
        </is>
      </c>
      <c r="I115" t="n">
        <v>0.8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18417-2025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45762</v>
      </c>
      <c r="E116" s="1" t="n">
        <v>46324</v>
      </c>
      <c r="F116" t="inlineStr">
        <is>
          <t>VÄSTMANLANDS LÄN</t>
        </is>
      </c>
      <c r="G116" t="inlineStr">
        <is>
          <t>SKINNSKATTEBERG</t>
        </is>
      </c>
      <c r="H116" t="inlineStr">
        <is>
          <t>Sveaskog</t>
        </is>
      </c>
      <c r="I116" t="n">
        <v>1.6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31011-2025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45832</v>
      </c>
      <c r="E117" s="1" t="n">
        <v>46324</v>
      </c>
      <c r="F117" t="inlineStr">
        <is>
          <t>VÄSTMANLANDS LÄN</t>
        </is>
      </c>
      <c r="G117" t="inlineStr">
        <is>
          <t>SKINNSKATTEBERG</t>
        </is>
      </c>
      <c r="H117" t="inlineStr">
        <is>
          <t>Sveaskog</t>
        </is>
      </c>
      <c r="I117" t="n">
        <v>1.4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30873-2025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45832</v>
      </c>
      <c r="E118" s="1" t="n">
        <v>46324</v>
      </c>
      <c r="F118" t="inlineStr">
        <is>
          <t>VÄSTMANLANDS LÄN</t>
        </is>
      </c>
      <c r="G118" t="inlineStr">
        <is>
          <t>SKINNSKATTEBERG</t>
        </is>
      </c>
      <c r="H118" t="inlineStr">
        <is>
          <t>Sveaskog</t>
        </is>
      </c>
      <c r="I118" t="n">
        <v>1.1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13713-2024</t>
        </is>
      </c>
      <c r="B119" t="inlineStr">
        <is>
          <t>avverkningsanmälan</t>
        </is>
      </c>
      <c r="C119" t="inlineStr">
        <is>
          <t>Avverkning för annat ändamål</t>
        </is>
      </c>
      <c r="D119" s="1" t="n">
        <v>45390</v>
      </c>
      <c r="E119" s="1" t="n">
        <v>46324</v>
      </c>
      <c r="F119" t="inlineStr">
        <is>
          <t>VÄSTMANLANDS LÄN</t>
        </is>
      </c>
      <c r="G119" t="inlineStr">
        <is>
          <t>SKINNSKATTEBERG</t>
        </is>
      </c>
      <c r="H119" t="inlineStr">
        <is>
          <t>Sveaskog</t>
        </is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31234-2025</t>
        </is>
      </c>
      <c r="B120" t="inlineStr">
        <is>
          <t>avverkningsanmälan</t>
        </is>
      </c>
      <c r="C120" t="inlineStr">
        <is>
          <t>Avverkning för annat ändamål</t>
        </is>
      </c>
      <c r="D120" s="1" t="n">
        <v>45832</v>
      </c>
      <c r="E120" s="1" t="n">
        <v>46324</v>
      </c>
      <c r="F120" t="inlineStr">
        <is>
          <t>VÄSTMANLANDS LÄN</t>
        </is>
      </c>
      <c r="G120" t="inlineStr">
        <is>
          <t>SKINNSKATTEBERG</t>
        </is>
      </c>
      <c r="I120" t="n">
        <v>0.5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22591-2024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45447</v>
      </c>
      <c r="E121" s="1" t="n">
        <v>46324</v>
      </c>
      <c r="F121" t="inlineStr">
        <is>
          <t>VÄSTMANLANDS LÄN</t>
        </is>
      </c>
      <c r="G121" t="inlineStr">
        <is>
          <t>SKINNSKATTEBERG</t>
        </is>
      </c>
      <c r="H121" t="inlineStr">
        <is>
          <t>Sveaskog</t>
        </is>
      </c>
      <c r="I121" t="n">
        <v>1.8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43185-2025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45910</v>
      </c>
      <c r="E122" s="1" t="n">
        <v>46324</v>
      </c>
      <c r="F122" t="inlineStr">
        <is>
          <t>VÄSTMANLANDS LÄN</t>
        </is>
      </c>
      <c r="G122" t="inlineStr">
        <is>
          <t>SKINNSKATTEBERG</t>
        </is>
      </c>
      <c r="H122" t="inlineStr">
        <is>
          <t>Sveaskog</t>
        </is>
      </c>
      <c r="I122" t="n">
        <v>3.1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43175-2025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45910</v>
      </c>
      <c r="E123" s="1" t="n">
        <v>46324</v>
      </c>
      <c r="F123" t="inlineStr">
        <is>
          <t>VÄSTMANLANDS LÄN</t>
        </is>
      </c>
      <c r="G123" t="inlineStr">
        <is>
          <t>SKINNSKATTEBERG</t>
        </is>
      </c>
      <c r="H123" t="inlineStr">
        <is>
          <t>Sveaskog</t>
        </is>
      </c>
      <c r="I123" t="n">
        <v>1.7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29708-2024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45485</v>
      </c>
      <c r="E124" s="1" t="n">
        <v>46324</v>
      </c>
      <c r="F124" t="inlineStr">
        <is>
          <t>VÄSTMANLANDS LÄN</t>
        </is>
      </c>
      <c r="G124" t="inlineStr">
        <is>
          <t>SKINNSKATTEBERG</t>
        </is>
      </c>
      <c r="I124" t="n">
        <v>1.2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43190-2025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45910</v>
      </c>
      <c r="E125" s="1" t="n">
        <v>46324</v>
      </c>
      <c r="F125" t="inlineStr">
        <is>
          <t>VÄSTMANLANDS LÄN</t>
        </is>
      </c>
      <c r="G125" t="inlineStr">
        <is>
          <t>SKINNSKATTEBERG</t>
        </is>
      </c>
      <c r="H125" t="inlineStr">
        <is>
          <t>Sveaskog</t>
        </is>
      </c>
      <c r="I125" t="n">
        <v>2.5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44179-2025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45915</v>
      </c>
      <c r="E126" s="1" t="n">
        <v>46324</v>
      </c>
      <c r="F126" t="inlineStr">
        <is>
          <t>VÄSTMANLANDS LÄN</t>
        </is>
      </c>
      <c r="G126" t="inlineStr">
        <is>
          <t>SKINNSKATTEBERG</t>
        </is>
      </c>
      <c r="H126" t="inlineStr">
        <is>
          <t>Sveaskog</t>
        </is>
      </c>
      <c r="I126" t="n">
        <v>0.6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44184-2025</t>
        </is>
      </c>
      <c r="B127" t="inlineStr">
        <is>
          <t>avverkningsanmälan</t>
        </is>
      </c>
      <c r="C127" t="inlineStr">
        <is>
          <t>Avverkning för att bevara och utveckla /försöksver</t>
        </is>
      </c>
      <c r="D127" s="1" t="n">
        <v>45915</v>
      </c>
      <c r="E127" s="1" t="n">
        <v>46324</v>
      </c>
      <c r="F127" t="inlineStr">
        <is>
          <t>VÄSTMANLANDS LÄN</t>
        </is>
      </c>
      <c r="G127" t="inlineStr">
        <is>
          <t>SKINNSKATTEBERG</t>
        </is>
      </c>
      <c r="H127" t="inlineStr">
        <is>
          <t>Sveaskog</t>
        </is>
      </c>
      <c r="I127" t="n">
        <v>1.1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51472-2024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45604</v>
      </c>
      <c r="E128" s="1" t="n">
        <v>46324</v>
      </c>
      <c r="F128" t="inlineStr">
        <is>
          <t>VÄSTMANLANDS LÄN</t>
        </is>
      </c>
      <c r="G128" t="inlineStr">
        <is>
          <t>SKINNSKATTEBERG</t>
        </is>
      </c>
      <c r="H128" t="inlineStr">
        <is>
          <t>Sveaskog</t>
        </is>
      </c>
      <c r="I128" t="n">
        <v>1.2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41581-2025</t>
        </is>
      </c>
      <c r="B129" t="inlineStr">
        <is>
          <t>avverkningsanmälan</t>
        </is>
      </c>
      <c r="C129" t="inlineStr">
        <is>
          <t>Avverkning för att bevara och utveckla /försöksver</t>
        </is>
      </c>
      <c r="D129" s="1" t="n">
        <v>45901</v>
      </c>
      <c r="E129" s="1" t="n">
        <v>46324</v>
      </c>
      <c r="F129" t="inlineStr">
        <is>
          <t>VÄSTMANLANDS LÄN</t>
        </is>
      </c>
      <c r="G129" t="inlineStr">
        <is>
          <t>SKINNSKATTEBERG</t>
        </is>
      </c>
      <c r="H129" t="inlineStr">
        <is>
          <t>Sveaskog</t>
        </is>
      </c>
      <c r="I129" t="n">
        <v>0.6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40554-2024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45555</v>
      </c>
      <c r="E130" s="1" t="n">
        <v>46324</v>
      </c>
      <c r="F130" t="inlineStr">
        <is>
          <t>VÄSTMANLANDS LÄN</t>
        </is>
      </c>
      <c r="G130" t="inlineStr">
        <is>
          <t>SKINNSKATTEBERG</t>
        </is>
      </c>
      <c r="H130" t="inlineStr">
        <is>
          <t>Sveaskog</t>
        </is>
      </c>
      <c r="I130" t="n">
        <v>0.8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13385-2024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45387</v>
      </c>
      <c r="E131" s="1" t="n">
        <v>46324</v>
      </c>
      <c r="F131" t="inlineStr">
        <is>
          <t>VÄSTMANLANDS LÄN</t>
        </is>
      </c>
      <c r="G131" t="inlineStr">
        <is>
          <t>SKINNSKATTEBERG</t>
        </is>
      </c>
      <c r="H131" t="inlineStr">
        <is>
          <t>Sveaskog</t>
        </is>
      </c>
      <c r="I131" t="n">
        <v>0.7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21576-2023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45063</v>
      </c>
      <c r="E132" s="1" t="n">
        <v>46324</v>
      </c>
      <c r="F132" t="inlineStr">
        <is>
          <t>VÄSTMANLANDS LÄN</t>
        </is>
      </c>
      <c r="G132" t="inlineStr">
        <is>
          <t>SKINNSKATTEBERG</t>
        </is>
      </c>
      <c r="I132" t="n">
        <v>3.1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15540-2024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45401</v>
      </c>
      <c r="E133" s="1" t="n">
        <v>46324</v>
      </c>
      <c r="F133" t="inlineStr">
        <is>
          <t>VÄSTMANLANDS LÄN</t>
        </is>
      </c>
      <c r="G133" t="inlineStr">
        <is>
          <t>SKINNSKATTEBERG</t>
        </is>
      </c>
      <c r="H133" t="inlineStr">
        <is>
          <t>Sveaskog</t>
        </is>
      </c>
      <c r="I133" t="n">
        <v>0.9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45117-2025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45919</v>
      </c>
      <c r="E134" s="1" t="n">
        <v>46324</v>
      </c>
      <c r="F134" t="inlineStr">
        <is>
          <t>VÄSTMANLANDS LÄN</t>
        </is>
      </c>
      <c r="G134" t="inlineStr">
        <is>
          <t>SKINNSKATTEBERG</t>
        </is>
      </c>
      <c r="H134" t="inlineStr">
        <is>
          <t>Sveaskog</t>
        </is>
      </c>
      <c r="I134" t="n">
        <v>1.4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45121-2025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45919</v>
      </c>
      <c r="E135" s="1" t="n">
        <v>46324</v>
      </c>
      <c r="F135" t="inlineStr">
        <is>
          <t>VÄSTMANLANDS LÄN</t>
        </is>
      </c>
      <c r="G135" t="inlineStr">
        <is>
          <t>SKINNSKATTEBERG</t>
        </is>
      </c>
      <c r="H135" t="inlineStr">
        <is>
          <t>Sveaskog</t>
        </is>
      </c>
      <c r="I135" t="n">
        <v>1.1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37432-2023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45156</v>
      </c>
      <c r="E136" s="1" t="n">
        <v>46324</v>
      </c>
      <c r="F136" t="inlineStr">
        <is>
          <t>VÄSTMANLANDS LÄN</t>
        </is>
      </c>
      <c r="G136" t="inlineStr">
        <is>
          <t>SKINNSKATTEBERG</t>
        </is>
      </c>
      <c r="H136" t="inlineStr">
        <is>
          <t>Sveaskog</t>
        </is>
      </c>
      <c r="I136" t="n">
        <v>2.8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45115-2025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45919</v>
      </c>
      <c r="E137" s="1" t="n">
        <v>46324</v>
      </c>
      <c r="F137" t="inlineStr">
        <is>
          <t>VÄSTMANLANDS LÄN</t>
        </is>
      </c>
      <c r="G137" t="inlineStr">
        <is>
          <t>SKINNSKATTEBERG</t>
        </is>
      </c>
      <c r="H137" t="inlineStr">
        <is>
          <t>Sveaskog</t>
        </is>
      </c>
      <c r="I137" t="n">
        <v>4.7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55229-2023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45237</v>
      </c>
      <c r="E138" s="1" t="n">
        <v>46324</v>
      </c>
      <c r="F138" t="inlineStr">
        <is>
          <t>VÄSTMANLANDS LÄN</t>
        </is>
      </c>
      <c r="G138" t="inlineStr">
        <is>
          <t>SKINNSKATTEBERG</t>
        </is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34720-2025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45848</v>
      </c>
      <c r="E139" s="1" t="n">
        <v>46324</v>
      </c>
      <c r="F139" t="inlineStr">
        <is>
          <t>VÄSTMANLANDS LÄN</t>
        </is>
      </c>
      <c r="G139" t="inlineStr">
        <is>
          <t>SKINNSKATTEBERG</t>
        </is>
      </c>
      <c r="H139" t="inlineStr">
        <is>
          <t>Sveaskog</t>
        </is>
      </c>
      <c r="I139" t="n">
        <v>0.6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47541-2025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45931</v>
      </c>
      <c r="E140" s="1" t="n">
        <v>46324</v>
      </c>
      <c r="F140" t="inlineStr">
        <is>
          <t>VÄSTMANLANDS LÄN</t>
        </is>
      </c>
      <c r="G140" t="inlineStr">
        <is>
          <t>SKINNSKATTEBERG</t>
        </is>
      </c>
      <c r="H140" t="inlineStr">
        <is>
          <t>Sveaskog</t>
        </is>
      </c>
      <c r="I140" t="n">
        <v>0.8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47543-2025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45931</v>
      </c>
      <c r="E141" s="1" t="n">
        <v>46324</v>
      </c>
      <c r="F141" t="inlineStr">
        <is>
          <t>VÄSTMANLANDS LÄN</t>
        </is>
      </c>
      <c r="G141" t="inlineStr">
        <is>
          <t>SKINNSKATTEBERG</t>
        </is>
      </c>
      <c r="H141" t="inlineStr">
        <is>
          <t>Sveaskog</t>
        </is>
      </c>
      <c r="I141" t="n">
        <v>1.7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35204-2025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45853</v>
      </c>
      <c r="E142" s="1" t="n">
        <v>46324</v>
      </c>
      <c r="F142" t="inlineStr">
        <is>
          <t>VÄSTMANLANDS LÄN</t>
        </is>
      </c>
      <c r="G142" t="inlineStr">
        <is>
          <t>SKINNSKATTEBERG</t>
        </is>
      </c>
      <c r="H142" t="inlineStr">
        <is>
          <t>Sveaskog</t>
        </is>
      </c>
      <c r="I142" t="n">
        <v>7.5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40174-2024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45554</v>
      </c>
      <c r="E143" s="1" t="n">
        <v>46324</v>
      </c>
      <c r="F143" t="inlineStr">
        <is>
          <t>VÄSTMANLANDS LÄN</t>
        </is>
      </c>
      <c r="G143" t="inlineStr">
        <is>
          <t>SKINNSKATTEBERG</t>
        </is>
      </c>
      <c r="H143" t="inlineStr">
        <is>
          <t>Sveaskog</t>
        </is>
      </c>
      <c r="I143" t="n">
        <v>2.9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35205-2025</t>
        </is>
      </c>
      <c r="B144" t="inlineStr">
        <is>
          <t>avverkningsanmälan</t>
        </is>
      </c>
      <c r="C144" t="inlineStr">
        <is>
          <t>Avverkning för att bevara och utveckla /försöksver</t>
        </is>
      </c>
      <c r="D144" s="1" t="n">
        <v>45853</v>
      </c>
      <c r="E144" s="1" t="n">
        <v>46324</v>
      </c>
      <c r="F144" t="inlineStr">
        <is>
          <t>VÄSTMANLANDS LÄN</t>
        </is>
      </c>
      <c r="G144" t="inlineStr">
        <is>
          <t>SKINNSKATTEBERG</t>
        </is>
      </c>
      <c r="H144" t="inlineStr">
        <is>
          <t>Sveaskog</t>
        </is>
      </c>
      <c r="I144" t="n">
        <v>0.8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18516-2024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45425</v>
      </c>
      <c r="E145" s="1" t="n">
        <v>46324</v>
      </c>
      <c r="F145" t="inlineStr">
        <is>
          <t>VÄSTMANLANDS LÄN</t>
        </is>
      </c>
      <c r="G145" t="inlineStr">
        <is>
          <t>SKINNSKATTEBERG</t>
        </is>
      </c>
      <c r="H145" t="inlineStr">
        <is>
          <t>Sveaskog</t>
        </is>
      </c>
      <c r="I145" t="n">
        <v>1.6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27328-2023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45096</v>
      </c>
      <c r="E146" s="1" t="n">
        <v>46324</v>
      </c>
      <c r="F146" t="inlineStr">
        <is>
          <t>VÄSTMANLANDS LÄN</t>
        </is>
      </c>
      <c r="G146" t="inlineStr">
        <is>
          <t>SKINNSKATTEBERG</t>
        </is>
      </c>
      <c r="H146" t="inlineStr">
        <is>
          <t>Sveaskog</t>
        </is>
      </c>
      <c r="I146" t="n">
        <v>1.8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40545-2023</t>
        </is>
      </c>
      <c r="B147" t="inlineStr">
        <is>
          <t>avverkningsanmälan</t>
        </is>
      </c>
      <c r="C147" t="inlineStr">
        <is>
          <t>Avverkning för annat ändamål</t>
        </is>
      </c>
      <c r="D147" s="1" t="n">
        <v>45170</v>
      </c>
      <c r="E147" s="1" t="n">
        <v>46324</v>
      </c>
      <c r="F147" t="inlineStr">
        <is>
          <t>VÄSTMANLANDS LÄN</t>
        </is>
      </c>
      <c r="G147" t="inlineStr">
        <is>
          <t>SKINNSKATTEBERG</t>
        </is>
      </c>
      <c r="H147" t="inlineStr">
        <is>
          <t>Sveaskog</t>
        </is>
      </c>
      <c r="I147" t="n">
        <v>0.6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40998-2024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45558</v>
      </c>
      <c r="E148" s="1" t="n">
        <v>46324</v>
      </c>
      <c r="F148" t="inlineStr">
        <is>
          <t>VÄSTMANLANDS LÄN</t>
        </is>
      </c>
      <c r="G148" t="inlineStr">
        <is>
          <t>SKINNSKATTEBERG</t>
        </is>
      </c>
      <c r="H148" t="inlineStr">
        <is>
          <t>Sveaskog</t>
        </is>
      </c>
      <c r="I148" t="n">
        <v>0.7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50672-2025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45945</v>
      </c>
      <c r="E149" s="1" t="n">
        <v>46324</v>
      </c>
      <c r="F149" t="inlineStr">
        <is>
          <t>VÄSTMANLANDS LÄN</t>
        </is>
      </c>
      <c r="G149" t="inlineStr">
        <is>
          <t>SKINNSKATTEBERG</t>
        </is>
      </c>
      <c r="H149" t="inlineStr">
        <is>
          <t>Sveaskog</t>
        </is>
      </c>
      <c r="I149" t="n">
        <v>1.5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10232-2025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45720</v>
      </c>
      <c r="E150" s="1" t="n">
        <v>46324</v>
      </c>
      <c r="F150" t="inlineStr">
        <is>
          <t>VÄSTMANLANDS LÄN</t>
        </is>
      </c>
      <c r="G150" t="inlineStr">
        <is>
          <t>SKINNSKATTEBERG</t>
        </is>
      </c>
      <c r="I150" t="n">
        <v>2.8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52532-2024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45609</v>
      </c>
      <c r="E151" s="1" t="n">
        <v>46324</v>
      </c>
      <c r="F151" t="inlineStr">
        <is>
          <t>VÄSTMANLANDS LÄN</t>
        </is>
      </c>
      <c r="G151" t="inlineStr">
        <is>
          <t>SKINNSKATTEBERG</t>
        </is>
      </c>
      <c r="I151" t="n">
        <v>0.9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51026-2025</t>
        </is>
      </c>
      <c r="B152" t="inlineStr">
        <is>
          <t>avverkningsanmälan</t>
        </is>
      </c>
      <c r="C152" t="inlineStr">
        <is>
          <t>Avverkning för annat ändamål</t>
        </is>
      </c>
      <c r="D152" s="1" t="n">
        <v>45947</v>
      </c>
      <c r="E152" s="1" t="n">
        <v>46324</v>
      </c>
      <c r="F152" t="inlineStr">
        <is>
          <t>VÄSTMANLANDS LÄN</t>
        </is>
      </c>
      <c r="G152" t="inlineStr">
        <is>
          <t>SKINNSKATTEBERG</t>
        </is>
      </c>
      <c r="H152" t="inlineStr">
        <is>
          <t>Sveaskog</t>
        </is>
      </c>
      <c r="I152" t="n">
        <v>0.5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51028-2025</t>
        </is>
      </c>
      <c r="B153" t="inlineStr">
        <is>
          <t>avverkningsanmälan</t>
        </is>
      </c>
      <c r="C153" t="inlineStr">
        <is>
          <t>Avverkning för annat ändamål</t>
        </is>
      </c>
      <c r="D153" s="1" t="n">
        <v>45947</v>
      </c>
      <c r="E153" s="1" t="n">
        <v>46324</v>
      </c>
      <c r="F153" t="inlineStr">
        <is>
          <t>VÄSTMANLANDS LÄN</t>
        </is>
      </c>
      <c r="G153" t="inlineStr">
        <is>
          <t>SKINNSKATTEBERG</t>
        </is>
      </c>
      <c r="H153" t="inlineStr">
        <is>
          <t>Sveaskog</t>
        </is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51023-2025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45947</v>
      </c>
      <c r="E154" s="1" t="n">
        <v>46324</v>
      </c>
      <c r="F154" t="inlineStr">
        <is>
          <t>VÄSTMANLANDS LÄN</t>
        </is>
      </c>
      <c r="G154" t="inlineStr">
        <is>
          <t>SKINNSKATTEBERG</t>
        </is>
      </c>
      <c r="H154" t="inlineStr">
        <is>
          <t>Sveaskog</t>
        </is>
      </c>
      <c r="I154" t="n">
        <v>0.4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51025-2025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45947</v>
      </c>
      <c r="E155" s="1" t="n">
        <v>46324</v>
      </c>
      <c r="F155" t="inlineStr">
        <is>
          <t>VÄSTMANLANDS LÄN</t>
        </is>
      </c>
      <c r="G155" t="inlineStr">
        <is>
          <t>SKINNSKATTEBERG</t>
        </is>
      </c>
      <c r="H155" t="inlineStr">
        <is>
          <t>Sveaskog</t>
        </is>
      </c>
      <c r="I155" t="n">
        <v>0.8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37763-2025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45880</v>
      </c>
      <c r="E156" s="1" t="n">
        <v>46324</v>
      </c>
      <c r="F156" t="inlineStr">
        <is>
          <t>VÄSTMANLANDS LÄN</t>
        </is>
      </c>
      <c r="G156" t="inlineStr">
        <is>
          <t>SKINNSKATTEBERG</t>
        </is>
      </c>
      <c r="I156" t="n">
        <v>1.4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30353-2023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45111</v>
      </c>
      <c r="E157" s="1" t="n">
        <v>46324</v>
      </c>
      <c r="F157" t="inlineStr">
        <is>
          <t>VÄSTMANLANDS LÄN</t>
        </is>
      </c>
      <c r="G157" t="inlineStr">
        <is>
          <t>SKINNSKATTEBERG</t>
        </is>
      </c>
      <c r="I157" t="n">
        <v>0.8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44693-2024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45574</v>
      </c>
      <c r="E158" s="1" t="n">
        <v>46324</v>
      </c>
      <c r="F158" t="inlineStr">
        <is>
          <t>VÄSTMANLANDS LÄN</t>
        </is>
      </c>
      <c r="G158" t="inlineStr">
        <is>
          <t>SKINNSKATTEBERG</t>
        </is>
      </c>
      <c r="I158" t="n">
        <v>2.5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44694-2024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45574</v>
      </c>
      <c r="E159" s="1" t="n">
        <v>46324</v>
      </c>
      <c r="F159" t="inlineStr">
        <is>
          <t>VÄSTMANLANDS LÄN</t>
        </is>
      </c>
      <c r="G159" t="inlineStr">
        <is>
          <t>SKINNSKATTEBERG</t>
        </is>
      </c>
      <c r="I159" t="n">
        <v>1.3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52018-2025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45952</v>
      </c>
      <c r="E160" s="1" t="n">
        <v>46324</v>
      </c>
      <c r="F160" t="inlineStr">
        <is>
          <t>VÄSTMANLANDS LÄN</t>
        </is>
      </c>
      <c r="G160" t="inlineStr">
        <is>
          <t>SKINNSKATTEBERG</t>
        </is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53471-2025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45959</v>
      </c>
      <c r="E161" s="1" t="n">
        <v>46324</v>
      </c>
      <c r="F161" t="inlineStr">
        <is>
          <t>VÄSTMANLANDS LÄN</t>
        </is>
      </c>
      <c r="G161" t="inlineStr">
        <is>
          <t>SKINNSKATTEBERG</t>
        </is>
      </c>
      <c r="I161" t="n">
        <v>1.5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53132-2025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45958</v>
      </c>
      <c r="E162" s="1" t="n">
        <v>46324</v>
      </c>
      <c r="F162" t="inlineStr">
        <is>
          <t>VÄSTMANLANDS LÄN</t>
        </is>
      </c>
      <c r="G162" t="inlineStr">
        <is>
          <t>SKINNSKATTEBERG</t>
        </is>
      </c>
      <c r="H162" t="inlineStr">
        <is>
          <t>Sveaskog</t>
        </is>
      </c>
      <c r="I162" t="n">
        <v>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24427-2023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45082</v>
      </c>
      <c r="E163" s="1" t="n">
        <v>46324</v>
      </c>
      <c r="F163" t="inlineStr">
        <is>
          <t>VÄSTMANLANDS LÄN</t>
        </is>
      </c>
      <c r="G163" t="inlineStr">
        <is>
          <t>SKINNSKATTEBERG</t>
        </is>
      </c>
      <c r="I163" t="n">
        <v>3.3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53761-2025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45960</v>
      </c>
      <c r="E164" s="1" t="n">
        <v>46324</v>
      </c>
      <c r="F164" t="inlineStr">
        <is>
          <t>VÄSTMANLANDS LÄN</t>
        </is>
      </c>
      <c r="G164" t="inlineStr">
        <is>
          <t>SKINNSKATTEBERG</t>
        </is>
      </c>
      <c r="I164" t="n">
        <v>0.5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20848-2026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46142</v>
      </c>
      <c r="E165" s="1" t="n">
        <v>46324</v>
      </c>
      <c r="F165" t="inlineStr">
        <is>
          <t>VÄSTMANLANDS LÄN</t>
        </is>
      </c>
      <c r="G165" t="inlineStr">
        <is>
          <t>SKINNSKATTEBERG</t>
        </is>
      </c>
      <c r="H165" t="inlineStr">
        <is>
          <t>Sveaskog</t>
        </is>
      </c>
      <c r="I165" t="n">
        <v>2.6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61181-2021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44498</v>
      </c>
      <c r="E166" s="1" t="n">
        <v>46324</v>
      </c>
      <c r="F166" t="inlineStr">
        <is>
          <t>VÄSTMANLANDS LÄN</t>
        </is>
      </c>
      <c r="G166" t="inlineStr">
        <is>
          <t>SKINNSKATTEBERG</t>
        </is>
      </c>
      <c r="H166" t="inlineStr">
        <is>
          <t>Sveaskog</t>
        </is>
      </c>
      <c r="I166" t="n">
        <v>7.5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33396-2023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45128</v>
      </c>
      <c r="E167" s="1" t="n">
        <v>46324</v>
      </c>
      <c r="F167" t="inlineStr">
        <is>
          <t>VÄSTMANLANDS LÄN</t>
        </is>
      </c>
      <c r="G167" t="inlineStr">
        <is>
          <t>SKINNSKATTEBERG</t>
        </is>
      </c>
      <c r="I167" t="n">
        <v>1.5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20840-2026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46142</v>
      </c>
      <c r="E168" s="1" t="n">
        <v>46324</v>
      </c>
      <c r="F168" t="inlineStr">
        <is>
          <t>VÄSTMANLANDS LÄN</t>
        </is>
      </c>
      <c r="G168" t="inlineStr">
        <is>
          <t>SKINNSKATTEBERG</t>
        </is>
      </c>
      <c r="H168" t="inlineStr">
        <is>
          <t>Sveaskog</t>
        </is>
      </c>
      <c r="I168" t="n">
        <v>4.4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20850-2026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46142</v>
      </c>
      <c r="E169" s="1" t="n">
        <v>46324</v>
      </c>
      <c r="F169" t="inlineStr">
        <is>
          <t>VÄSTMANLANDS LÄN</t>
        </is>
      </c>
      <c r="G169" t="inlineStr">
        <is>
          <t>SKINNSKATTEBERG</t>
        </is>
      </c>
      <c r="H169" t="inlineStr">
        <is>
          <t>Sveaskog</t>
        </is>
      </c>
      <c r="I169" t="n">
        <v>2.7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20852-2026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46142</v>
      </c>
      <c r="E170" s="1" t="n">
        <v>46324</v>
      </c>
      <c r="F170" t="inlineStr">
        <is>
          <t>VÄSTMANLANDS LÄN</t>
        </is>
      </c>
      <c r="G170" t="inlineStr">
        <is>
          <t>SKINNSKATTEBERG</t>
        </is>
      </c>
      <c r="H170" t="inlineStr">
        <is>
          <t>Sveaskog</t>
        </is>
      </c>
      <c r="I170" t="n">
        <v>2.1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20856-2026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46142</v>
      </c>
      <c r="E171" s="1" t="n">
        <v>46324</v>
      </c>
      <c r="F171" t="inlineStr">
        <is>
          <t>VÄSTMANLANDS LÄN</t>
        </is>
      </c>
      <c r="G171" t="inlineStr">
        <is>
          <t>SKINNSKATTEBERG</t>
        </is>
      </c>
      <c r="H171" t="inlineStr">
        <is>
          <t>Sveaskog</t>
        </is>
      </c>
      <c r="I171" t="n">
        <v>6.7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20854-2026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46142</v>
      </c>
      <c r="E172" s="1" t="n">
        <v>46324</v>
      </c>
      <c r="F172" t="inlineStr">
        <is>
          <t>VÄSTMANLANDS LÄN</t>
        </is>
      </c>
      <c r="G172" t="inlineStr">
        <is>
          <t>SKINNSKATTEBERG</t>
        </is>
      </c>
      <c r="H172" t="inlineStr">
        <is>
          <t>Sveaskog</t>
        </is>
      </c>
      <c r="I172" t="n">
        <v>1.3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20853-2026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46142</v>
      </c>
      <c r="E173" s="1" t="n">
        <v>46324</v>
      </c>
      <c r="F173" t="inlineStr">
        <is>
          <t>VÄSTMANLANDS LÄN</t>
        </is>
      </c>
      <c r="G173" t="inlineStr">
        <is>
          <t>SKINNSKATTEBERG</t>
        </is>
      </c>
      <c r="H173" t="inlineStr">
        <is>
          <t>Sveaskog</t>
        </is>
      </c>
      <c r="I173" t="n">
        <v>5.5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54499-2025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45965</v>
      </c>
      <c r="E174" s="1" t="n">
        <v>46324</v>
      </c>
      <c r="F174" t="inlineStr">
        <is>
          <t>VÄSTMANLANDS LÄN</t>
        </is>
      </c>
      <c r="G174" t="inlineStr">
        <is>
          <t>SKINNSKATTEBERG</t>
        </is>
      </c>
      <c r="I174" t="n">
        <v>5.2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40320-2023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45169</v>
      </c>
      <c r="E175" s="1" t="n">
        <v>46324</v>
      </c>
      <c r="F175" t="inlineStr">
        <is>
          <t>VÄSTMANLANDS LÄN</t>
        </is>
      </c>
      <c r="G175" t="inlineStr">
        <is>
          <t>SKINNSKATTEBERG</t>
        </is>
      </c>
      <c r="I175" t="n">
        <v>0.6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55007-2025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45967</v>
      </c>
      <c r="E176" s="1" t="n">
        <v>46324</v>
      </c>
      <c r="F176" t="inlineStr">
        <is>
          <t>VÄSTMANLANDS LÄN</t>
        </is>
      </c>
      <c r="G176" t="inlineStr">
        <is>
          <t>SKINNSKATTEBERG</t>
        </is>
      </c>
      <c r="H176" t="inlineStr">
        <is>
          <t>Sveaskog</t>
        </is>
      </c>
      <c r="I176" t="n">
        <v>1.3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55002-2025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45967</v>
      </c>
      <c r="E177" s="1" t="n">
        <v>46324</v>
      </c>
      <c r="F177" t="inlineStr">
        <is>
          <t>VÄSTMANLANDS LÄN</t>
        </is>
      </c>
      <c r="G177" t="inlineStr">
        <is>
          <t>SKINNSKATTEBERG</t>
        </is>
      </c>
      <c r="H177" t="inlineStr">
        <is>
          <t>Sveaskog</t>
        </is>
      </c>
      <c r="I177" t="n">
        <v>8.699999999999999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55005-2025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45967</v>
      </c>
      <c r="E178" s="1" t="n">
        <v>46324</v>
      </c>
      <c r="F178" t="inlineStr">
        <is>
          <t>VÄSTMANLANDS LÄN</t>
        </is>
      </c>
      <c r="G178" t="inlineStr">
        <is>
          <t>SKINNSKATTEBERG</t>
        </is>
      </c>
      <c r="H178" t="inlineStr">
        <is>
          <t>Sveaskog</t>
        </is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40179-2024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45554</v>
      </c>
      <c r="E179" s="1" t="n">
        <v>46324</v>
      </c>
      <c r="F179" t="inlineStr">
        <is>
          <t>VÄSTMANLANDS LÄN</t>
        </is>
      </c>
      <c r="G179" t="inlineStr">
        <is>
          <t>SKINNSKATTEBERG</t>
        </is>
      </c>
      <c r="H179" t="inlineStr">
        <is>
          <t>Sveaskog</t>
        </is>
      </c>
      <c r="I179" t="n">
        <v>0.6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24884-2023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45085</v>
      </c>
      <c r="E180" s="1" t="n">
        <v>46324</v>
      </c>
      <c r="F180" t="inlineStr">
        <is>
          <t>VÄSTMANLANDS LÄN</t>
        </is>
      </c>
      <c r="G180" t="inlineStr">
        <is>
          <t>SKINNSKATTEBERG</t>
        </is>
      </c>
      <c r="I180" t="n">
        <v>1.8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55952-2025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45973</v>
      </c>
      <c r="E181" s="1" t="n">
        <v>46324</v>
      </c>
      <c r="F181" t="inlineStr">
        <is>
          <t>VÄSTMANLANDS LÄN</t>
        </is>
      </c>
      <c r="G181" t="inlineStr">
        <is>
          <t>SKINNSKATTEBERG</t>
        </is>
      </c>
      <c r="I181" t="n">
        <v>5.1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55885-2025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45973</v>
      </c>
      <c r="E182" s="1" t="n">
        <v>46324</v>
      </c>
      <c r="F182" t="inlineStr">
        <is>
          <t>VÄSTMANLANDS LÄN</t>
        </is>
      </c>
      <c r="G182" t="inlineStr">
        <is>
          <t>SKINNSKATTEBERG</t>
        </is>
      </c>
      <c r="H182" t="inlineStr">
        <is>
          <t>Sveaskog</t>
        </is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54501-2024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45617</v>
      </c>
      <c r="E183" s="1" t="n">
        <v>46324</v>
      </c>
      <c r="F183" t="inlineStr">
        <is>
          <t>VÄSTMANLANDS LÄN</t>
        </is>
      </c>
      <c r="G183" t="inlineStr">
        <is>
          <t>SKINNSKATTEBERG</t>
        </is>
      </c>
      <c r="I183" t="n">
        <v>1.4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55887-2025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45973</v>
      </c>
      <c r="E184" s="1" t="n">
        <v>46324</v>
      </c>
      <c r="F184" t="inlineStr">
        <is>
          <t>VÄSTMANLANDS LÄN</t>
        </is>
      </c>
      <c r="G184" t="inlineStr">
        <is>
          <t>SKINNSKATTEBERG</t>
        </is>
      </c>
      <c r="H184" t="inlineStr">
        <is>
          <t>Sveaskog</t>
        </is>
      </c>
      <c r="I184" t="n">
        <v>1.7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6298-2023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44965</v>
      </c>
      <c r="E185" s="1" t="n">
        <v>46324</v>
      </c>
      <c r="F185" t="inlineStr">
        <is>
          <t>VÄSTMANLANDS LÄN</t>
        </is>
      </c>
      <c r="G185" t="inlineStr">
        <is>
          <t>SKINNSKATTEBERG</t>
        </is>
      </c>
      <c r="I185" t="n">
        <v>2.2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55889-2025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45973</v>
      </c>
      <c r="E186" s="1" t="n">
        <v>46324</v>
      </c>
      <c r="F186" t="inlineStr">
        <is>
          <t>VÄSTMANLANDS LÄN</t>
        </is>
      </c>
      <c r="G186" t="inlineStr">
        <is>
          <t>SKINNSKATTEBERG</t>
        </is>
      </c>
      <c r="H186" t="inlineStr">
        <is>
          <t>Sveaskog</t>
        </is>
      </c>
      <c r="I186" t="n">
        <v>0.4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31260-2023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45114</v>
      </c>
      <c r="E187" s="1" t="n">
        <v>46324</v>
      </c>
      <c r="F187" t="inlineStr">
        <is>
          <t>VÄSTMANLANDS LÄN</t>
        </is>
      </c>
      <c r="G187" t="inlineStr">
        <is>
          <t>SKINNSKATTEBERG</t>
        </is>
      </c>
      <c r="H187" t="inlineStr">
        <is>
          <t>Sveaskog</t>
        </is>
      </c>
      <c r="I187" t="n">
        <v>7.9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56465-2025</t>
        </is>
      </c>
      <c r="B188" t="inlineStr">
        <is>
          <t>avverkningsanmälan</t>
        </is>
      </c>
      <c r="C188" t="inlineStr">
        <is>
          <t>Avverkning för annat ändamål</t>
        </is>
      </c>
      <c r="D188" s="1" t="n">
        <v>45975</v>
      </c>
      <c r="E188" s="1" t="n">
        <v>46324</v>
      </c>
      <c r="F188" t="inlineStr">
        <is>
          <t>VÄSTMANLANDS LÄN</t>
        </is>
      </c>
      <c r="G188" t="inlineStr">
        <is>
          <t>SKINNSKATTEBERG</t>
        </is>
      </c>
      <c r="H188" t="inlineStr">
        <is>
          <t>Sveaskog</t>
        </is>
      </c>
      <c r="I188" t="n">
        <v>0.5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21847-2026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46150</v>
      </c>
      <c r="E189" s="1" t="n">
        <v>46324</v>
      </c>
      <c r="F189" t="inlineStr">
        <is>
          <t>VÄSTMANLANDS LÄN</t>
        </is>
      </c>
      <c r="G189" t="inlineStr">
        <is>
          <t>SKINNSKATTEBERG</t>
        </is>
      </c>
      <c r="H189" t="inlineStr">
        <is>
          <t>Sveaskog</t>
        </is>
      </c>
      <c r="I189" t="n">
        <v>4.1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21848-2026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46150</v>
      </c>
      <c r="E190" s="1" t="n">
        <v>46324</v>
      </c>
      <c r="F190" t="inlineStr">
        <is>
          <t>VÄSTMANLANDS LÄN</t>
        </is>
      </c>
      <c r="G190" t="inlineStr">
        <is>
          <t>SKINNSKATTEBERG</t>
        </is>
      </c>
      <c r="H190" t="inlineStr">
        <is>
          <t>Sveaskog</t>
        </is>
      </c>
      <c r="I190" t="n">
        <v>1.3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57282-2025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45979</v>
      </c>
      <c r="E191" s="1" t="n">
        <v>46324</v>
      </c>
      <c r="F191" t="inlineStr">
        <is>
          <t>VÄSTMANLANDS LÄN</t>
        </is>
      </c>
      <c r="G191" t="inlineStr">
        <is>
          <t>SKINNSKATTEBERG</t>
        </is>
      </c>
      <c r="I191" t="n">
        <v>5.3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13553-2023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45006</v>
      </c>
      <c r="E192" s="1" t="n">
        <v>46324</v>
      </c>
      <c r="F192" t="inlineStr">
        <is>
          <t>VÄSTMANLANDS LÄN</t>
        </is>
      </c>
      <c r="G192" t="inlineStr">
        <is>
          <t>SKINNSKATTEBERG</t>
        </is>
      </c>
      <c r="H192" t="inlineStr">
        <is>
          <t>Allmännings- och besparingsskogar</t>
        </is>
      </c>
      <c r="I192" t="n">
        <v>3.3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22260-2026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46154</v>
      </c>
      <c r="E193" s="1" t="n">
        <v>46324</v>
      </c>
      <c r="F193" t="inlineStr">
        <is>
          <t>VÄSTMANLANDS LÄN</t>
        </is>
      </c>
      <c r="G193" t="inlineStr">
        <is>
          <t>SKINNSKATTEBERG</t>
        </is>
      </c>
      <c r="I193" t="n">
        <v>1.5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12888-2024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45385</v>
      </c>
      <c r="E194" s="1" t="n">
        <v>46324</v>
      </c>
      <c r="F194" t="inlineStr">
        <is>
          <t>VÄSTMANLANDS LÄN</t>
        </is>
      </c>
      <c r="G194" t="inlineStr">
        <is>
          <t>SKINNSKATTEBERG</t>
        </is>
      </c>
      <c r="H194" t="inlineStr">
        <is>
          <t>Sveaskog</t>
        </is>
      </c>
      <c r="I194" t="n">
        <v>0.9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22779-2026</t>
        </is>
      </c>
      <c r="B195" t="inlineStr">
        <is>
          <t>avverkningsanmälan</t>
        </is>
      </c>
      <c r="C195" t="inlineStr">
        <is>
          <t>Avverkning för att bevara och utveckla /försöksver</t>
        </is>
      </c>
      <c r="D195" s="1" t="n">
        <v>46157</v>
      </c>
      <c r="E195" s="1" t="n">
        <v>46324</v>
      </c>
      <c r="F195" t="inlineStr">
        <is>
          <t>VÄSTMANLANDS LÄN</t>
        </is>
      </c>
      <c r="G195" t="inlineStr">
        <is>
          <t>SKINNSKATTEBERG</t>
        </is>
      </c>
      <c r="I195" t="n">
        <v>6.3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15561-2024</t>
        </is>
      </c>
      <c r="B196" t="inlineStr">
        <is>
          <t>avverkningsanmälan</t>
        </is>
      </c>
      <c r="C196" t="inlineStr">
        <is>
          <t>Avverkning för att bevara och utveckla /försöksver</t>
        </is>
      </c>
      <c r="D196" s="1" t="n">
        <v>45401</v>
      </c>
      <c r="E196" s="1" t="n">
        <v>46324</v>
      </c>
      <c r="F196" t="inlineStr">
        <is>
          <t>VÄSTMANLANDS LÄN</t>
        </is>
      </c>
      <c r="G196" t="inlineStr">
        <is>
          <t>SKINNSKATTEBERG</t>
        </is>
      </c>
      <c r="H196" t="inlineStr">
        <is>
          <t>Sveaskog</t>
        </is>
      </c>
      <c r="I196" t="n">
        <v>1.9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19919-2025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45771</v>
      </c>
      <c r="E197" s="1" t="n">
        <v>46324</v>
      </c>
      <c r="F197" t="inlineStr">
        <is>
          <t>VÄSTMANLANDS LÄN</t>
        </is>
      </c>
      <c r="G197" t="inlineStr">
        <is>
          <t>SKINNSKATTEBERG</t>
        </is>
      </c>
      <c r="I197" t="n">
        <v>2.1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58882-2025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45987</v>
      </c>
      <c r="E198" s="1" t="n">
        <v>46324</v>
      </c>
      <c r="F198" t="inlineStr">
        <is>
          <t>VÄSTMANLANDS LÄN</t>
        </is>
      </c>
      <c r="G198" t="inlineStr">
        <is>
          <t>SKINNSKATTEBERG</t>
        </is>
      </c>
      <c r="I198" t="n">
        <v>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6943-2023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44967</v>
      </c>
      <c r="E199" s="1" t="n">
        <v>46324</v>
      </c>
      <c r="F199" t="inlineStr">
        <is>
          <t>VÄSTMANLANDS LÄN</t>
        </is>
      </c>
      <c r="G199" t="inlineStr">
        <is>
          <t>SKINNSKATTEBERG</t>
        </is>
      </c>
      <c r="H199" t="inlineStr">
        <is>
          <t>Sveaskog</t>
        </is>
      </c>
      <c r="I199" t="n">
        <v>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43400-2024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45568</v>
      </c>
      <c r="E200" s="1" t="n">
        <v>46324</v>
      </c>
      <c r="F200" t="inlineStr">
        <is>
          <t>VÄSTMANLANDS LÄN</t>
        </is>
      </c>
      <c r="G200" t="inlineStr">
        <is>
          <t>SKINNSKATTEBERG</t>
        </is>
      </c>
      <c r="H200" t="inlineStr">
        <is>
          <t>Sveaskog</t>
        </is>
      </c>
      <c r="I200" t="n">
        <v>2.4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60355-2024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45643</v>
      </c>
      <c r="E201" s="1" t="n">
        <v>46324</v>
      </c>
      <c r="F201" t="inlineStr">
        <is>
          <t>VÄSTMANLANDS LÄN</t>
        </is>
      </c>
      <c r="G201" t="inlineStr">
        <is>
          <t>SKINNSKATTEBERG</t>
        </is>
      </c>
      <c r="I201" t="n">
        <v>0.9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23565-2026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46163</v>
      </c>
      <c r="E202" s="1" t="n">
        <v>46324</v>
      </c>
      <c r="F202" t="inlineStr">
        <is>
          <t>VÄSTMANLANDS LÄN</t>
        </is>
      </c>
      <c r="G202" t="inlineStr">
        <is>
          <t>SKINNSKATTEBERG</t>
        </is>
      </c>
      <c r="H202" t="inlineStr">
        <is>
          <t>Sveaskog</t>
        </is>
      </c>
      <c r="I202" t="n">
        <v>2.3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20379-2024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45435</v>
      </c>
      <c r="E203" s="1" t="n">
        <v>46324</v>
      </c>
      <c r="F203" t="inlineStr">
        <is>
          <t>VÄSTMANLANDS LÄN</t>
        </is>
      </c>
      <c r="G203" t="inlineStr">
        <is>
          <t>SKINNSKATTEBERG</t>
        </is>
      </c>
      <c r="I203" t="n">
        <v>1.2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11992-2023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44995</v>
      </c>
      <c r="E204" s="1" t="n">
        <v>46324</v>
      </c>
      <c r="F204" t="inlineStr">
        <is>
          <t>VÄSTMANLANDS LÄN</t>
        </is>
      </c>
      <c r="G204" t="inlineStr">
        <is>
          <t>SKINNSKATTEBERG</t>
        </is>
      </c>
      <c r="H204" t="inlineStr">
        <is>
          <t>Sveaskog</t>
        </is>
      </c>
      <c r="I204" t="n">
        <v>1.3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59710-2025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45992</v>
      </c>
      <c r="E205" s="1" t="n">
        <v>46324</v>
      </c>
      <c r="F205" t="inlineStr">
        <is>
          <t>VÄSTMANLANDS LÄN</t>
        </is>
      </c>
      <c r="G205" t="inlineStr">
        <is>
          <t>SKINNSKATTEBERG</t>
        </is>
      </c>
      <c r="H205" t="inlineStr">
        <is>
          <t>Sveaskog</t>
        </is>
      </c>
      <c r="I205" t="n">
        <v>2.2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59711-2025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45992</v>
      </c>
      <c r="E206" s="1" t="n">
        <v>46324</v>
      </c>
      <c r="F206" t="inlineStr">
        <is>
          <t>VÄSTMANLANDS LÄN</t>
        </is>
      </c>
      <c r="G206" t="inlineStr">
        <is>
          <t>SKINNSKATTEBERG</t>
        </is>
      </c>
      <c r="H206" t="inlineStr">
        <is>
          <t>Sveaskog</t>
        </is>
      </c>
      <c r="I206" t="n">
        <v>0.7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30988-2022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44768</v>
      </c>
      <c r="E207" s="1" t="n">
        <v>46324</v>
      </c>
      <c r="F207" t="inlineStr">
        <is>
          <t>VÄSTMANLANDS LÄN</t>
        </is>
      </c>
      <c r="G207" t="inlineStr">
        <is>
          <t>SKINNSKATTEBERG</t>
        </is>
      </c>
      <c r="I207" t="n">
        <v>1.9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37210-2022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44806</v>
      </c>
      <c r="E208" s="1" t="n">
        <v>46324</v>
      </c>
      <c r="F208" t="inlineStr">
        <is>
          <t>VÄSTMANLANDS LÄN</t>
        </is>
      </c>
      <c r="G208" t="inlineStr">
        <is>
          <t>SKINNSKATTEBERG</t>
        </is>
      </c>
      <c r="I208" t="n">
        <v>1.5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54657-2022</t>
        </is>
      </c>
      <c r="B209" t="inlineStr">
        <is>
          <t>avverkningsanmälan</t>
        </is>
      </c>
      <c r="C209" t="inlineStr">
        <is>
          <t>Avverkning för annat ändamål</t>
        </is>
      </c>
      <c r="D209" s="1" t="n">
        <v>44883</v>
      </c>
      <c r="E209" s="1" t="n">
        <v>46324</v>
      </c>
      <c r="F209" t="inlineStr">
        <is>
          <t>VÄSTMANLANDS LÄN</t>
        </is>
      </c>
      <c r="G209" t="inlineStr">
        <is>
          <t>SKINNSKATTEBERG</t>
        </is>
      </c>
      <c r="H209" t="inlineStr">
        <is>
          <t>Sveaskog</t>
        </is>
      </c>
      <c r="I209" t="n">
        <v>0.7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56921-2023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45244</v>
      </c>
      <c r="E210" s="1" t="n">
        <v>46324</v>
      </c>
      <c r="F210" t="inlineStr">
        <is>
          <t>VÄSTMANLANDS LÄN</t>
        </is>
      </c>
      <c r="G210" t="inlineStr">
        <is>
          <t>SKINNSKATTEBERG</t>
        </is>
      </c>
      <c r="H210" t="inlineStr">
        <is>
          <t>Kyrkan</t>
        </is>
      </c>
      <c r="I210" t="n">
        <v>1.7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16088-2024</t>
        </is>
      </c>
      <c r="B211" t="inlineStr">
        <is>
          <t>avverkningsanmälan</t>
        </is>
      </c>
      <c r="C211" t="inlineStr">
        <is>
          <t>Avverkning för annat ändamål</t>
        </is>
      </c>
      <c r="D211" s="1" t="n">
        <v>45406</v>
      </c>
      <c r="E211" s="1" t="n">
        <v>46324</v>
      </c>
      <c r="F211" t="inlineStr">
        <is>
          <t>VÄSTMANLANDS LÄN</t>
        </is>
      </c>
      <c r="G211" t="inlineStr">
        <is>
          <t>SKINNSKATTEBERG</t>
        </is>
      </c>
      <c r="H211" t="inlineStr">
        <is>
          <t>Sveaskog</t>
        </is>
      </c>
      <c r="I211" t="n">
        <v>0.4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40167-2024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45554</v>
      </c>
      <c r="E212" s="1" t="n">
        <v>46324</v>
      </c>
      <c r="F212" t="inlineStr">
        <is>
          <t>VÄSTMANLANDS LÄN</t>
        </is>
      </c>
      <c r="G212" t="inlineStr">
        <is>
          <t>SKINNSKATTEBERG</t>
        </is>
      </c>
      <c r="H212" t="inlineStr">
        <is>
          <t>Sveaskog</t>
        </is>
      </c>
      <c r="I212" t="n">
        <v>2.5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66584-2021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44519</v>
      </c>
      <c r="E213" s="1" t="n">
        <v>46324</v>
      </c>
      <c r="F213" t="inlineStr">
        <is>
          <t>VÄSTMANLANDS LÄN</t>
        </is>
      </c>
      <c r="G213" t="inlineStr">
        <is>
          <t>SKINNSKATTEBERG</t>
        </is>
      </c>
      <c r="H213" t="inlineStr">
        <is>
          <t>Sveaskog</t>
        </is>
      </c>
      <c r="I213" t="n">
        <v>2.2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61895-2025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46003</v>
      </c>
      <c r="E214" s="1" t="n">
        <v>46324</v>
      </c>
      <c r="F214" t="inlineStr">
        <is>
          <t>VÄSTMANLANDS LÄN</t>
        </is>
      </c>
      <c r="G214" t="inlineStr">
        <is>
          <t>SKINNSKATTEBERG</t>
        </is>
      </c>
      <c r="H214" t="inlineStr">
        <is>
          <t>Sveaskog</t>
        </is>
      </c>
      <c r="I214" t="n">
        <v>2.2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37342-2023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45156</v>
      </c>
      <c r="E215" s="1" t="n">
        <v>46324</v>
      </c>
      <c r="F215" t="inlineStr">
        <is>
          <t>VÄSTMANLANDS LÄN</t>
        </is>
      </c>
      <c r="G215" t="inlineStr">
        <is>
          <t>SKINNSKATTEBERG</t>
        </is>
      </c>
      <c r="I215" t="n">
        <v>5.9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58987-2023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45252</v>
      </c>
      <c r="E216" s="1" t="n">
        <v>46324</v>
      </c>
      <c r="F216" t="inlineStr">
        <is>
          <t>VÄSTMANLANDS LÄN</t>
        </is>
      </c>
      <c r="G216" t="inlineStr">
        <is>
          <t>SKINNSKATTEBERG</t>
        </is>
      </c>
      <c r="H216" t="inlineStr">
        <is>
          <t>Sveaskog</t>
        </is>
      </c>
      <c r="I216" t="n">
        <v>1.8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24491-2026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46170</v>
      </c>
      <c r="E217" s="1" t="n">
        <v>46324</v>
      </c>
      <c r="F217" t="inlineStr">
        <is>
          <t>VÄSTMANLANDS LÄN</t>
        </is>
      </c>
      <c r="G217" t="inlineStr">
        <is>
          <t>SKINNSKATTEBERG</t>
        </is>
      </c>
      <c r="H217" t="inlineStr">
        <is>
          <t>Sveaskog</t>
        </is>
      </c>
      <c r="I217" t="n">
        <v>0.8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31302-2024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45504</v>
      </c>
      <c r="E218" s="1" t="n">
        <v>46324</v>
      </c>
      <c r="F218" t="inlineStr">
        <is>
          <t>VÄSTMANLANDS LÄN</t>
        </is>
      </c>
      <c r="G218" t="inlineStr">
        <is>
          <t>SKINNSKATTEBERG</t>
        </is>
      </c>
      <c r="I218" t="n">
        <v>17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24495-2026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46170</v>
      </c>
      <c r="E219" s="1" t="n">
        <v>46324</v>
      </c>
      <c r="F219" t="inlineStr">
        <is>
          <t>VÄSTMANLANDS LÄN</t>
        </is>
      </c>
      <c r="G219" t="inlineStr">
        <is>
          <t>SKINNSKATTEBERG</t>
        </is>
      </c>
      <c r="H219" t="inlineStr">
        <is>
          <t>Sveaskog</t>
        </is>
      </c>
      <c r="I219" t="n">
        <v>1.8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62934-2025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46009</v>
      </c>
      <c r="E220" s="1" t="n">
        <v>46324</v>
      </c>
      <c r="F220" t="inlineStr">
        <is>
          <t>VÄSTMANLANDS LÄN</t>
        </is>
      </c>
      <c r="G220" t="inlineStr">
        <is>
          <t>SKINNSKATTEBERG</t>
        </is>
      </c>
      <c r="I220" t="n">
        <v>1.7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41594-2025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45901</v>
      </c>
      <c r="E221" s="1" t="n">
        <v>46324</v>
      </c>
      <c r="F221" t="inlineStr">
        <is>
          <t>VÄSTMANLANDS LÄN</t>
        </is>
      </c>
      <c r="G221" t="inlineStr">
        <is>
          <t>SKINNSKATTEBERG</t>
        </is>
      </c>
      <c r="I221" t="n">
        <v>1.7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62933-2025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46009</v>
      </c>
      <c r="E222" s="1" t="n">
        <v>46324</v>
      </c>
      <c r="F222" t="inlineStr">
        <is>
          <t>VÄSTMANLANDS LÄN</t>
        </is>
      </c>
      <c r="G222" t="inlineStr">
        <is>
          <t>SKINNSKATTEBERG</t>
        </is>
      </c>
      <c r="I222" t="n">
        <v>4.9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1611-2024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45306</v>
      </c>
      <c r="E223" s="1" t="n">
        <v>46324</v>
      </c>
      <c r="F223" t="inlineStr">
        <is>
          <t>VÄSTMANLANDS LÄN</t>
        </is>
      </c>
      <c r="G223" t="inlineStr">
        <is>
          <t>SKINNSKATTEBERG</t>
        </is>
      </c>
      <c r="I223" t="n">
        <v>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1619-2024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45306</v>
      </c>
      <c r="E224" s="1" t="n">
        <v>46324</v>
      </c>
      <c r="F224" t="inlineStr">
        <is>
          <t>VÄSTMANLANDS LÄN</t>
        </is>
      </c>
      <c r="G224" t="inlineStr">
        <is>
          <t>SKINNSKATTEBERG</t>
        </is>
      </c>
      <c r="I224" t="n">
        <v>3.4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1620-2024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45306</v>
      </c>
      <c r="E225" s="1" t="n">
        <v>46324</v>
      </c>
      <c r="F225" t="inlineStr">
        <is>
          <t>VÄSTMANLANDS LÄN</t>
        </is>
      </c>
      <c r="G225" t="inlineStr">
        <is>
          <t>SKINNSKATTEBERG</t>
        </is>
      </c>
      <c r="I225" t="n">
        <v>2.2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40497-2023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45170</v>
      </c>
      <c r="E226" s="1" t="n">
        <v>46324</v>
      </c>
      <c r="F226" t="inlineStr">
        <is>
          <t>VÄSTMANLANDS LÄN</t>
        </is>
      </c>
      <c r="G226" t="inlineStr">
        <is>
          <t>SKINNSKATTEBERG</t>
        </is>
      </c>
      <c r="H226" t="inlineStr">
        <is>
          <t>Sveaskog</t>
        </is>
      </c>
      <c r="I226" t="n">
        <v>1.3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31629-2024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45506</v>
      </c>
      <c r="E227" s="1" t="n">
        <v>46324</v>
      </c>
      <c r="F227" t="inlineStr">
        <is>
          <t>VÄSTMANLANDS LÄN</t>
        </is>
      </c>
      <c r="G227" t="inlineStr">
        <is>
          <t>SKINNSKATTEBERG</t>
        </is>
      </c>
      <c r="H227" t="inlineStr">
        <is>
          <t>Sveaskog</t>
        </is>
      </c>
      <c r="I227" t="n">
        <v>3.7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25638-2026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46177</v>
      </c>
      <c r="E228" s="1" t="n">
        <v>46324</v>
      </c>
      <c r="F228" t="inlineStr">
        <is>
          <t>VÄSTMANLANDS LÄN</t>
        </is>
      </c>
      <c r="G228" t="inlineStr">
        <is>
          <t>SKINNSKATTEBERG</t>
        </is>
      </c>
      <c r="I228" t="n">
        <v>2.9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25753-2026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46178</v>
      </c>
      <c r="E229" s="1" t="n">
        <v>46324</v>
      </c>
      <c r="F229" t="inlineStr">
        <is>
          <t>VÄSTMANLANDS LÄN</t>
        </is>
      </c>
      <c r="G229" t="inlineStr">
        <is>
          <t>SKINNSKATTEBERG</t>
        </is>
      </c>
      <c r="H229" t="inlineStr">
        <is>
          <t>Sveaskog</t>
        </is>
      </c>
      <c r="I229" t="n">
        <v>2.1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25750-2026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46178</v>
      </c>
      <c r="E230" s="1" t="n">
        <v>46324</v>
      </c>
      <c r="F230" t="inlineStr">
        <is>
          <t>VÄSTMANLANDS LÄN</t>
        </is>
      </c>
      <c r="G230" t="inlineStr">
        <is>
          <t>SKINNSKATTEBERG</t>
        </is>
      </c>
      <c r="H230" t="inlineStr">
        <is>
          <t>Sveaskog</t>
        </is>
      </c>
      <c r="I230" t="n">
        <v>7.5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25640-2026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46177</v>
      </c>
      <c r="E231" s="1" t="n">
        <v>46324</v>
      </c>
      <c r="F231" t="inlineStr">
        <is>
          <t>VÄSTMANLANDS LÄN</t>
        </is>
      </c>
      <c r="G231" t="inlineStr">
        <is>
          <t>SKINNSKATTEBERG</t>
        </is>
      </c>
      <c r="I231" t="n">
        <v>1.2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2609-2026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46037</v>
      </c>
      <c r="E232" s="1" t="n">
        <v>46324</v>
      </c>
      <c r="F232" t="inlineStr">
        <is>
          <t>VÄSTMANLANDS LÄN</t>
        </is>
      </c>
      <c r="G232" t="inlineStr">
        <is>
          <t>SKINNSKATTEBERG</t>
        </is>
      </c>
      <c r="I232" t="n">
        <v>1.7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25748-2026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46178</v>
      </c>
      <c r="E233" s="1" t="n">
        <v>46324</v>
      </c>
      <c r="F233" t="inlineStr">
        <is>
          <t>VÄSTMANLANDS LÄN</t>
        </is>
      </c>
      <c r="G233" t="inlineStr">
        <is>
          <t>SKINNSKATTEBERG</t>
        </is>
      </c>
      <c r="H233" t="inlineStr">
        <is>
          <t>Sveaskog</t>
        </is>
      </c>
      <c r="I233" t="n">
        <v>4.1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2606-2026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46037</v>
      </c>
      <c r="E234" s="1" t="n">
        <v>46324</v>
      </c>
      <c r="F234" t="inlineStr">
        <is>
          <t>VÄSTMANLANDS LÄN</t>
        </is>
      </c>
      <c r="G234" t="inlineStr">
        <is>
          <t>SKINNSKATTEBERG</t>
        </is>
      </c>
      <c r="I234" t="n">
        <v>4.9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26356-2026</t>
        </is>
      </c>
      <c r="B235" t="inlineStr">
        <is>
          <t>avverkningsanmälan</t>
        </is>
      </c>
      <c r="C235" t="inlineStr">
        <is>
          <t>Avverkning för att bevara och utveckla /försöksver</t>
        </is>
      </c>
      <c r="D235" s="1" t="n">
        <v>46182</v>
      </c>
      <c r="E235" s="1" t="n">
        <v>46324</v>
      </c>
      <c r="F235" t="inlineStr">
        <is>
          <t>VÄSTMANLANDS LÄN</t>
        </is>
      </c>
      <c r="G235" t="inlineStr">
        <is>
          <t>SKINNSKATTEBERG</t>
        </is>
      </c>
      <c r="H235" t="inlineStr">
        <is>
          <t>Sveaskog</t>
        </is>
      </c>
      <c r="I235" t="n">
        <v>3.8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15184-2025</t>
        </is>
      </c>
      <c r="B236" t="inlineStr">
        <is>
          <t>avverkningsanmälan</t>
        </is>
      </c>
      <c r="C236" t="inlineStr">
        <is>
          <t>Avverkning för annat ändamål</t>
        </is>
      </c>
      <c r="D236" s="1" t="n">
        <v>45744</v>
      </c>
      <c r="E236" s="1" t="n">
        <v>46324</v>
      </c>
      <c r="F236" t="inlineStr">
        <is>
          <t>VÄSTMANLANDS LÄN</t>
        </is>
      </c>
      <c r="G236" t="inlineStr">
        <is>
          <t>SKINNSKATTEBERG</t>
        </is>
      </c>
      <c r="H236" t="inlineStr">
        <is>
          <t>Sveaskog</t>
        </is>
      </c>
      <c r="I236" t="n">
        <v>0.3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26354-2026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46182</v>
      </c>
      <c r="E237" s="1" t="n">
        <v>46324</v>
      </c>
      <c r="F237" t="inlineStr">
        <is>
          <t>VÄSTMANLANDS LÄN</t>
        </is>
      </c>
      <c r="G237" t="inlineStr">
        <is>
          <t>SKINNSKATTEBERG</t>
        </is>
      </c>
      <c r="H237" t="inlineStr">
        <is>
          <t>Sveaskog</t>
        </is>
      </c>
      <c r="I237" t="n">
        <v>2.5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41332-2023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45174</v>
      </c>
      <c r="E238" s="1" t="n">
        <v>46324</v>
      </c>
      <c r="F238" t="inlineStr">
        <is>
          <t>VÄSTMANLANDS LÄN</t>
        </is>
      </c>
      <c r="G238" t="inlineStr">
        <is>
          <t>SKINNSKATTEBERG</t>
        </is>
      </c>
      <c r="H238" t="inlineStr">
        <is>
          <t>Sveaskog</t>
        </is>
      </c>
      <c r="I238" t="n">
        <v>0.8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40549-2024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45555</v>
      </c>
      <c r="E239" s="1" t="n">
        <v>46324</v>
      </c>
      <c r="F239" t="inlineStr">
        <is>
          <t>VÄSTMANLANDS LÄN</t>
        </is>
      </c>
      <c r="G239" t="inlineStr">
        <is>
          <t>SKINNSKATTEBERG</t>
        </is>
      </c>
      <c r="H239" t="inlineStr">
        <is>
          <t>Sveaskog</t>
        </is>
      </c>
      <c r="I239" t="n">
        <v>0.7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42425-2023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45180</v>
      </c>
      <c r="E240" s="1" t="n">
        <v>46324</v>
      </c>
      <c r="F240" t="inlineStr">
        <is>
          <t>VÄSTMANLANDS LÄN</t>
        </is>
      </c>
      <c r="G240" t="inlineStr">
        <is>
          <t>SKINNSKATTEBERG</t>
        </is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61424-2023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45264</v>
      </c>
      <c r="E241" s="1" t="n">
        <v>46324</v>
      </c>
      <c r="F241" t="inlineStr">
        <is>
          <t>VÄSTMANLANDS LÄN</t>
        </is>
      </c>
      <c r="G241" t="inlineStr">
        <is>
          <t>SKINNSKATTEBERG</t>
        </is>
      </c>
      <c r="I241" t="n">
        <v>2.1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5704-2026</t>
        </is>
      </c>
      <c r="B242" t="inlineStr">
        <is>
          <t>avverkningsanmälan</t>
        </is>
      </c>
      <c r="C242" t="inlineStr">
        <is>
          <t>Avverkning för annat ändamål</t>
        </is>
      </c>
      <c r="D242" s="1" t="n">
        <v>46051</v>
      </c>
      <c r="E242" s="1" t="n">
        <v>46324</v>
      </c>
      <c r="F242" t="inlineStr">
        <is>
          <t>VÄSTMANLANDS LÄN</t>
        </is>
      </c>
      <c r="G242" t="inlineStr">
        <is>
          <t>SKINNSKATTEBERG</t>
        </is>
      </c>
      <c r="I242" t="n">
        <v>0.4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60185-2022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44910</v>
      </c>
      <c r="E243" s="1" t="n">
        <v>46324</v>
      </c>
      <c r="F243" t="inlineStr">
        <is>
          <t>VÄSTMANLANDS LÄN</t>
        </is>
      </c>
      <c r="G243" t="inlineStr">
        <is>
          <t>SKINNSKATTEBERG</t>
        </is>
      </c>
      <c r="I243" t="n">
        <v>1.6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5693-2026</t>
        </is>
      </c>
      <c r="B244" t="inlineStr">
        <is>
          <t>avverkningsanmälan</t>
        </is>
      </c>
      <c r="C244" t="inlineStr">
        <is>
          <t>Avverkning för annat ändamål</t>
        </is>
      </c>
      <c r="D244" s="1" t="n">
        <v>46051</v>
      </c>
      <c r="E244" s="1" t="n">
        <v>46324</v>
      </c>
      <c r="F244" t="inlineStr">
        <is>
          <t>VÄSTMANLANDS LÄN</t>
        </is>
      </c>
      <c r="G244" t="inlineStr">
        <is>
          <t>SKINNSKATTEBERG</t>
        </is>
      </c>
      <c r="I244" t="n">
        <v>0.5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18161-2024</t>
        </is>
      </c>
      <c r="B245" t="inlineStr">
        <is>
          <t>avverkningsanmälan</t>
        </is>
      </c>
      <c r="C245" t="inlineStr">
        <is>
          <t>Avverkning för annat ändamål</t>
        </is>
      </c>
      <c r="D245" s="1" t="n">
        <v>45420</v>
      </c>
      <c r="E245" s="1" t="n">
        <v>46324</v>
      </c>
      <c r="F245" t="inlineStr">
        <is>
          <t>VÄSTMANLANDS LÄN</t>
        </is>
      </c>
      <c r="G245" t="inlineStr">
        <is>
          <t>SKINNSKATTEBERG</t>
        </is>
      </c>
      <c r="H245" t="inlineStr">
        <is>
          <t>Sveaskog</t>
        </is>
      </c>
      <c r="I245" t="n">
        <v>0.4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26866-2026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46185</v>
      </c>
      <c r="E246" s="1" t="n">
        <v>46324</v>
      </c>
      <c r="F246" t="inlineStr">
        <is>
          <t>VÄSTMANLANDS LÄN</t>
        </is>
      </c>
      <c r="G246" t="inlineStr">
        <is>
          <t>SKINNSKATTEBERG</t>
        </is>
      </c>
      <c r="H246" t="inlineStr">
        <is>
          <t>Sveaskog</t>
        </is>
      </c>
      <c r="I246" t="n">
        <v>1.9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5675-2026</t>
        </is>
      </c>
      <c r="B247" t="inlineStr">
        <is>
          <t>avverkningsanmälan</t>
        </is>
      </c>
      <c r="C247" t="inlineStr">
        <is>
          <t>Avverkning för annat ändamål</t>
        </is>
      </c>
      <c r="D247" s="1" t="n">
        <v>46051</v>
      </c>
      <c r="E247" s="1" t="n">
        <v>46324</v>
      </c>
      <c r="F247" t="inlineStr">
        <is>
          <t>VÄSTMANLANDS LÄN</t>
        </is>
      </c>
      <c r="G247" t="inlineStr">
        <is>
          <t>SKINNSKATTEBERG</t>
        </is>
      </c>
      <c r="I247" t="n">
        <v>0.3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33789-2024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45520</v>
      </c>
      <c r="E248" s="1" t="n">
        <v>46324</v>
      </c>
      <c r="F248" t="inlineStr">
        <is>
          <t>VÄSTMANLANDS LÄN</t>
        </is>
      </c>
      <c r="G248" t="inlineStr">
        <is>
          <t>SKINNSKATTEBERG</t>
        </is>
      </c>
      <c r="I248" t="n">
        <v>9.1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22394-2022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44713</v>
      </c>
      <c r="E249" s="1" t="n">
        <v>46324</v>
      </c>
      <c r="F249" t="inlineStr">
        <is>
          <t>VÄSTMANLANDS LÄN</t>
        </is>
      </c>
      <c r="G249" t="inlineStr">
        <is>
          <t>SKINNSKATTEBERG</t>
        </is>
      </c>
      <c r="H249" t="inlineStr">
        <is>
          <t>Sveaskog</t>
        </is>
      </c>
      <c r="I249" t="n">
        <v>0.9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26865-2026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46185</v>
      </c>
      <c r="E250" s="1" t="n">
        <v>46324</v>
      </c>
      <c r="F250" t="inlineStr">
        <is>
          <t>VÄSTMANLANDS LÄN</t>
        </is>
      </c>
      <c r="G250" t="inlineStr">
        <is>
          <t>SKINNSKATTEBERG</t>
        </is>
      </c>
      <c r="H250" t="inlineStr">
        <is>
          <t>Sveaskog</t>
        </is>
      </c>
      <c r="I250" t="n">
        <v>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35831-2024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45532</v>
      </c>
      <c r="E251" s="1" t="n">
        <v>46324</v>
      </c>
      <c r="F251" t="inlineStr">
        <is>
          <t>VÄSTMANLANDS LÄN</t>
        </is>
      </c>
      <c r="G251" t="inlineStr">
        <is>
          <t>SKINNSKATTEBERG</t>
        </is>
      </c>
      <c r="I251" t="n">
        <v>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35834-2024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45532</v>
      </c>
      <c r="E252" s="1" t="n">
        <v>46324</v>
      </c>
      <c r="F252" t="inlineStr">
        <is>
          <t>VÄSTMANLANDS LÄN</t>
        </is>
      </c>
      <c r="G252" t="inlineStr">
        <is>
          <t>SKINNSKATTEBERG</t>
        </is>
      </c>
      <c r="I252" t="n">
        <v>1.8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40176-2024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45554</v>
      </c>
      <c r="E253" s="1" t="n">
        <v>46324</v>
      </c>
      <c r="F253" t="inlineStr">
        <is>
          <t>VÄSTMANLANDS LÄN</t>
        </is>
      </c>
      <c r="G253" t="inlineStr">
        <is>
          <t>SKINNSKATTEBERG</t>
        </is>
      </c>
      <c r="H253" t="inlineStr">
        <is>
          <t>Sveaskog</t>
        </is>
      </c>
      <c r="I253" t="n">
        <v>0.7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26862-2026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46185</v>
      </c>
      <c r="E254" s="1" t="n">
        <v>46324</v>
      </c>
      <c r="F254" t="inlineStr">
        <is>
          <t>VÄSTMANLANDS LÄN</t>
        </is>
      </c>
      <c r="G254" t="inlineStr">
        <is>
          <t>SKINNSKATTEBERG</t>
        </is>
      </c>
      <c r="H254" t="inlineStr">
        <is>
          <t>Sveaskog</t>
        </is>
      </c>
      <c r="I254" t="n">
        <v>0.3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19093-2023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45048</v>
      </c>
      <c r="E255" s="1" t="n">
        <v>46324</v>
      </c>
      <c r="F255" t="inlineStr">
        <is>
          <t>VÄSTMANLANDS LÄN</t>
        </is>
      </c>
      <c r="G255" t="inlineStr">
        <is>
          <t>SKINNSKATTEBERG</t>
        </is>
      </c>
      <c r="H255" t="inlineStr">
        <is>
          <t>Sveaskog</t>
        </is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6601-2026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46056</v>
      </c>
      <c r="E256" s="1" t="n">
        <v>46324</v>
      </c>
      <c r="F256" t="inlineStr">
        <is>
          <t>VÄSTMANLANDS LÄN</t>
        </is>
      </c>
      <c r="G256" t="inlineStr">
        <is>
          <t>SKINNSKATTEBERG</t>
        </is>
      </c>
      <c r="I256" t="n">
        <v>0.9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27637-2026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46190</v>
      </c>
      <c r="E257" s="1" t="n">
        <v>46324</v>
      </c>
      <c r="F257" t="inlineStr">
        <is>
          <t>VÄSTMANLANDS LÄN</t>
        </is>
      </c>
      <c r="G257" t="inlineStr">
        <is>
          <t>SKINNSKATTEBERG</t>
        </is>
      </c>
      <c r="H257" t="inlineStr">
        <is>
          <t>Sveaskog</t>
        </is>
      </c>
      <c r="I257" t="n">
        <v>1.4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27639-2026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46190</v>
      </c>
      <c r="E258" s="1" t="n">
        <v>46324</v>
      </c>
      <c r="F258" t="inlineStr">
        <is>
          <t>VÄSTMANLANDS LÄN</t>
        </is>
      </c>
      <c r="G258" t="inlineStr">
        <is>
          <t>SKINNSKATTEBERG</t>
        </is>
      </c>
      <c r="H258" t="inlineStr">
        <is>
          <t>Sveaskog</t>
        </is>
      </c>
      <c r="I258" t="n">
        <v>1.8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27634-2026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46190</v>
      </c>
      <c r="E259" s="1" t="n">
        <v>46324</v>
      </c>
      <c r="F259" t="inlineStr">
        <is>
          <t>VÄSTMANLANDS LÄN</t>
        </is>
      </c>
      <c r="G259" t="inlineStr">
        <is>
          <t>SKINNSKATTEBERG</t>
        </is>
      </c>
      <c r="H259" t="inlineStr">
        <is>
          <t>Sveaskog</t>
        </is>
      </c>
      <c r="I259" t="n">
        <v>1.8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27919-2026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46191</v>
      </c>
      <c r="E260" s="1" t="n">
        <v>46324</v>
      </c>
      <c r="F260" t="inlineStr">
        <is>
          <t>VÄSTMANLANDS LÄN</t>
        </is>
      </c>
      <c r="G260" t="inlineStr">
        <is>
          <t>SKINNSKATTEBERG</t>
        </is>
      </c>
      <c r="H260" t="inlineStr">
        <is>
          <t>Sveaskog</t>
        </is>
      </c>
      <c r="I260" t="n">
        <v>6.7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35683-2024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45532</v>
      </c>
      <c r="E261" s="1" t="n">
        <v>46324</v>
      </c>
      <c r="F261" t="inlineStr">
        <is>
          <t>VÄSTMANLANDS LÄN</t>
        </is>
      </c>
      <c r="G261" t="inlineStr">
        <is>
          <t>SKINNSKATTEBERG</t>
        </is>
      </c>
      <c r="I261" t="n">
        <v>6.5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27921-2026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46191</v>
      </c>
      <c r="E262" s="1" t="n">
        <v>46324</v>
      </c>
      <c r="F262" t="inlineStr">
        <is>
          <t>VÄSTMANLANDS LÄN</t>
        </is>
      </c>
      <c r="G262" t="inlineStr">
        <is>
          <t>SKINNSKATTEBERG</t>
        </is>
      </c>
      <c r="H262" t="inlineStr">
        <is>
          <t>Sveaskog</t>
        </is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28161-2026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46195</v>
      </c>
      <c r="E263" s="1" t="n">
        <v>46324</v>
      </c>
      <c r="F263" t="inlineStr">
        <is>
          <t>VÄSTMANLANDS LÄN</t>
        </is>
      </c>
      <c r="G263" t="inlineStr">
        <is>
          <t>SKINNSKATTEBERG</t>
        </is>
      </c>
      <c r="I263" t="n">
        <v>8.5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31268-2023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45114</v>
      </c>
      <c r="E264" s="1" t="n">
        <v>46324</v>
      </c>
      <c r="F264" t="inlineStr">
        <is>
          <t>VÄSTMANLANDS LÄN</t>
        </is>
      </c>
      <c r="G264" t="inlineStr">
        <is>
          <t>SKINNSKATTEBERG</t>
        </is>
      </c>
      <c r="H264" t="inlineStr">
        <is>
          <t>Sveaskog</t>
        </is>
      </c>
      <c r="I264" t="n">
        <v>1.5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28458-2026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46197</v>
      </c>
      <c r="E265" s="1" t="n">
        <v>46324</v>
      </c>
      <c r="F265" t="inlineStr">
        <is>
          <t>VÄSTMANLANDS LÄN</t>
        </is>
      </c>
      <c r="G265" t="inlineStr">
        <is>
          <t>SKINNSKATTEBERG</t>
        </is>
      </c>
      <c r="H265" t="inlineStr">
        <is>
          <t>Sveaskog</t>
        </is>
      </c>
      <c r="I265" t="n">
        <v>3.5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28463-2026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46197</v>
      </c>
      <c r="E266" s="1" t="n">
        <v>46324</v>
      </c>
      <c r="F266" t="inlineStr">
        <is>
          <t>VÄSTMANLANDS LÄN</t>
        </is>
      </c>
      <c r="G266" t="inlineStr">
        <is>
          <t>SKINNSKATTEBERG</t>
        </is>
      </c>
      <c r="H266" t="inlineStr">
        <is>
          <t>Sveaskog</t>
        </is>
      </c>
      <c r="I266" t="n">
        <v>3.5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14189-2024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45393</v>
      </c>
      <c r="E267" s="1" t="n">
        <v>46324</v>
      </c>
      <c r="F267" t="inlineStr">
        <is>
          <t>VÄSTMANLANDS LÄN</t>
        </is>
      </c>
      <c r="G267" t="inlineStr">
        <is>
          <t>SKINNSKATTEBERG</t>
        </is>
      </c>
      <c r="H267" t="inlineStr">
        <is>
          <t>Sveaskog</t>
        </is>
      </c>
      <c r="I267" t="n">
        <v>3.6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4379-2025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45686</v>
      </c>
      <c r="E268" s="1" t="n">
        <v>46324</v>
      </c>
      <c r="F268" t="inlineStr">
        <is>
          <t>VÄSTMANLANDS LÄN</t>
        </is>
      </c>
      <c r="G268" t="inlineStr">
        <is>
          <t>SKINNSKATTEBERG</t>
        </is>
      </c>
      <c r="I268" t="n">
        <v>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28456-2026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46197</v>
      </c>
      <c r="E269" s="1" t="n">
        <v>46324</v>
      </c>
      <c r="F269" t="inlineStr">
        <is>
          <t>VÄSTMANLANDS LÄN</t>
        </is>
      </c>
      <c r="G269" t="inlineStr">
        <is>
          <t>SKINNSKATTEBERG</t>
        </is>
      </c>
      <c r="H269" t="inlineStr">
        <is>
          <t>Sveaskog</t>
        </is>
      </c>
      <c r="I269" t="n">
        <v>0.5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31617-2024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45506</v>
      </c>
      <c r="E270" s="1" t="n">
        <v>46324</v>
      </c>
      <c r="F270" t="inlineStr">
        <is>
          <t>VÄSTMANLANDS LÄN</t>
        </is>
      </c>
      <c r="G270" t="inlineStr">
        <is>
          <t>SKINNSKATTEBERG</t>
        </is>
      </c>
      <c r="I270" t="n">
        <v>5.9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59578-2024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45637</v>
      </c>
      <c r="E271" s="1" t="n">
        <v>46324</v>
      </c>
      <c r="F271" t="inlineStr">
        <is>
          <t>VÄSTMANLANDS LÄN</t>
        </is>
      </c>
      <c r="G271" t="inlineStr">
        <is>
          <t>SKINNSKATTEBERG</t>
        </is>
      </c>
      <c r="I271" t="n">
        <v>0.8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29022-2026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46199</v>
      </c>
      <c r="E272" s="1" t="n">
        <v>46324</v>
      </c>
      <c r="F272" t="inlineStr">
        <is>
          <t>VÄSTMANLANDS LÄN</t>
        </is>
      </c>
      <c r="G272" t="inlineStr">
        <is>
          <t>SKINNSKATTEBERG</t>
        </is>
      </c>
      <c r="H272" t="inlineStr">
        <is>
          <t>Sveaskog</t>
        </is>
      </c>
      <c r="I272" t="n">
        <v>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50407-2023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45216</v>
      </c>
      <c r="E273" s="1" t="n">
        <v>46324</v>
      </c>
      <c r="F273" t="inlineStr">
        <is>
          <t>VÄSTMANLANDS LÄN</t>
        </is>
      </c>
      <c r="G273" t="inlineStr">
        <is>
          <t>SKINNSKATTEBERG</t>
        </is>
      </c>
      <c r="H273" t="inlineStr">
        <is>
          <t>Sveaskog</t>
        </is>
      </c>
      <c r="I273" t="n">
        <v>0.9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8199-2023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44974</v>
      </c>
      <c r="E274" s="1" t="n">
        <v>46324</v>
      </c>
      <c r="F274" t="inlineStr">
        <is>
          <t>VÄSTMANLANDS LÄN</t>
        </is>
      </c>
      <c r="G274" t="inlineStr">
        <is>
          <t>SKINNSKATTEBERG</t>
        </is>
      </c>
      <c r="H274" t="inlineStr">
        <is>
          <t>Kyrkan</t>
        </is>
      </c>
      <c r="I274" t="n">
        <v>1.2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29091-2026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46200</v>
      </c>
      <c r="E275" s="1" t="n">
        <v>46324</v>
      </c>
      <c r="F275" t="inlineStr">
        <is>
          <t>VÄSTMANLANDS LÄN</t>
        </is>
      </c>
      <c r="G275" t="inlineStr">
        <is>
          <t>SKINNSKATTEBERG</t>
        </is>
      </c>
      <c r="H275" t="inlineStr">
        <is>
          <t>Sveaskog</t>
        </is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29090-2026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46200</v>
      </c>
      <c r="E276" s="1" t="n">
        <v>46324</v>
      </c>
      <c r="F276" t="inlineStr">
        <is>
          <t>VÄSTMANLANDS LÄN</t>
        </is>
      </c>
      <c r="G276" t="inlineStr">
        <is>
          <t>SKINNSKATTEBERG</t>
        </is>
      </c>
      <c r="H276" t="inlineStr">
        <is>
          <t>Sveaskog</t>
        </is>
      </c>
      <c r="I276" t="n">
        <v>3.8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29021-2026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46199</v>
      </c>
      <c r="E277" s="1" t="n">
        <v>46324</v>
      </c>
      <c r="F277" t="inlineStr">
        <is>
          <t>VÄSTMANLANDS LÄN</t>
        </is>
      </c>
      <c r="G277" t="inlineStr">
        <is>
          <t>SKINNSKATTEBERG</t>
        </is>
      </c>
      <c r="H277" t="inlineStr">
        <is>
          <t>Sveaskog</t>
        </is>
      </c>
      <c r="I277" t="n">
        <v>3.2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11800-2024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45375</v>
      </c>
      <c r="E278" s="1" t="n">
        <v>46324</v>
      </c>
      <c r="F278" t="inlineStr">
        <is>
          <t>VÄSTMANLANDS LÄN</t>
        </is>
      </c>
      <c r="G278" t="inlineStr">
        <is>
          <t>SKINNSKATTEBERG</t>
        </is>
      </c>
      <c r="I278" t="n">
        <v>0.3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58317-2023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45250</v>
      </c>
      <c r="E279" s="1" t="n">
        <v>46324</v>
      </c>
      <c r="F279" t="inlineStr">
        <is>
          <t>VÄSTMANLANDS LÄN</t>
        </is>
      </c>
      <c r="G279" t="inlineStr">
        <is>
          <t>SKINNSKATTEBERG</t>
        </is>
      </c>
      <c r="I279" t="n">
        <v>10.1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20243-2024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45434</v>
      </c>
      <c r="E280" s="1" t="n">
        <v>46324</v>
      </c>
      <c r="F280" t="inlineStr">
        <is>
          <t>VÄSTMANLANDS LÄN</t>
        </is>
      </c>
      <c r="G280" t="inlineStr">
        <is>
          <t>SKINNSKATTEBERG</t>
        </is>
      </c>
      <c r="H280" t="inlineStr">
        <is>
          <t>Sveaskog</t>
        </is>
      </c>
      <c r="I280" t="n">
        <v>3.3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40546-2023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45170</v>
      </c>
      <c r="E281" s="1" t="n">
        <v>46324</v>
      </c>
      <c r="F281" t="inlineStr">
        <is>
          <t>VÄSTMANLANDS LÄN</t>
        </is>
      </c>
      <c r="G281" t="inlineStr">
        <is>
          <t>SKINNSKATTEBERG</t>
        </is>
      </c>
      <c r="H281" t="inlineStr">
        <is>
          <t>Sveaskog</t>
        </is>
      </c>
      <c r="I281" t="n">
        <v>0.6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58979-2023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45252</v>
      </c>
      <c r="E282" s="1" t="n">
        <v>46324</v>
      </c>
      <c r="F282" t="inlineStr">
        <is>
          <t>VÄSTMANLANDS LÄN</t>
        </is>
      </c>
      <c r="G282" t="inlineStr">
        <is>
          <t>SKINNSKATTEBERG</t>
        </is>
      </c>
      <c r="H282" t="inlineStr">
        <is>
          <t>Sveaskog</t>
        </is>
      </c>
      <c r="I282" t="n">
        <v>0.8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14719-2023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45014</v>
      </c>
      <c r="E283" s="1" t="n">
        <v>46324</v>
      </c>
      <c r="F283" t="inlineStr">
        <is>
          <t>VÄSTMANLANDS LÄN</t>
        </is>
      </c>
      <c r="G283" t="inlineStr">
        <is>
          <t>SKINNSKATTEBERG</t>
        </is>
      </c>
      <c r="I283" t="n">
        <v>1.7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14736-2023</t>
        </is>
      </c>
      <c r="B284" t="inlineStr">
        <is>
          <t>avverkningsanmälan</t>
        </is>
      </c>
      <c r="C284" t="inlineStr">
        <is>
          <t>Avverkning för annat ändamål</t>
        </is>
      </c>
      <c r="D284" s="1" t="n">
        <v>45014</v>
      </c>
      <c r="E284" s="1" t="n">
        <v>46324</v>
      </c>
      <c r="F284" t="inlineStr">
        <is>
          <t>VÄSTMANLANDS LÄN</t>
        </is>
      </c>
      <c r="G284" t="inlineStr">
        <is>
          <t>SKINNSKATTEBERG</t>
        </is>
      </c>
      <c r="H284" t="inlineStr">
        <is>
          <t>Sveaskog</t>
        </is>
      </c>
      <c r="I284" t="n">
        <v>0.5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18409-2025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45762</v>
      </c>
      <c r="E285" s="1" t="n">
        <v>46324</v>
      </c>
      <c r="F285" t="inlineStr">
        <is>
          <t>VÄSTMANLANDS LÄN</t>
        </is>
      </c>
      <c r="G285" t="inlineStr">
        <is>
          <t>SKINNSKATTEBERG</t>
        </is>
      </c>
      <c r="H285" t="inlineStr">
        <is>
          <t>Sveaskog</t>
        </is>
      </c>
      <c r="I285" t="n">
        <v>1.8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57984-2023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45247</v>
      </c>
      <c r="E286" s="1" t="n">
        <v>46324</v>
      </c>
      <c r="F286" t="inlineStr">
        <is>
          <t>VÄSTMANLANDS LÄN</t>
        </is>
      </c>
      <c r="G286" t="inlineStr">
        <is>
          <t>SKINNSKATTEBERG</t>
        </is>
      </c>
      <c r="H286" t="inlineStr">
        <is>
          <t>Sveaskog</t>
        </is>
      </c>
      <c r="I286" t="n">
        <v>0.5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30471-2026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46210</v>
      </c>
      <c r="E287" s="1" t="n">
        <v>46324</v>
      </c>
      <c r="F287" t="inlineStr">
        <is>
          <t>VÄSTMANLANDS LÄN</t>
        </is>
      </c>
      <c r="G287" t="inlineStr">
        <is>
          <t>SKINNSKATTEBERG</t>
        </is>
      </c>
      <c r="I287" t="n">
        <v>2.6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18109-2023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45040</v>
      </c>
      <c r="E288" s="1" t="n">
        <v>46324</v>
      </c>
      <c r="F288" t="inlineStr">
        <is>
          <t>VÄSTMANLANDS LÄN</t>
        </is>
      </c>
      <c r="G288" t="inlineStr">
        <is>
          <t>SKINNSKATTEBERG</t>
        </is>
      </c>
      <c r="H288" t="inlineStr">
        <is>
          <t>Sveaskog</t>
        </is>
      </c>
      <c r="I288" t="n">
        <v>1.2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48492-2024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45592</v>
      </c>
      <c r="E289" s="1" t="n">
        <v>46324</v>
      </c>
      <c r="F289" t="inlineStr">
        <is>
          <t>VÄSTMANLANDS LÄN</t>
        </is>
      </c>
      <c r="G289" t="inlineStr">
        <is>
          <t>SKINNSKATTEBERG</t>
        </is>
      </c>
      <c r="H289" t="inlineStr">
        <is>
          <t>Sveaskog</t>
        </is>
      </c>
      <c r="I289" t="n">
        <v>4.3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38521-2023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45162</v>
      </c>
      <c r="E290" s="1" t="n">
        <v>46324</v>
      </c>
      <c r="F290" t="inlineStr">
        <is>
          <t>VÄSTMANLANDS LÄN</t>
        </is>
      </c>
      <c r="G290" t="inlineStr">
        <is>
          <t>SKINNSKATTEBERG</t>
        </is>
      </c>
      <c r="H290" t="inlineStr">
        <is>
          <t>Sveaskog</t>
        </is>
      </c>
      <c r="I290" t="n">
        <v>2.5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15094-2026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46105</v>
      </c>
      <c r="E291" s="1" t="n">
        <v>46324</v>
      </c>
      <c r="F291" t="inlineStr">
        <is>
          <t>VÄSTMANLANDS LÄN</t>
        </is>
      </c>
      <c r="G291" t="inlineStr">
        <is>
          <t>SKINNSKATTEBERG</t>
        </is>
      </c>
      <c r="H291" t="inlineStr">
        <is>
          <t>Sveaskog</t>
        </is>
      </c>
      <c r="I291" t="n">
        <v>0.9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52696-2024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45610</v>
      </c>
      <c r="E292" s="1" t="n">
        <v>46324</v>
      </c>
      <c r="F292" t="inlineStr">
        <is>
          <t>VÄSTMANLANDS LÄN</t>
        </is>
      </c>
      <c r="G292" t="inlineStr">
        <is>
          <t>SKINNSKATTEBERG</t>
        </is>
      </c>
      <c r="H292" t="inlineStr">
        <is>
          <t>Sveaskog</t>
        </is>
      </c>
      <c r="I292" t="n">
        <v>1.4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20947-2025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45777</v>
      </c>
      <c r="E293" s="1" t="n">
        <v>46324</v>
      </c>
      <c r="F293" t="inlineStr">
        <is>
          <t>VÄSTMANLANDS LÄN</t>
        </is>
      </c>
      <c r="G293" t="inlineStr">
        <is>
          <t>SKINNSKATTEBERG</t>
        </is>
      </c>
      <c r="H293" t="inlineStr">
        <is>
          <t>Sveaskog</t>
        </is>
      </c>
      <c r="I293" t="n">
        <v>3.2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20949-2025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45777</v>
      </c>
      <c r="E294" s="1" t="n">
        <v>46324</v>
      </c>
      <c r="F294" t="inlineStr">
        <is>
          <t>VÄSTMANLANDS LÄN</t>
        </is>
      </c>
      <c r="G294" t="inlineStr">
        <is>
          <t>SKINNSKATTEBERG</t>
        </is>
      </c>
      <c r="H294" t="inlineStr">
        <is>
          <t>Sveaskog</t>
        </is>
      </c>
      <c r="I294" t="n">
        <v>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15732-2026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46107</v>
      </c>
      <c r="E295" s="1" t="n">
        <v>46324</v>
      </c>
      <c r="F295" t="inlineStr">
        <is>
          <t>VÄSTMANLANDS LÄN</t>
        </is>
      </c>
      <c r="G295" t="inlineStr">
        <is>
          <t>SKINNSKATTEBERG</t>
        </is>
      </c>
      <c r="H295" t="inlineStr">
        <is>
          <t>Sveaskog</t>
        </is>
      </c>
      <c r="I295" t="n">
        <v>4.1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15955-2026</t>
        </is>
      </c>
      <c r="B296" t="inlineStr">
        <is>
          <t>avverkningsanmälan</t>
        </is>
      </c>
      <c r="C296" t="inlineStr">
        <is>
          <t>Avverkning för annat ändamål</t>
        </is>
      </c>
      <c r="D296" s="1" t="n">
        <v>46108</v>
      </c>
      <c r="E296" s="1" t="n">
        <v>46324</v>
      </c>
      <c r="F296" t="inlineStr">
        <is>
          <t>VÄSTMANLANDS LÄN</t>
        </is>
      </c>
      <c r="G296" t="inlineStr">
        <is>
          <t>SKINNSKATTEBERG</t>
        </is>
      </c>
      <c r="I296" t="n">
        <v>0.7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15730-2026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46107</v>
      </c>
      <c r="E297" s="1" t="n">
        <v>46324</v>
      </c>
      <c r="F297" t="inlineStr">
        <is>
          <t>VÄSTMANLANDS LÄN</t>
        </is>
      </c>
      <c r="G297" t="inlineStr">
        <is>
          <t>SKINNSKATTEBERG</t>
        </is>
      </c>
      <c r="H297" t="inlineStr">
        <is>
          <t>Sveaskog</t>
        </is>
      </c>
      <c r="I297" t="n">
        <v>2.7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16136-2026</t>
        </is>
      </c>
      <c r="B298" t="inlineStr">
        <is>
          <t>avverkningsanmälan</t>
        </is>
      </c>
      <c r="C298" t="inlineStr">
        <is>
          <t>Avverkning för annat ändamål</t>
        </is>
      </c>
      <c r="D298" s="1" t="n">
        <v>46108</v>
      </c>
      <c r="E298" s="1" t="n">
        <v>46324</v>
      </c>
      <c r="F298" t="inlineStr">
        <is>
          <t>VÄSTMANLANDS LÄN</t>
        </is>
      </c>
      <c r="G298" t="inlineStr">
        <is>
          <t>SKINNSKATTEBERG</t>
        </is>
      </c>
      <c r="H298" t="inlineStr">
        <is>
          <t>Sveaskog</t>
        </is>
      </c>
      <c r="I298" t="n">
        <v>0.9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15731-2026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46107</v>
      </c>
      <c r="E299" s="1" t="n">
        <v>46324</v>
      </c>
      <c r="F299" t="inlineStr">
        <is>
          <t>VÄSTMANLANDS LÄN</t>
        </is>
      </c>
      <c r="G299" t="inlineStr">
        <is>
          <t>SKINNSKATTEBERG</t>
        </is>
      </c>
      <c r="H299" t="inlineStr">
        <is>
          <t>Sveaskog</t>
        </is>
      </c>
      <c r="I299" t="n">
        <v>3.3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16304-2026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46111</v>
      </c>
      <c r="E300" s="1" t="n">
        <v>46324</v>
      </c>
      <c r="F300" t="inlineStr">
        <is>
          <t>VÄSTMANLANDS LÄN</t>
        </is>
      </c>
      <c r="G300" t="inlineStr">
        <is>
          <t>SKINNSKATTEBERG</t>
        </is>
      </c>
      <c r="H300" t="inlineStr">
        <is>
          <t>Sveaskog</t>
        </is>
      </c>
      <c r="I300" t="n">
        <v>3.1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16299-2026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46111</v>
      </c>
      <c r="E301" s="1" t="n">
        <v>46324</v>
      </c>
      <c r="F301" t="inlineStr">
        <is>
          <t>VÄSTMANLANDS LÄN</t>
        </is>
      </c>
      <c r="G301" t="inlineStr">
        <is>
          <t>SKINNSKATTEBERG</t>
        </is>
      </c>
      <c r="H301" t="inlineStr">
        <is>
          <t>Sveaskog</t>
        </is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16301-2026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46111</v>
      </c>
      <c r="E302" s="1" t="n">
        <v>46324</v>
      </c>
      <c r="F302" t="inlineStr">
        <is>
          <t>VÄSTMANLANDS LÄN</t>
        </is>
      </c>
      <c r="G302" t="inlineStr">
        <is>
          <t>SKINNSKATTEBERG</t>
        </is>
      </c>
      <c r="H302" t="inlineStr">
        <is>
          <t>Sveaskog</t>
        </is>
      </c>
      <c r="I302" t="n">
        <v>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17098-2026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46114</v>
      </c>
      <c r="E303" s="1" t="n">
        <v>46324</v>
      </c>
      <c r="F303" t="inlineStr">
        <is>
          <t>VÄSTMANLANDS LÄN</t>
        </is>
      </c>
      <c r="G303" t="inlineStr">
        <is>
          <t>SKINNSKATTEBERG</t>
        </is>
      </c>
      <c r="H303" t="inlineStr">
        <is>
          <t>Sveaskog</t>
        </is>
      </c>
      <c r="I303" t="n">
        <v>2.2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12158-2024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45377</v>
      </c>
      <c r="E304" s="1" t="n">
        <v>46324</v>
      </c>
      <c r="F304" t="inlineStr">
        <is>
          <t>VÄSTMANLANDS LÄN</t>
        </is>
      </c>
      <c r="G304" t="inlineStr">
        <is>
          <t>SKINNSKATTEBERG</t>
        </is>
      </c>
      <c r="I304" t="n">
        <v>2.9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17344-2026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46119</v>
      </c>
      <c r="E305" s="1" t="n">
        <v>46324</v>
      </c>
      <c r="F305" t="inlineStr">
        <is>
          <t>VÄSTMANLANDS LÄN</t>
        </is>
      </c>
      <c r="G305" t="inlineStr">
        <is>
          <t>SKINNSKATTEBERG</t>
        </is>
      </c>
      <c r="H305" t="inlineStr">
        <is>
          <t>Sveaskog</t>
        </is>
      </c>
      <c r="I305" t="n">
        <v>1.9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4385-2025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45686</v>
      </c>
      <c r="E306" s="1" t="n">
        <v>46324</v>
      </c>
      <c r="F306" t="inlineStr">
        <is>
          <t>VÄSTMANLANDS LÄN</t>
        </is>
      </c>
      <c r="G306" t="inlineStr">
        <is>
          <t>SKINNSKATTEBERG</t>
        </is>
      </c>
      <c r="I306" t="n">
        <v>1.1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1069-2023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44935</v>
      </c>
      <c r="E307" s="1" t="n">
        <v>46324</v>
      </c>
      <c r="F307" t="inlineStr">
        <is>
          <t>VÄSTMANLANDS LÄN</t>
        </is>
      </c>
      <c r="G307" t="inlineStr">
        <is>
          <t>SKINNSKATTEBERG</t>
        </is>
      </c>
      <c r="I307" t="n">
        <v>10.5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37730-2024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45541</v>
      </c>
      <c r="E308" s="1" t="n">
        <v>46324</v>
      </c>
      <c r="F308" t="inlineStr">
        <is>
          <t>VÄSTMANLANDS LÄN</t>
        </is>
      </c>
      <c r="G308" t="inlineStr">
        <is>
          <t>SKINNSKATTEBERG</t>
        </is>
      </c>
      <c r="H308" t="inlineStr">
        <is>
          <t>Sveaskog</t>
        </is>
      </c>
      <c r="I308" t="n">
        <v>1.2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17933-2026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46122</v>
      </c>
      <c r="E309" s="1" t="n">
        <v>46324</v>
      </c>
      <c r="F309" t="inlineStr">
        <is>
          <t>VÄSTMANLANDS LÄN</t>
        </is>
      </c>
      <c r="G309" t="inlineStr">
        <is>
          <t>SKINNSKATTEBERG</t>
        </is>
      </c>
      <c r="H309" t="inlineStr">
        <is>
          <t>Sveaskog</t>
        </is>
      </c>
      <c r="I309" t="n">
        <v>2.1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50980-2022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44867</v>
      </c>
      <c r="E310" s="1" t="n">
        <v>46324</v>
      </c>
      <c r="F310" t="inlineStr">
        <is>
          <t>VÄSTMANLANDS LÄN</t>
        </is>
      </c>
      <c r="G310" t="inlineStr">
        <is>
          <t>SKINNSKATTEBERG</t>
        </is>
      </c>
      <c r="I310" t="n">
        <v>1.1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16394-2024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45407</v>
      </c>
      <c r="E311" s="1" t="n">
        <v>46324</v>
      </c>
      <c r="F311" t="inlineStr">
        <is>
          <t>VÄSTMANLANDS LÄN</t>
        </is>
      </c>
      <c r="G311" t="inlineStr">
        <is>
          <t>SKINNSKATTEBERG</t>
        </is>
      </c>
      <c r="H311" t="inlineStr">
        <is>
          <t>Sveaskog</t>
        </is>
      </c>
      <c r="I311" t="n">
        <v>1.5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18948-2026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46129</v>
      </c>
      <c r="E312" s="1" t="n">
        <v>46324</v>
      </c>
      <c r="F312" t="inlineStr">
        <is>
          <t>VÄSTMANLANDS LÄN</t>
        </is>
      </c>
      <c r="G312" t="inlineStr">
        <is>
          <t>SKINNSKATTEBERG</t>
        </is>
      </c>
      <c r="H312" t="inlineStr">
        <is>
          <t>Sveaskog</t>
        </is>
      </c>
      <c r="I312" t="n">
        <v>0.9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29026-2026</t>
        </is>
      </c>
      <c r="B313" t="inlineStr">
        <is>
          <t>avverkningsanmälan</t>
        </is>
      </c>
      <c r="C313" t="inlineStr">
        <is>
          <t>Avverkning för att bevara och utveckla /försöksver</t>
        </is>
      </c>
      <c r="D313" s="1" t="n">
        <v>46199</v>
      </c>
      <c r="E313" s="1" t="n">
        <v>46324</v>
      </c>
      <c r="F313" t="inlineStr">
        <is>
          <t>VÄSTMANLANDS LÄN</t>
        </is>
      </c>
      <c r="G313" t="inlineStr">
        <is>
          <t>SKINNSKATTEBERG</t>
        </is>
      </c>
      <c r="H313" t="inlineStr">
        <is>
          <t>Sveaskog</t>
        </is>
      </c>
      <c r="I313" t="n">
        <v>0.9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38783-2024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45547</v>
      </c>
      <c r="E314" s="1" t="n">
        <v>46324</v>
      </c>
      <c r="F314" t="inlineStr">
        <is>
          <t>VÄSTMANLANDS LÄN</t>
        </is>
      </c>
      <c r="G314" t="inlineStr">
        <is>
          <t>SKINNSKATTEBERG</t>
        </is>
      </c>
      <c r="H314" t="inlineStr">
        <is>
          <t>Sveaskog</t>
        </is>
      </c>
      <c r="I314" t="n">
        <v>5.2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28941-2024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45480</v>
      </c>
      <c r="E315" s="1" t="n">
        <v>46324</v>
      </c>
      <c r="F315" t="inlineStr">
        <is>
          <t>VÄSTMANLANDS LÄN</t>
        </is>
      </c>
      <c r="G315" t="inlineStr">
        <is>
          <t>SKINNSKATTEBERG</t>
        </is>
      </c>
      <c r="I315" t="n">
        <v>2.1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32217-2026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46237</v>
      </c>
      <c r="E316" s="1" t="n">
        <v>46324</v>
      </c>
      <c r="F316" t="inlineStr">
        <is>
          <t>VÄSTMANLANDS LÄN</t>
        </is>
      </c>
      <c r="G316" t="inlineStr">
        <is>
          <t>SKINNSKATTEBERG</t>
        </is>
      </c>
      <c r="I316" t="n">
        <v>0.9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19540-2026</t>
        </is>
      </c>
      <c r="B317" t="inlineStr">
        <is>
          <t>avverkningsanmälan</t>
        </is>
      </c>
      <c r="C317" t="inlineStr">
        <is>
          <t>Avverkning för annat ändamål</t>
        </is>
      </c>
      <c r="D317" s="1" t="n">
        <v>46134</v>
      </c>
      <c r="E317" s="1" t="n">
        <v>46324</v>
      </c>
      <c r="F317" t="inlineStr">
        <is>
          <t>VÄSTMANLANDS LÄN</t>
        </is>
      </c>
      <c r="G317" t="inlineStr">
        <is>
          <t>SKINNSKATTEBERG</t>
        </is>
      </c>
      <c r="H317" t="inlineStr">
        <is>
          <t>Sveaskog</t>
        </is>
      </c>
      <c r="I317" t="n">
        <v>1.4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19541-2026</t>
        </is>
      </c>
      <c r="B318" t="inlineStr">
        <is>
          <t>avverkningsanmälan</t>
        </is>
      </c>
      <c r="C318" t="inlineStr">
        <is>
          <t>Avverkning för annat ändamål</t>
        </is>
      </c>
      <c r="D318" s="1" t="n">
        <v>46134</v>
      </c>
      <c r="E318" s="1" t="n">
        <v>46324</v>
      </c>
      <c r="F318" t="inlineStr">
        <is>
          <t>VÄSTMANLANDS LÄN</t>
        </is>
      </c>
      <c r="G318" t="inlineStr">
        <is>
          <t>SKINNSKATTEBERG</t>
        </is>
      </c>
      <c r="H318" t="inlineStr">
        <is>
          <t>Sveaskog</t>
        </is>
      </c>
      <c r="I318" t="n">
        <v>0.4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19582-2026</t>
        </is>
      </c>
      <c r="B319" t="inlineStr">
        <is>
          <t>avverkningsanmälan</t>
        </is>
      </c>
      <c r="C319" t="inlineStr">
        <is>
          <t>Avverkning för annat ändamål</t>
        </is>
      </c>
      <c r="D319" s="1" t="n">
        <v>46134</v>
      </c>
      <c r="E319" s="1" t="n">
        <v>46324</v>
      </c>
      <c r="F319" t="inlineStr">
        <is>
          <t>VÄSTMANLANDS LÄN</t>
        </is>
      </c>
      <c r="G319" t="inlineStr">
        <is>
          <t>SKINNSKATTEBERG</t>
        </is>
      </c>
      <c r="H319" t="inlineStr">
        <is>
          <t>Sveaskog</t>
        </is>
      </c>
      <c r="I319" t="n">
        <v>0.2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38401-2026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46282</v>
      </c>
      <c r="E320" s="1" t="n">
        <v>46324</v>
      </c>
      <c r="F320" t="inlineStr">
        <is>
          <t>VÄSTMANLANDS LÄN</t>
        </is>
      </c>
      <c r="G320" t="inlineStr">
        <is>
          <t>SKINNSKATTEBERG</t>
        </is>
      </c>
      <c r="H320" t="inlineStr">
        <is>
          <t>Sveaskog</t>
        </is>
      </c>
      <c r="I320" t="n">
        <v>11.1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38452-2026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46282</v>
      </c>
      <c r="E321" s="1" t="n">
        <v>46324</v>
      </c>
      <c r="F321" t="inlineStr">
        <is>
          <t>VÄSTMANLANDS LÄN</t>
        </is>
      </c>
      <c r="G321" t="inlineStr">
        <is>
          <t>SKINNSKATTEBERG</t>
        </is>
      </c>
      <c r="H321" t="inlineStr">
        <is>
          <t>Sveaskog</t>
        </is>
      </c>
      <c r="I321" t="n">
        <v>5.4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22611-2024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45447</v>
      </c>
      <c r="E322" s="1" t="n">
        <v>46324</v>
      </c>
      <c r="F322" t="inlineStr">
        <is>
          <t>VÄSTMANLANDS LÄN</t>
        </is>
      </c>
      <c r="G322" t="inlineStr">
        <is>
          <t>SKINNSKATTEBERG</t>
        </is>
      </c>
      <c r="I322" t="n">
        <v>1.8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19655-2025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45770</v>
      </c>
      <c r="E323" s="1" t="n">
        <v>46324</v>
      </c>
      <c r="F323" t="inlineStr">
        <is>
          <t>VÄSTMANLANDS LÄN</t>
        </is>
      </c>
      <c r="G323" t="inlineStr">
        <is>
          <t>SKINNSKATTEBERG</t>
        </is>
      </c>
      <c r="H323" t="inlineStr">
        <is>
          <t>Sveaskog</t>
        </is>
      </c>
      <c r="I323" t="n">
        <v>2.5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43807-2024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45571</v>
      </c>
      <c r="E324" s="1" t="n">
        <v>46324</v>
      </c>
      <c r="F324" t="inlineStr">
        <is>
          <t>VÄSTMANLANDS LÄN</t>
        </is>
      </c>
      <c r="G324" t="inlineStr">
        <is>
          <t>SKINNSKATTEBERG</t>
        </is>
      </c>
      <c r="H324" t="inlineStr">
        <is>
          <t>Sveaskog</t>
        </is>
      </c>
      <c r="I324" t="n">
        <v>1.4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32870-2026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46244</v>
      </c>
      <c r="E325" s="1" t="n">
        <v>46324</v>
      </c>
      <c r="F325" t="inlineStr">
        <is>
          <t>VÄSTMANLANDS LÄN</t>
        </is>
      </c>
      <c r="G325" t="inlineStr">
        <is>
          <t>SKINNSKATTEBERG</t>
        </is>
      </c>
      <c r="H325" t="inlineStr">
        <is>
          <t>Sveaskog</t>
        </is>
      </c>
      <c r="I325" t="n">
        <v>1.7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32867-2026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46244</v>
      </c>
      <c r="E326" s="1" t="n">
        <v>46324</v>
      </c>
      <c r="F326" t="inlineStr">
        <is>
          <t>VÄSTMANLANDS LÄN</t>
        </is>
      </c>
      <c r="G326" t="inlineStr">
        <is>
          <t>SKINNSKATTEBERG</t>
        </is>
      </c>
      <c r="H326" t="inlineStr">
        <is>
          <t>Sveaskog</t>
        </is>
      </c>
      <c r="I326" t="n">
        <v>2.8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32868-2026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46244</v>
      </c>
      <c r="E327" s="1" t="n">
        <v>46324</v>
      </c>
      <c r="F327" t="inlineStr">
        <is>
          <t>VÄSTMANLANDS LÄN</t>
        </is>
      </c>
      <c r="G327" t="inlineStr">
        <is>
          <t>SKINNSKATTEBERG</t>
        </is>
      </c>
      <c r="H327" t="inlineStr">
        <is>
          <t>Sveaskog</t>
        </is>
      </c>
      <c r="I327" t="n">
        <v>2.3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36248-2024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45534</v>
      </c>
      <c r="E328" s="1" t="n">
        <v>46324</v>
      </c>
      <c r="F328" t="inlineStr">
        <is>
          <t>VÄSTMANLANDS LÄN</t>
        </is>
      </c>
      <c r="G328" t="inlineStr">
        <is>
          <t>SKINNSKATTEBERG</t>
        </is>
      </c>
      <c r="I328" t="n">
        <v>2.6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32859-2026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46244</v>
      </c>
      <c r="E329" s="1" t="n">
        <v>46324</v>
      </c>
      <c r="F329" t="inlineStr">
        <is>
          <t>VÄSTMANLANDS LÄN</t>
        </is>
      </c>
      <c r="G329" t="inlineStr">
        <is>
          <t>SKINNSKATTEBERG</t>
        </is>
      </c>
      <c r="H329" t="inlineStr">
        <is>
          <t>Sveaskog</t>
        </is>
      </c>
      <c r="I329" t="n">
        <v>8.300000000000001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38735-2026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46285</v>
      </c>
      <c r="E330" s="1" t="n">
        <v>46324</v>
      </c>
      <c r="F330" t="inlineStr">
        <is>
          <t>VÄSTMANLANDS LÄN</t>
        </is>
      </c>
      <c r="G330" t="inlineStr">
        <is>
          <t>SKINNSKATTEBERG</t>
        </is>
      </c>
      <c r="H330" t="inlineStr">
        <is>
          <t>Sveaskog</t>
        </is>
      </c>
      <c r="I330" t="n">
        <v>2.3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35706-2024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45532</v>
      </c>
      <c r="E331" s="1" t="n">
        <v>46324</v>
      </c>
      <c r="F331" t="inlineStr">
        <is>
          <t>VÄSTMANLANDS LÄN</t>
        </is>
      </c>
      <c r="G331" t="inlineStr">
        <is>
          <t>SKINNSKATTEBERG</t>
        </is>
      </c>
      <c r="I331" t="n">
        <v>0.4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16089-2024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45406</v>
      </c>
      <c r="E332" s="1" t="n">
        <v>46324</v>
      </c>
      <c r="F332" t="inlineStr">
        <is>
          <t>VÄSTMANLANDS LÄN</t>
        </is>
      </c>
      <c r="G332" t="inlineStr">
        <is>
          <t>SKINNSKATTEBERG</t>
        </is>
      </c>
      <c r="H332" t="inlineStr">
        <is>
          <t>Sveaskog</t>
        </is>
      </c>
      <c r="I332" t="n">
        <v>2.8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54439-2024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45617</v>
      </c>
      <c r="E333" s="1" t="n">
        <v>46324</v>
      </c>
      <c r="F333" t="inlineStr">
        <is>
          <t>VÄSTMANLANDS LÄN</t>
        </is>
      </c>
      <c r="G333" t="inlineStr">
        <is>
          <t>SKINNSKATTEBERG</t>
        </is>
      </c>
      <c r="I333" t="n">
        <v>0.8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19943-2026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46136</v>
      </c>
      <c r="E334" s="1" t="n">
        <v>46324</v>
      </c>
      <c r="F334" t="inlineStr">
        <is>
          <t>VÄSTMANLANDS LÄN</t>
        </is>
      </c>
      <c r="G334" t="inlineStr">
        <is>
          <t>SKINNSKATTEBERG</t>
        </is>
      </c>
      <c r="H334" t="inlineStr">
        <is>
          <t>Sveaskog</t>
        </is>
      </c>
      <c r="I334" t="n">
        <v>2.1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39620-2026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46289</v>
      </c>
      <c r="E335" s="1" t="n">
        <v>46324</v>
      </c>
      <c r="F335" t="inlineStr">
        <is>
          <t>VÄSTMANLANDS LÄN</t>
        </is>
      </c>
      <c r="G335" t="inlineStr">
        <is>
          <t>SKINNSKATTEBERG</t>
        </is>
      </c>
      <c r="H335" t="inlineStr">
        <is>
          <t>Sveaskog</t>
        </is>
      </c>
      <c r="I335" t="n">
        <v>2.2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48825-2022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44859</v>
      </c>
      <c r="E336" s="1" t="n">
        <v>46324</v>
      </c>
      <c r="F336" t="inlineStr">
        <is>
          <t>VÄSTMANLANDS LÄN</t>
        </is>
      </c>
      <c r="G336" t="inlineStr">
        <is>
          <t>SKINNSKATTEBERG</t>
        </is>
      </c>
      <c r="I336" t="n">
        <v>1.1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47137-2024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45586</v>
      </c>
      <c r="E337" s="1" t="n">
        <v>46324</v>
      </c>
      <c r="F337" t="inlineStr">
        <is>
          <t>VÄSTMANLANDS LÄN</t>
        </is>
      </c>
      <c r="G337" t="inlineStr">
        <is>
          <t>SKINNSKATTEBERG</t>
        </is>
      </c>
      <c r="H337" t="inlineStr">
        <is>
          <t>Sveaskog</t>
        </is>
      </c>
      <c r="I337" t="n">
        <v>6.1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39863-2026</t>
        </is>
      </c>
      <c r="B338" t="inlineStr">
        <is>
          <t>avverkningsanmälan</t>
        </is>
      </c>
      <c r="C338" t="inlineStr">
        <is>
          <t>Avverkning för att bevara och utveckla /försöksver</t>
        </is>
      </c>
      <c r="D338" s="1" t="n">
        <v>46290</v>
      </c>
      <c r="E338" s="1" t="n">
        <v>46324</v>
      </c>
      <c r="F338" t="inlineStr">
        <is>
          <t>VÄSTMANLANDS LÄN</t>
        </is>
      </c>
      <c r="G338" t="inlineStr">
        <is>
          <t>SKINNSKATTEBERG</t>
        </is>
      </c>
      <c r="H338" t="inlineStr">
        <is>
          <t>Sveaskog</t>
        </is>
      </c>
      <c r="I338" t="n">
        <v>2.2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39867-2026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46290</v>
      </c>
      <c r="E339" s="1" t="n">
        <v>46324</v>
      </c>
      <c r="F339" t="inlineStr">
        <is>
          <t>VÄSTMANLANDS LÄN</t>
        </is>
      </c>
      <c r="G339" t="inlineStr">
        <is>
          <t>SKINNSKATTEBERG</t>
        </is>
      </c>
      <c r="H339" t="inlineStr">
        <is>
          <t>Sveaskog</t>
        </is>
      </c>
      <c r="I339" t="n">
        <v>1.5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39869-2026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46290</v>
      </c>
      <c r="E340" s="1" t="n">
        <v>46324</v>
      </c>
      <c r="F340" t="inlineStr">
        <is>
          <t>VÄSTMANLANDS LÄN</t>
        </is>
      </c>
      <c r="G340" t="inlineStr">
        <is>
          <t>SKINNSKATTEBERG</t>
        </is>
      </c>
      <c r="H340" t="inlineStr">
        <is>
          <t>Sveaskog</t>
        </is>
      </c>
      <c r="I340" t="n">
        <v>1.9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20556-2026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46140</v>
      </c>
      <c r="E341" s="1" t="n">
        <v>46324</v>
      </c>
      <c r="F341" t="inlineStr">
        <is>
          <t>VÄSTMANLANDS LÄN</t>
        </is>
      </c>
      <c r="G341" t="inlineStr">
        <is>
          <t>SKINNSKATTEBERG</t>
        </is>
      </c>
      <c r="H341" t="inlineStr">
        <is>
          <t>Sveaskog</t>
        </is>
      </c>
      <c r="I341" t="n">
        <v>5.9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20563-2026</t>
        </is>
      </c>
      <c r="B342" t="inlineStr">
        <is>
          <t>avverkningsanmälan</t>
        </is>
      </c>
      <c r="C342" t="inlineStr">
        <is>
          <t>Avverkning för annat ändamål</t>
        </is>
      </c>
      <c r="D342" s="1" t="n">
        <v>46140</v>
      </c>
      <c r="E342" s="1" t="n">
        <v>46324</v>
      </c>
      <c r="F342" t="inlineStr">
        <is>
          <t>VÄSTMANLANDS LÄN</t>
        </is>
      </c>
      <c r="G342" t="inlineStr">
        <is>
          <t>SKINNSKATTEBERG</t>
        </is>
      </c>
      <c r="H342" t="inlineStr">
        <is>
          <t>Sveaskog</t>
        </is>
      </c>
      <c r="I342" t="n">
        <v>0.5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33454-2026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46247</v>
      </c>
      <c r="E343" s="1" t="n">
        <v>46324</v>
      </c>
      <c r="F343" t="inlineStr">
        <is>
          <t>VÄSTMANLANDS LÄN</t>
        </is>
      </c>
      <c r="G343" t="inlineStr">
        <is>
          <t>SKINNSKATTEBERG</t>
        </is>
      </c>
      <c r="H343" t="inlineStr">
        <is>
          <t>Sveaskog</t>
        </is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39866-2026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46290</v>
      </c>
      <c r="E344" s="1" t="n">
        <v>46324</v>
      </c>
      <c r="F344" t="inlineStr">
        <is>
          <t>VÄSTMANLANDS LÄN</t>
        </is>
      </c>
      <c r="G344" t="inlineStr">
        <is>
          <t>SKINNSKATTEBERG</t>
        </is>
      </c>
      <c r="H344" t="inlineStr">
        <is>
          <t>Sveaskog</t>
        </is>
      </c>
      <c r="I344" t="n">
        <v>2.3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33553-2026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46248</v>
      </c>
      <c r="E345" s="1" t="n">
        <v>46324</v>
      </c>
      <c r="F345" t="inlineStr">
        <is>
          <t>VÄSTMANLANDS LÄN</t>
        </is>
      </c>
      <c r="G345" t="inlineStr">
        <is>
          <t>SKINNSKATTEBERG</t>
        </is>
      </c>
      <c r="H345" t="inlineStr">
        <is>
          <t>Sveaskog</t>
        </is>
      </c>
      <c r="I345" t="n">
        <v>1.4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35059-2024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45527</v>
      </c>
      <c r="E346" s="1" t="n">
        <v>46324</v>
      </c>
      <c r="F346" t="inlineStr">
        <is>
          <t>VÄSTMANLANDS LÄN</t>
        </is>
      </c>
      <c r="G346" t="inlineStr">
        <is>
          <t>SKINNSKATTEBERG</t>
        </is>
      </c>
      <c r="H346" t="inlineStr">
        <is>
          <t>Sveaskog</t>
        </is>
      </c>
      <c r="I346" t="n">
        <v>0.6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57343-2023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45245</v>
      </c>
      <c r="E347" s="1" t="n">
        <v>46324</v>
      </c>
      <c r="F347" t="inlineStr">
        <is>
          <t>VÄSTMANLANDS LÄN</t>
        </is>
      </c>
      <c r="G347" t="inlineStr">
        <is>
          <t>SKINNSKATTEBERG</t>
        </is>
      </c>
      <c r="H347" t="inlineStr">
        <is>
          <t>Sveaskog</t>
        </is>
      </c>
      <c r="I347" t="n">
        <v>3.7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7103-2022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44603</v>
      </c>
      <c r="E348" s="1" t="n">
        <v>46324</v>
      </c>
      <c r="F348" t="inlineStr">
        <is>
          <t>VÄSTMANLANDS LÄN</t>
        </is>
      </c>
      <c r="G348" t="inlineStr">
        <is>
          <t>SKINNSKATTEBERG</t>
        </is>
      </c>
      <c r="H348" t="inlineStr">
        <is>
          <t>Kyrkan</t>
        </is>
      </c>
      <c r="I348" t="n">
        <v>2.3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47693-2023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45198</v>
      </c>
      <c r="E349" s="1" t="n">
        <v>46324</v>
      </c>
      <c r="F349" t="inlineStr">
        <is>
          <t>VÄSTMANLANDS LÄN</t>
        </is>
      </c>
      <c r="G349" t="inlineStr">
        <is>
          <t>SKINNSKATTEBERG</t>
        </is>
      </c>
      <c r="I349" t="n">
        <v>1.6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6183-2023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44964</v>
      </c>
      <c r="E350" s="1" t="n">
        <v>46324</v>
      </c>
      <c r="F350" t="inlineStr">
        <is>
          <t>VÄSTMANLANDS LÄN</t>
        </is>
      </c>
      <c r="G350" t="inlineStr">
        <is>
          <t>SKINNSKATTEBERG</t>
        </is>
      </c>
      <c r="H350" t="inlineStr">
        <is>
          <t>Sveaskog</t>
        </is>
      </c>
      <c r="I350" t="n">
        <v>1.7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32205-2026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46237</v>
      </c>
      <c r="E351" s="1" t="n">
        <v>46324</v>
      </c>
      <c r="F351" t="inlineStr">
        <is>
          <t>VÄSTMANLANDS LÄN</t>
        </is>
      </c>
      <c r="G351" t="inlineStr">
        <is>
          <t>SKINNSKATTEBERG</t>
        </is>
      </c>
      <c r="I351" t="n">
        <v>12.2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34272-2026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46253</v>
      </c>
      <c r="E352" s="1" t="n">
        <v>46324</v>
      </c>
      <c r="F352" t="inlineStr">
        <is>
          <t>VÄSTMANLANDS LÄN</t>
        </is>
      </c>
      <c r="G352" t="inlineStr">
        <is>
          <t>SKINNSKATTEBERG</t>
        </is>
      </c>
      <c r="H352" t="inlineStr">
        <is>
          <t>Sveaskog</t>
        </is>
      </c>
      <c r="I352" t="n">
        <v>1.3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11494-2023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44993</v>
      </c>
      <c r="E353" s="1" t="n">
        <v>46324</v>
      </c>
      <c r="F353" t="inlineStr">
        <is>
          <t>VÄSTMANLANDS LÄN</t>
        </is>
      </c>
      <c r="G353" t="inlineStr">
        <is>
          <t>SKINNSKATTEBERG</t>
        </is>
      </c>
      <c r="H353" t="inlineStr">
        <is>
          <t>Sveaskog</t>
        </is>
      </c>
      <c r="I353" t="n">
        <v>1.4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41207-2026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46300</v>
      </c>
      <c r="E354" s="1" t="n">
        <v>46324</v>
      </c>
      <c r="F354" t="inlineStr">
        <is>
          <t>VÄSTMANLANDS LÄN</t>
        </is>
      </c>
      <c r="G354" t="inlineStr">
        <is>
          <t>SKINNSKATTEBERG</t>
        </is>
      </c>
      <c r="I354" t="n">
        <v>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54589-2024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45617</v>
      </c>
      <c r="E355" s="1" t="n">
        <v>46324</v>
      </c>
      <c r="F355" t="inlineStr">
        <is>
          <t>VÄSTMANLANDS LÄN</t>
        </is>
      </c>
      <c r="G355" t="inlineStr">
        <is>
          <t>SKINNSKATTEBERG</t>
        </is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41610-2026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46302</v>
      </c>
      <c r="E356" s="1" t="n">
        <v>46324</v>
      </c>
      <c r="F356" t="inlineStr">
        <is>
          <t>VÄSTMANLANDS LÄN</t>
        </is>
      </c>
      <c r="G356" t="inlineStr">
        <is>
          <t>SKINNSKATTEBERG</t>
        </is>
      </c>
      <c r="I356" t="n">
        <v>0.3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16647-2025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45754</v>
      </c>
      <c r="E357" s="1" t="n">
        <v>46324</v>
      </c>
      <c r="F357" t="inlineStr">
        <is>
          <t>VÄSTMANLANDS LÄN</t>
        </is>
      </c>
      <c r="G357" t="inlineStr">
        <is>
          <t>SKINNSKATTEBERG</t>
        </is>
      </c>
      <c r="H357" t="inlineStr">
        <is>
          <t>Sveaskog</t>
        </is>
      </c>
      <c r="I357" t="n">
        <v>0.7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35168-2026</t>
        </is>
      </c>
      <c r="B358" t="inlineStr">
        <is>
          <t>avverkningsanmälan</t>
        </is>
      </c>
      <c r="C358" t="inlineStr">
        <is>
          <t>Avverkning för att bevara och utveckla /försöksver</t>
        </is>
      </c>
      <c r="D358" s="1" t="n">
        <v>46260</v>
      </c>
      <c r="E358" s="1" t="n">
        <v>46324</v>
      </c>
      <c r="F358" t="inlineStr">
        <is>
          <t>VÄSTMANLANDS LÄN</t>
        </is>
      </c>
      <c r="G358" t="inlineStr">
        <is>
          <t>SKINNSKATTEBERG</t>
        </is>
      </c>
      <c r="H358" t="inlineStr">
        <is>
          <t>Sveaskog</t>
        </is>
      </c>
      <c r="I358" t="n">
        <v>1.2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35171-2026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46260</v>
      </c>
      <c r="E359" s="1" t="n">
        <v>46324</v>
      </c>
      <c r="F359" t="inlineStr">
        <is>
          <t>VÄSTMANLANDS LÄN</t>
        </is>
      </c>
      <c r="G359" t="inlineStr">
        <is>
          <t>SKINNSKATTEBERG</t>
        </is>
      </c>
      <c r="H359" t="inlineStr">
        <is>
          <t>Sveaskog</t>
        </is>
      </c>
      <c r="I359" t="n">
        <v>1.6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47689-2023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45198</v>
      </c>
      <c r="E360" s="1" t="n">
        <v>46324</v>
      </c>
      <c r="F360" t="inlineStr">
        <is>
          <t>VÄSTMANLANDS LÄN</t>
        </is>
      </c>
      <c r="G360" t="inlineStr">
        <is>
          <t>SKINNSKATTEBERG</t>
        </is>
      </c>
      <c r="I360" t="n">
        <v>0.7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35582-2026</t>
        </is>
      </c>
      <c r="B361" t="inlineStr">
        <is>
          <t>avverkningsanmälan</t>
        </is>
      </c>
      <c r="C361" t="inlineStr">
        <is>
          <t>Avverkning för att bevara och utveckla /försöksver</t>
        </is>
      </c>
      <c r="D361" s="1" t="n">
        <v>46262</v>
      </c>
      <c r="E361" s="1" t="n">
        <v>46324</v>
      </c>
      <c r="F361" t="inlineStr">
        <is>
          <t>VÄSTMANLANDS LÄN</t>
        </is>
      </c>
      <c r="G361" t="inlineStr">
        <is>
          <t>SKINNSKATTEBERG</t>
        </is>
      </c>
      <c r="H361" t="inlineStr">
        <is>
          <t>Sveaskog</t>
        </is>
      </c>
      <c r="I361" t="n">
        <v>1.5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21571-2023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45063</v>
      </c>
      <c r="E362" s="1" t="n">
        <v>46324</v>
      </c>
      <c r="F362" t="inlineStr">
        <is>
          <t>VÄSTMANLANDS LÄN</t>
        </is>
      </c>
      <c r="G362" t="inlineStr">
        <is>
          <t>SKINNSKATTEBERG</t>
        </is>
      </c>
      <c r="I362" t="n">
        <v>1.2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21579-2023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45063</v>
      </c>
      <c r="E363" s="1" t="n">
        <v>46324</v>
      </c>
      <c r="F363" t="inlineStr">
        <is>
          <t>VÄSTMANLANDS LÄN</t>
        </is>
      </c>
      <c r="G363" t="inlineStr">
        <is>
          <t>SKINNSKATTEBERG</t>
        </is>
      </c>
      <c r="I363" t="n">
        <v>1.5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31262-2023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45114</v>
      </c>
      <c r="E364" s="1" t="n">
        <v>46324</v>
      </c>
      <c r="F364" t="inlineStr">
        <is>
          <t>VÄSTMANLANDS LÄN</t>
        </is>
      </c>
      <c r="G364" t="inlineStr">
        <is>
          <t>SKINNSKATTEBERG</t>
        </is>
      </c>
      <c r="H364" t="inlineStr">
        <is>
          <t>Sveaskog</t>
        </is>
      </c>
      <c r="I364" t="n">
        <v>7.9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43805-2024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45571</v>
      </c>
      <c r="E365" s="1" t="n">
        <v>46324</v>
      </c>
      <c r="F365" t="inlineStr">
        <is>
          <t>VÄSTMANLANDS LÄN</t>
        </is>
      </c>
      <c r="G365" t="inlineStr">
        <is>
          <t>SKINNSKATTEBERG</t>
        </is>
      </c>
      <c r="H365" t="inlineStr">
        <is>
          <t>Sveaskog</t>
        </is>
      </c>
      <c r="I365" t="n">
        <v>1.4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43806-2024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45571</v>
      </c>
      <c r="E366" s="1" t="n">
        <v>46324</v>
      </c>
      <c r="F366" t="inlineStr">
        <is>
          <t>VÄSTMANLANDS LÄN</t>
        </is>
      </c>
      <c r="G366" t="inlineStr">
        <is>
          <t>SKINNSKATTEBERG</t>
        </is>
      </c>
      <c r="H366" t="inlineStr">
        <is>
          <t>Sveaskog</t>
        </is>
      </c>
      <c r="I366" t="n">
        <v>2.2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55210-2023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45237</v>
      </c>
      <c r="E367" s="1" t="n">
        <v>46324</v>
      </c>
      <c r="F367" t="inlineStr">
        <is>
          <t>VÄSTMANLANDS LÄN</t>
        </is>
      </c>
      <c r="G367" t="inlineStr">
        <is>
          <t>SKINNSKATTEBERG</t>
        </is>
      </c>
      <c r="I367" t="n">
        <v>1.5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20248-2024</t>
        </is>
      </c>
      <c r="B368" t="inlineStr">
        <is>
          <t>avverkningsanmälan</t>
        </is>
      </c>
      <c r="C368" t="inlineStr">
        <is>
          <t>Avverkning för annat ändamål</t>
        </is>
      </c>
      <c r="D368" s="1" t="n">
        <v>45434</v>
      </c>
      <c r="E368" s="1" t="n">
        <v>46324</v>
      </c>
      <c r="F368" t="inlineStr">
        <is>
          <t>VÄSTMANLANDS LÄN</t>
        </is>
      </c>
      <c r="G368" t="inlineStr">
        <is>
          <t>SKINNSKATTEBERG</t>
        </is>
      </c>
      <c r="H368" t="inlineStr">
        <is>
          <t>Sveaskog</t>
        </is>
      </c>
      <c r="I368" t="n">
        <v>0.8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35580-2026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46262</v>
      </c>
      <c r="E369" s="1" t="n">
        <v>46324</v>
      </c>
      <c r="F369" t="inlineStr">
        <is>
          <t>VÄSTMANLANDS LÄN</t>
        </is>
      </c>
      <c r="G369" t="inlineStr">
        <is>
          <t>SKINNSKATTEBERG</t>
        </is>
      </c>
      <c r="H369" t="inlineStr">
        <is>
          <t>Sveaskog</t>
        </is>
      </c>
      <c r="I369" t="n">
        <v>2.1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35585-2026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46262</v>
      </c>
      <c r="E370" s="1" t="n">
        <v>46324</v>
      </c>
      <c r="F370" t="inlineStr">
        <is>
          <t>VÄSTMANLANDS LÄN</t>
        </is>
      </c>
      <c r="G370" t="inlineStr">
        <is>
          <t>SKINNSKATTEBERG</t>
        </is>
      </c>
      <c r="H370" t="inlineStr">
        <is>
          <t>Sveaskog</t>
        </is>
      </c>
      <c r="I370" t="n">
        <v>4.9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35589-2026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46262</v>
      </c>
      <c r="E371" s="1" t="n">
        <v>46324</v>
      </c>
      <c r="F371" t="inlineStr">
        <is>
          <t>VÄSTMANLANDS LÄN</t>
        </is>
      </c>
      <c r="G371" t="inlineStr">
        <is>
          <t>SKINNSKATTEBERG</t>
        </is>
      </c>
      <c r="H371" t="inlineStr">
        <is>
          <t>Sveaskog</t>
        </is>
      </c>
      <c r="I371" t="n">
        <v>2.3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35587-2026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46262</v>
      </c>
      <c r="E372" s="1" t="n">
        <v>46324</v>
      </c>
      <c r="F372" t="inlineStr">
        <is>
          <t>VÄSTMANLANDS LÄN</t>
        </is>
      </c>
      <c r="G372" t="inlineStr">
        <is>
          <t>SKINNSKATTEBERG</t>
        </is>
      </c>
      <c r="H372" t="inlineStr">
        <is>
          <t>Sveaskog</t>
        </is>
      </c>
      <c r="I372" t="n">
        <v>1.2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42549-2026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46308</v>
      </c>
      <c r="E373" s="1" t="n">
        <v>46324</v>
      </c>
      <c r="F373" t="inlineStr">
        <is>
          <t>VÄSTMANLANDS LÄN</t>
        </is>
      </c>
      <c r="G373" t="inlineStr">
        <is>
          <t>SKINNSKATTEBERG</t>
        </is>
      </c>
      <c r="H373" t="inlineStr">
        <is>
          <t>Sveaskog</t>
        </is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35746-2026</t>
        </is>
      </c>
      <c r="B374" t="inlineStr">
        <is>
          <t>avverkningsanmälan</t>
        </is>
      </c>
      <c r="C374" t="inlineStr">
        <is>
          <t>Avverkning för annat ändamål</t>
        </is>
      </c>
      <c r="D374" s="1" t="n">
        <v>46265</v>
      </c>
      <c r="E374" s="1" t="n">
        <v>46324</v>
      </c>
      <c r="F374" t="inlineStr">
        <is>
          <t>VÄSTMANLANDS LÄN</t>
        </is>
      </c>
      <c r="G374" t="inlineStr">
        <is>
          <t>SKINNSKATTEBERG</t>
        </is>
      </c>
      <c r="H374" t="inlineStr">
        <is>
          <t>Sveaskog</t>
        </is>
      </c>
      <c r="I374" t="n">
        <v>0.9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42566-2026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46308</v>
      </c>
      <c r="E375" s="1" t="n">
        <v>46324</v>
      </c>
      <c r="F375" t="inlineStr">
        <is>
          <t>VÄSTMANLANDS LÄN</t>
        </is>
      </c>
      <c r="G375" t="inlineStr">
        <is>
          <t>SKINNSKATTEBERG</t>
        </is>
      </c>
      <c r="H375" t="inlineStr">
        <is>
          <t>Sveaskog</t>
        </is>
      </c>
      <c r="I375" t="n">
        <v>1.7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42567-2026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46308</v>
      </c>
      <c r="E376" s="1" t="n">
        <v>46324</v>
      </c>
      <c r="F376" t="inlineStr">
        <is>
          <t>VÄSTMANLANDS LÄN</t>
        </is>
      </c>
      <c r="G376" t="inlineStr">
        <is>
          <t>SKINNSKATTEBERG</t>
        </is>
      </c>
      <c r="H376" t="inlineStr">
        <is>
          <t>Sveaskog</t>
        </is>
      </c>
      <c r="I376" t="n">
        <v>2.1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42565-2026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46308</v>
      </c>
      <c r="E377" s="1" t="n">
        <v>46324</v>
      </c>
      <c r="F377" t="inlineStr">
        <is>
          <t>VÄSTMANLANDS LÄN</t>
        </is>
      </c>
      <c r="G377" t="inlineStr">
        <is>
          <t>SKINNSKATTEBERG</t>
        </is>
      </c>
      <c r="H377" t="inlineStr">
        <is>
          <t>Sveaskog</t>
        </is>
      </c>
      <c r="I377" t="n">
        <v>1.7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16729-2024</t>
        </is>
      </c>
      <c r="B378" t="inlineStr">
        <is>
          <t>avverkningsanmälan</t>
        </is>
      </c>
      <c r="C378" t="inlineStr">
        <is>
          <t>Avverkning för annat ändamål</t>
        </is>
      </c>
      <c r="D378" s="1" t="n">
        <v>45410</v>
      </c>
      <c r="E378" s="1" t="n">
        <v>46324</v>
      </c>
      <c r="F378" t="inlineStr">
        <is>
          <t>VÄSTMANLANDS LÄN</t>
        </is>
      </c>
      <c r="G378" t="inlineStr">
        <is>
          <t>SKINNSKATTEBERG</t>
        </is>
      </c>
      <c r="H378" t="inlineStr">
        <is>
          <t>Sveaskog</t>
        </is>
      </c>
      <c r="I378" t="n">
        <v>1.5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42564-2026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46308</v>
      </c>
      <c r="E379" s="1" t="n">
        <v>46324</v>
      </c>
      <c r="F379" t="inlineStr">
        <is>
          <t>VÄSTMANLANDS LÄN</t>
        </is>
      </c>
      <c r="G379" t="inlineStr">
        <is>
          <t>SKINNSKATTEBERG</t>
        </is>
      </c>
      <c r="H379" t="inlineStr">
        <is>
          <t>Sveaskog</t>
        </is>
      </c>
      <c r="I379" t="n">
        <v>2.5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42547-2026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46308</v>
      </c>
      <c r="E380" s="1" t="n">
        <v>46324</v>
      </c>
      <c r="F380" t="inlineStr">
        <is>
          <t>VÄSTMANLANDS LÄN</t>
        </is>
      </c>
      <c r="G380" t="inlineStr">
        <is>
          <t>SKINNSKATTEBERG</t>
        </is>
      </c>
      <c r="H380" t="inlineStr">
        <is>
          <t>Sveaskog</t>
        </is>
      </c>
      <c r="I380" t="n">
        <v>1.7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33900-2023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45134</v>
      </c>
      <c r="E381" s="1" t="n">
        <v>46324</v>
      </c>
      <c r="F381" t="inlineStr">
        <is>
          <t>VÄSTMANLANDS LÄN</t>
        </is>
      </c>
      <c r="G381" t="inlineStr">
        <is>
          <t>SKINNSKATTEBERG</t>
        </is>
      </c>
      <c r="I381" t="n">
        <v>1.4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27329-2023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45096</v>
      </c>
      <c r="E382" s="1" t="n">
        <v>46324</v>
      </c>
      <c r="F382" t="inlineStr">
        <is>
          <t>VÄSTMANLANDS LÄN</t>
        </is>
      </c>
      <c r="G382" t="inlineStr">
        <is>
          <t>SKINNSKATTEBERG</t>
        </is>
      </c>
      <c r="H382" t="inlineStr">
        <is>
          <t>Sveaskog</t>
        </is>
      </c>
      <c r="I382" t="n">
        <v>1.6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14237-2025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45740</v>
      </c>
      <c r="E383" s="1" t="n">
        <v>46324</v>
      </c>
      <c r="F383" t="inlineStr">
        <is>
          <t>VÄSTMANLANDS LÄN</t>
        </is>
      </c>
      <c r="G383" t="inlineStr">
        <is>
          <t>SKINNSKATTEBERG</t>
        </is>
      </c>
      <c r="I383" t="n">
        <v>10.4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16397-2024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45407</v>
      </c>
      <c r="E384" s="1" t="n">
        <v>46324</v>
      </c>
      <c r="F384" t="inlineStr">
        <is>
          <t>VÄSTMANLANDS LÄN</t>
        </is>
      </c>
      <c r="G384" t="inlineStr">
        <is>
          <t>SKINNSKATTEBERG</t>
        </is>
      </c>
      <c r="H384" t="inlineStr">
        <is>
          <t>Sveaskog</t>
        </is>
      </c>
      <c r="I384" t="n">
        <v>1.9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11826-2024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45376</v>
      </c>
      <c r="E385" s="1" t="n">
        <v>46324</v>
      </c>
      <c r="F385" t="inlineStr">
        <is>
          <t>VÄSTMANLANDS LÄN</t>
        </is>
      </c>
      <c r="G385" t="inlineStr">
        <is>
          <t>SKINNSKATTEBERG</t>
        </is>
      </c>
      <c r="H385" t="inlineStr">
        <is>
          <t>Sveaskog</t>
        </is>
      </c>
      <c r="I385" t="n">
        <v>1.2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36262-2026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46268</v>
      </c>
      <c r="E386" s="1" t="n">
        <v>46324</v>
      </c>
      <c r="F386" t="inlineStr">
        <is>
          <t>VÄSTMANLANDS LÄN</t>
        </is>
      </c>
      <c r="G386" t="inlineStr">
        <is>
          <t>SKINNSKATTEBERG</t>
        </is>
      </c>
      <c r="H386" t="inlineStr">
        <is>
          <t>Sveaskog</t>
        </is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8218-2023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44974</v>
      </c>
      <c r="E387" s="1" t="n">
        <v>46324</v>
      </c>
      <c r="F387" t="inlineStr">
        <is>
          <t>VÄSTMANLANDS LÄN</t>
        </is>
      </c>
      <c r="G387" t="inlineStr">
        <is>
          <t>SKINNSKATTEBERG</t>
        </is>
      </c>
      <c r="H387" t="inlineStr">
        <is>
          <t>Kyrkan</t>
        </is>
      </c>
      <c r="I387" t="n">
        <v>1.7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21908-2023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45068</v>
      </c>
      <c r="E388" s="1" t="n">
        <v>46324</v>
      </c>
      <c r="F388" t="inlineStr">
        <is>
          <t>VÄSTMANLANDS LÄN</t>
        </is>
      </c>
      <c r="G388" t="inlineStr">
        <is>
          <t>SKINNSKATTEBERG</t>
        </is>
      </c>
      <c r="I388" t="n">
        <v>0.4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25843-2023</t>
        </is>
      </c>
      <c r="B389" t="inlineStr">
        <is>
          <t>avverkningsanmälan</t>
        </is>
      </c>
      <c r="C389" t="inlineStr">
        <is>
          <t>Avverkning för annat ändamål</t>
        </is>
      </c>
      <c r="D389" s="1" t="n">
        <v>45090</v>
      </c>
      <c r="E389" s="1" t="n">
        <v>46324</v>
      </c>
      <c r="F389" t="inlineStr">
        <is>
          <t>VÄSTMANLANDS LÄN</t>
        </is>
      </c>
      <c r="G389" t="inlineStr">
        <is>
          <t>SKINNSKATTEBERG</t>
        </is>
      </c>
      <c r="H389" t="inlineStr">
        <is>
          <t>Sveaskog</t>
        </is>
      </c>
      <c r="I389" t="n">
        <v>0.4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43650-2026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46316</v>
      </c>
      <c r="E390" s="1" t="n">
        <v>46324</v>
      </c>
      <c r="F390" t="inlineStr">
        <is>
          <t>VÄSTMANLANDS LÄN</t>
        </is>
      </c>
      <c r="G390" t="inlineStr">
        <is>
          <t>SKINNSKATTEBERG</t>
        </is>
      </c>
      <c r="H390" t="inlineStr">
        <is>
          <t>Sveaskog</t>
        </is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43651-2026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46316</v>
      </c>
      <c r="E391" s="1" t="n">
        <v>46324</v>
      </c>
      <c r="F391" t="inlineStr">
        <is>
          <t>VÄSTMANLANDS LÄN</t>
        </is>
      </c>
      <c r="G391" t="inlineStr">
        <is>
          <t>SKINNSKATTEBERG</t>
        </is>
      </c>
      <c r="H391" t="inlineStr">
        <is>
          <t>Sveaskog</t>
        </is>
      </c>
      <c r="I391" t="n">
        <v>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37168-2026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46274</v>
      </c>
      <c r="E392" s="1" t="n">
        <v>46324</v>
      </c>
      <c r="F392" t="inlineStr">
        <is>
          <t>VÄSTMANLANDS LÄN</t>
        </is>
      </c>
      <c r="G392" t="inlineStr">
        <is>
          <t>SKINNSKATTEBERG</t>
        </is>
      </c>
      <c r="H392" t="inlineStr">
        <is>
          <t>Sveaskog</t>
        </is>
      </c>
      <c r="I392" t="n">
        <v>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5001-2024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45329</v>
      </c>
      <c r="E393" s="1" t="n">
        <v>46324</v>
      </c>
      <c r="F393" t="inlineStr">
        <is>
          <t>VÄSTMANLANDS LÄN</t>
        </is>
      </c>
      <c r="G393" t="inlineStr">
        <is>
          <t>SKINNSKATTEBERG</t>
        </is>
      </c>
      <c r="I393" t="n">
        <v>3.4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43664-2026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46316</v>
      </c>
      <c r="E394" s="1" t="n">
        <v>46324</v>
      </c>
      <c r="F394" t="inlineStr">
        <is>
          <t>VÄSTMANLANDS LÄN</t>
        </is>
      </c>
      <c r="G394" t="inlineStr">
        <is>
          <t>SKINNSKATTEBERG</t>
        </is>
      </c>
      <c r="H394" t="inlineStr">
        <is>
          <t>Sveaskog</t>
        </is>
      </c>
      <c r="I394" t="n">
        <v>1.2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43653-2026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46316</v>
      </c>
      <c r="E395" s="1" t="n">
        <v>46324</v>
      </c>
      <c r="F395" t="inlineStr">
        <is>
          <t>VÄSTMANLANDS LÄN</t>
        </is>
      </c>
      <c r="G395" t="inlineStr">
        <is>
          <t>SKINNSKATTEBERG</t>
        </is>
      </c>
      <c r="H395" t="inlineStr">
        <is>
          <t>Sveaskog</t>
        </is>
      </c>
      <c r="I395" t="n">
        <v>0.9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58834-2022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44903</v>
      </c>
      <c r="E396" s="1" t="n">
        <v>46324</v>
      </c>
      <c r="F396" t="inlineStr">
        <is>
          <t>VÄSTMANLANDS LÄN</t>
        </is>
      </c>
      <c r="G396" t="inlineStr">
        <is>
          <t>SKINNSKATTEBERG</t>
        </is>
      </c>
      <c r="I396" t="n">
        <v>2.4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13676-2022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44648</v>
      </c>
      <c r="E397" s="1" t="n">
        <v>46324</v>
      </c>
      <c r="F397" t="inlineStr">
        <is>
          <t>VÄSTMANLANDS LÄN</t>
        </is>
      </c>
      <c r="G397" t="inlineStr">
        <is>
          <t>SKINNSKATTEBERG</t>
        </is>
      </c>
      <c r="I397" t="n">
        <v>1.4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43655-2026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46316</v>
      </c>
      <c r="E398" s="1" t="n">
        <v>46324</v>
      </c>
      <c r="F398" t="inlineStr">
        <is>
          <t>VÄSTMANLANDS LÄN</t>
        </is>
      </c>
      <c r="G398" t="inlineStr">
        <is>
          <t>SKINNSKATTEBERG</t>
        </is>
      </c>
      <c r="H398" t="inlineStr">
        <is>
          <t>Sveaskog</t>
        </is>
      </c>
      <c r="I398" t="n">
        <v>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43667-2026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46316</v>
      </c>
      <c r="E399" s="1" t="n">
        <v>46324</v>
      </c>
      <c r="F399" t="inlineStr">
        <is>
          <t>VÄSTMANLANDS LÄN</t>
        </is>
      </c>
      <c r="G399" t="inlineStr">
        <is>
          <t>SKINNSKATTEBERG</t>
        </is>
      </c>
      <c r="H399" t="inlineStr">
        <is>
          <t>Sveaskog</t>
        </is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23560-2026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46163</v>
      </c>
      <c r="E400" s="1" t="n">
        <v>46324</v>
      </c>
      <c r="F400" t="inlineStr">
        <is>
          <t>VÄSTMANLANDS LÄN</t>
        </is>
      </c>
      <c r="G400" t="inlineStr">
        <is>
          <t>SKINNSKATTEBERG</t>
        </is>
      </c>
      <c r="H400" t="inlineStr">
        <is>
          <t>Sveaskog</t>
        </is>
      </c>
      <c r="I400" t="n">
        <v>1.9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23561-2026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46163</v>
      </c>
      <c r="E401" s="1" t="n">
        <v>46324</v>
      </c>
      <c r="F401" t="inlineStr">
        <is>
          <t>VÄSTMANLANDS LÄN</t>
        </is>
      </c>
      <c r="G401" t="inlineStr">
        <is>
          <t>SKINNSKATTEBERG</t>
        </is>
      </c>
      <c r="H401" t="inlineStr">
        <is>
          <t>Sveaskog</t>
        </is>
      </c>
      <c r="I401" t="n">
        <v>3.3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24494-2026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46170</v>
      </c>
      <c r="E402" s="1" t="n">
        <v>46324</v>
      </c>
      <c r="F402" t="inlineStr">
        <is>
          <t>VÄSTMANLANDS LÄN</t>
        </is>
      </c>
      <c r="G402" t="inlineStr">
        <is>
          <t>SKINNSKATTEBERG</t>
        </is>
      </c>
      <c r="H402" t="inlineStr">
        <is>
          <t>Sveaskog</t>
        </is>
      </c>
      <c r="I402" t="n">
        <v>4.8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1282-2023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44936</v>
      </c>
      <c r="E403" s="1" t="n">
        <v>46324</v>
      </c>
      <c r="F403" t="inlineStr">
        <is>
          <t>VÄSTMANLANDS LÄN</t>
        </is>
      </c>
      <c r="G403" t="inlineStr">
        <is>
          <t>SKINNSKATTEBERG</t>
        </is>
      </c>
      <c r="I403" t="n">
        <v>3.9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44248-2026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46318</v>
      </c>
      <c r="E404" s="1" t="n">
        <v>46324</v>
      </c>
      <c r="F404" t="inlineStr">
        <is>
          <t>VÄSTMANLANDS LÄN</t>
        </is>
      </c>
      <c r="G404" t="inlineStr">
        <is>
          <t>SKINNSKATTEBERG</t>
        </is>
      </c>
      <c r="I404" t="n">
        <v>5.4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37899-2026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46279</v>
      </c>
      <c r="E405" s="1" t="n">
        <v>46324</v>
      </c>
      <c r="F405" t="inlineStr">
        <is>
          <t>VÄSTMANLANDS LÄN</t>
        </is>
      </c>
      <c r="G405" t="inlineStr">
        <is>
          <t>SKINNSKATTEBERG</t>
        </is>
      </c>
      <c r="H405" t="inlineStr">
        <is>
          <t>Sveaskog</t>
        </is>
      </c>
      <c r="I405" t="n">
        <v>1.3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36597-2024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45537</v>
      </c>
      <c r="E406" s="1" t="n">
        <v>46324</v>
      </c>
      <c r="F406" t="inlineStr">
        <is>
          <t>VÄSTMANLANDS LÄN</t>
        </is>
      </c>
      <c r="G406" t="inlineStr">
        <is>
          <t>SKINNSKATTEBERG</t>
        </is>
      </c>
      <c r="H406" t="inlineStr">
        <is>
          <t>Sveaskog</t>
        </is>
      </c>
      <c r="I406" t="n">
        <v>2.3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S 1765-2024</t>
        </is>
      </c>
      <c r="B407" t="inlineStr">
        <is>
          <t>samrådsanmälan</t>
        </is>
      </c>
      <c r="C407" t="inlineStr">
        <is>
          <t>Annan skogsbruksåtgärd</t>
        </is>
      </c>
      <c r="D407" s="1" t="n">
        <v>45435</v>
      </c>
      <c r="E407" s="1" t="n">
        <v>46324</v>
      </c>
      <c r="F407" t="inlineStr">
        <is>
          <t>VÄSTMANLANDS LÄN</t>
        </is>
      </c>
      <c r="G407" t="inlineStr">
        <is>
          <t>SKINNSKATTEBERG</t>
        </is>
      </c>
      <c r="H407" t="inlineStr">
        <is>
          <t>Sveaskog</t>
        </is>
      </c>
      <c r="I407" t="n">
        <v>0.8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S 1462-2025</t>
        </is>
      </c>
      <c r="B408" t="inlineStr">
        <is>
          <t>samrådsanmälan</t>
        </is>
      </c>
      <c r="C408" t="inlineStr">
        <is>
          <t>Annan skogsbruksåtgärd</t>
        </is>
      </c>
      <c r="D408" s="1" t="n">
        <v>45786</v>
      </c>
      <c r="E408" s="1" t="n">
        <v>46324</v>
      </c>
      <c r="F408" t="inlineStr">
        <is>
          <t>VÄSTMANLANDS LÄN</t>
        </is>
      </c>
      <c r="G408" t="inlineStr">
        <is>
          <t>SKINNSKATTEBERG</t>
        </is>
      </c>
      <c r="H408" t="inlineStr">
        <is>
          <t>Sveaskog</t>
        </is>
      </c>
      <c r="I408" t="n">
        <v>3.3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S 1931-2025</t>
        </is>
      </c>
      <c r="B409" t="inlineStr">
        <is>
          <t>samrådsanmälan</t>
        </is>
      </c>
      <c r="C409" t="inlineStr">
        <is>
          <t>Annan skogsbruksåtgärd</t>
        </is>
      </c>
      <c r="D409" s="1" t="n">
        <v>45827</v>
      </c>
      <c r="E409" s="1" t="n">
        <v>46324</v>
      </c>
      <c r="F409" t="inlineStr">
        <is>
          <t>VÄSTMANLANDS LÄN</t>
        </is>
      </c>
      <c r="G409" t="inlineStr">
        <is>
          <t>SKINNSKATTEBERG</t>
        </is>
      </c>
      <c r="H409" t="inlineStr">
        <is>
          <t>Sveaskog</t>
        </is>
      </c>
      <c r="I409" t="n">
        <v>4.2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S 2177-2025</t>
        </is>
      </c>
      <c r="B410" t="inlineStr">
        <is>
          <t>samrådsanmälan</t>
        </is>
      </c>
      <c r="C410" t="inlineStr">
        <is>
          <t>Annan skogsbruksåtgärd</t>
        </is>
      </c>
      <c r="D410" s="1" t="n">
        <v>45853</v>
      </c>
      <c r="E410" s="1" t="n">
        <v>46324</v>
      </c>
      <c r="F410" t="inlineStr">
        <is>
          <t>VÄSTMANLANDS LÄN</t>
        </is>
      </c>
      <c r="G410" t="inlineStr">
        <is>
          <t>SKINNSKATTEBERG</t>
        </is>
      </c>
      <c r="H410" t="inlineStr">
        <is>
          <t>Sveaskog</t>
        </is>
      </c>
      <c r="I410" t="n">
        <v>0.8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S 2422-2025</t>
        </is>
      </c>
      <c r="B411" t="inlineStr">
        <is>
          <t>samrådsanmälan</t>
        </is>
      </c>
      <c r="C411" t="inlineStr">
        <is>
          <t>Annan skogsbruksåtgärd</t>
        </is>
      </c>
      <c r="D411" s="1" t="n">
        <v>45897</v>
      </c>
      <c r="E411" s="1" t="n">
        <v>46324</v>
      </c>
      <c r="F411" t="inlineStr">
        <is>
          <t>VÄSTMANLANDS LÄN</t>
        </is>
      </c>
      <c r="G411" t="inlineStr">
        <is>
          <t>SKINNSKATTEBERG</t>
        </is>
      </c>
      <c r="H411" t="inlineStr">
        <is>
          <t>Sveaskog</t>
        </is>
      </c>
      <c r="I411" t="n">
        <v>0.7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S 2421-2025</t>
        </is>
      </c>
      <c r="B412" t="inlineStr">
        <is>
          <t>samrådsanmälan</t>
        </is>
      </c>
      <c r="C412" t="inlineStr">
        <is>
          <t>Annan skogsbruksåtgärd</t>
        </is>
      </c>
      <c r="D412" s="1" t="n">
        <v>45897</v>
      </c>
      <c r="E412" s="1" t="n">
        <v>46324</v>
      </c>
      <c r="F412" t="inlineStr">
        <is>
          <t>VÄSTMANLANDS LÄN</t>
        </is>
      </c>
      <c r="G412" t="inlineStr">
        <is>
          <t>SKINNSKATTEBERG</t>
        </is>
      </c>
      <c r="H412" t="inlineStr">
        <is>
          <t>Sveaskog</t>
        </is>
      </c>
      <c r="I412" t="n">
        <v>1.7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S 2420-2025</t>
        </is>
      </c>
      <c r="B413" t="inlineStr">
        <is>
          <t>samrådsanmälan</t>
        </is>
      </c>
      <c r="C413" t="inlineStr">
        <is>
          <t>Annan skogsbruksåtgärd</t>
        </is>
      </c>
      <c r="D413" s="1" t="n">
        <v>45897</v>
      </c>
      <c r="E413" s="1" t="n">
        <v>46324</v>
      </c>
      <c r="F413" t="inlineStr">
        <is>
          <t>VÄSTMANLANDS LÄN</t>
        </is>
      </c>
      <c r="G413" t="inlineStr">
        <is>
          <t>SKINNSKATTEBERG</t>
        </is>
      </c>
      <c r="H413" t="inlineStr">
        <is>
          <t>Sveaskog</t>
        </is>
      </c>
      <c r="I413" t="n">
        <v>0.5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S 2456-2025</t>
        </is>
      </c>
      <c r="B414" t="inlineStr">
        <is>
          <t>samrådsanmälan</t>
        </is>
      </c>
      <c r="C414" t="inlineStr">
        <is>
          <t>Annan skogsbruksåtgärd</t>
        </is>
      </c>
      <c r="D414" s="1" t="n">
        <v>45901</v>
      </c>
      <c r="E414" s="1" t="n">
        <v>46324</v>
      </c>
      <c r="F414" t="inlineStr">
        <is>
          <t>VÄSTMANLANDS LÄN</t>
        </is>
      </c>
      <c r="G414" t="inlineStr">
        <is>
          <t>SKINNSKATTEBERG</t>
        </is>
      </c>
      <c r="H414" t="inlineStr">
        <is>
          <t>Sveaskog</t>
        </is>
      </c>
      <c r="I414" t="n">
        <v>0.6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S 2578-2025</t>
        </is>
      </c>
      <c r="B415" t="inlineStr">
        <is>
          <t>samrådsanmälan</t>
        </is>
      </c>
      <c r="C415" t="inlineStr">
        <is>
          <t>Annan skogsbruksåtgärd</t>
        </is>
      </c>
      <c r="D415" s="1" t="n">
        <v>45915</v>
      </c>
      <c r="E415" s="1" t="n">
        <v>46324</v>
      </c>
      <c r="F415" t="inlineStr">
        <is>
          <t>VÄSTMANLANDS LÄN</t>
        </is>
      </c>
      <c r="G415" t="inlineStr">
        <is>
          <t>SKINNSKATTEBERG</t>
        </is>
      </c>
      <c r="H415" t="inlineStr">
        <is>
          <t>Sveaskog</t>
        </is>
      </c>
      <c r="I415" t="n">
        <v>1.1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S 1325-2026</t>
        </is>
      </c>
      <c r="B416" t="inlineStr">
        <is>
          <t>samrådsanmälan</t>
        </is>
      </c>
      <c r="C416" t="inlineStr">
        <is>
          <t>Annan skogsbruksåtgärd</t>
        </is>
      </c>
      <c r="D416" s="1" t="n">
        <v>46147</v>
      </c>
      <c r="E416" s="1" t="n">
        <v>46324</v>
      </c>
      <c r="F416" t="inlineStr">
        <is>
          <t>VÄSTMANLANDS LÄN</t>
        </is>
      </c>
      <c r="G416" t="inlineStr">
        <is>
          <t>SKINNSKATTEBERG</t>
        </is>
      </c>
      <c r="H416" t="inlineStr">
        <is>
          <t>Sveaskog</t>
        </is>
      </c>
      <c r="I416" t="n">
        <v>65.3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S 1678-2026</t>
        </is>
      </c>
      <c r="B417" t="inlineStr">
        <is>
          <t>samrådsanmälan</t>
        </is>
      </c>
      <c r="C417" t="inlineStr">
        <is>
          <t>Annan skogsbruksåtgärd</t>
        </is>
      </c>
      <c r="D417" s="1" t="n">
        <v>46182</v>
      </c>
      <c r="E417" s="1" t="n">
        <v>46324</v>
      </c>
      <c r="F417" t="inlineStr">
        <is>
          <t>VÄSTMANLANDS LÄN</t>
        </is>
      </c>
      <c r="G417" t="inlineStr">
        <is>
          <t>SKINNSKATTEBERG</t>
        </is>
      </c>
      <c r="H417" t="inlineStr">
        <is>
          <t>Sveaskog</t>
        </is>
      </c>
      <c r="I417" t="n">
        <v>3.8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S 1868-2026</t>
        </is>
      </c>
      <c r="B418" t="inlineStr">
        <is>
          <t>samrådsanmälan</t>
        </is>
      </c>
      <c r="C418" t="inlineStr">
        <is>
          <t>Annan skogsbruksåtgärd</t>
        </is>
      </c>
      <c r="D418" s="1" t="n">
        <v>46199</v>
      </c>
      <c r="E418" s="1" t="n">
        <v>46324</v>
      </c>
      <c r="F418" t="inlineStr">
        <is>
          <t>VÄSTMANLANDS LÄN</t>
        </is>
      </c>
      <c r="G418" t="inlineStr">
        <is>
          <t>SKINNSKATTEBERG</t>
        </is>
      </c>
      <c r="H418" t="inlineStr">
        <is>
          <t>Sveaskog</t>
        </is>
      </c>
      <c r="I418" t="n">
        <v>0.9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S 2525-2026</t>
        </is>
      </c>
      <c r="B419" t="inlineStr">
        <is>
          <t>samrådsanmälan</t>
        </is>
      </c>
      <c r="C419" t="inlineStr">
        <is>
          <t>Annan skogsbruksåtgärd</t>
        </is>
      </c>
      <c r="D419" s="1" t="n">
        <v>46290</v>
      </c>
      <c r="E419" s="1" t="n">
        <v>46324</v>
      </c>
      <c r="F419" t="inlineStr">
        <is>
          <t>VÄSTMANLANDS LÄN</t>
        </is>
      </c>
      <c r="G419" t="inlineStr">
        <is>
          <t>SKINNSKATTEBERG</t>
        </is>
      </c>
      <c r="H419" t="inlineStr">
        <is>
          <t>Sveaskog</t>
        </is>
      </c>
      <c r="I419" t="n">
        <v>2.2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S 2239-2026</t>
        </is>
      </c>
      <c r="B420" t="inlineStr">
        <is>
          <t>samrådsanmälan</t>
        </is>
      </c>
      <c r="C420" t="inlineStr">
        <is>
          <t>Annan skogsbruksåtgärd</t>
        </is>
      </c>
      <c r="D420" s="1" t="n">
        <v>46260</v>
      </c>
      <c r="E420" s="1" t="n">
        <v>46324</v>
      </c>
      <c r="F420" t="inlineStr">
        <is>
          <t>VÄSTMANLANDS LÄN</t>
        </is>
      </c>
      <c r="G420" t="inlineStr">
        <is>
          <t>SKINNSKATTEBERG</t>
        </is>
      </c>
      <c r="H420" t="inlineStr">
        <is>
          <t>Sveaskog</t>
        </is>
      </c>
      <c r="I420" t="n">
        <v>1.2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>
      <c r="A421" t="inlineStr">
        <is>
          <t>S 2266-2026</t>
        </is>
      </c>
      <c r="B421" t="inlineStr">
        <is>
          <t>samrådsanmälan</t>
        </is>
      </c>
      <c r="C421" t="inlineStr">
        <is>
          <t>Annan skogsbruksåtgärd</t>
        </is>
      </c>
      <c r="D421" s="1" t="n">
        <v>46262</v>
      </c>
      <c r="E421" s="1" t="n">
        <v>46324</v>
      </c>
      <c r="F421" t="inlineStr">
        <is>
          <t>VÄSTMANLANDS LÄN</t>
        </is>
      </c>
      <c r="G421" t="inlineStr">
        <is>
          <t>SKINNSKATTEBERG</t>
        </is>
      </c>
      <c r="H421" t="inlineStr">
        <is>
          <t>Sveaskog</t>
        </is>
      </c>
      <c r="I421" t="n">
        <v>1.5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2026-10-29T03:11:45Z</dcterms:created>
  <dcterms:modified xmlns:dcterms="http://purl.org/dc/terms/" xmlns:xsi="http://www.w3.org/2001/XMLSchema-instance" xsi:type="dcterms:W3CDTF">2026-10-29T03:11:45Z</dcterms:modified>
</cp:coreProperties>
</file>