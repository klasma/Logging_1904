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46282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46282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46282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46282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46282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46282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46282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46282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46282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46282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34303-2026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46254</v>
      </c>
      <c r="E17" s="1" t="n">
        <v>46282</v>
      </c>
      <c r="F17" t="inlineStr">
        <is>
          <t>VÄSTMANLANDS LÄN</t>
        </is>
      </c>
      <c r="G17" t="inlineStr">
        <is>
          <t>SKINNSKATTEBERG</t>
        </is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2</v>
      </c>
      <c r="V17" s="2" t="inlineStr">
        <is>
          <t>Skogsalm
Tibast
Brudborste</t>
        </is>
      </c>
      <c r="W17">
        <f>HYPERLINK("https://klasma.github.io/Logging_1904/artfynd/A 34303-2026 artfynd.xlsx", "A 34303-2026")</f>
        <v/>
      </c>
      <c r="X17">
        <f>HYPERLINK("https://klasma.github.io/Logging_1904/kartor/A 34303-2026 karta.png", "A 34303-2026")</f>
        <v/>
      </c>
      <c r="Y17">
        <f>HYPERLINK("https://klasma.github.io/Logging_1904/kartor_geotiff/A 34303-2026 georefererad karta.tif", "A 34303-2026")</f>
        <v/>
      </c>
      <c r="AA17">
        <f>HYPERLINK("https://klasma.github.io/Logging_1904/klagomål/A 34303-2026 FSC-klagomål.docx", "A 34303-2026")</f>
        <v/>
      </c>
      <c r="AB17">
        <f>HYPERLINK("https://klasma.github.io/Logging_1904/klagomålsmail/A 34303-2026 FSC-klagomål mail.docx", "A 34303-2026")</f>
        <v/>
      </c>
      <c r="AC17">
        <f>HYPERLINK("https://klasma.github.io/Logging_1904/tillsyn/A 34303-2026 tillsynsbegäran.docx", "A 34303-2026")</f>
        <v/>
      </c>
      <c r="AD17">
        <f>HYPERLINK("https://klasma.github.io/Logging_1904/tillsynsmail/A 34303-2026 tillsynsbegäran mail.docx", "A 34303-2026")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46282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46282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46282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46282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31006-2025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45832</v>
      </c>
      <c r="E23" s="1" t="n">
        <v>46282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HYPERLINK("https://klasma.github.io/Logging_1904/artfynd/A 31006-2025 artfynd.xlsx", "A 31006-2025")</f>
        <v/>
      </c>
      <c r="X23">
        <f>HYPERLINK("https://klasma.github.io/Logging_1904/kartor/A 31006-2025 karta.png", "A 31006-2025")</f>
        <v/>
      </c>
      <c r="Y23">
        <f>HYPERLINK("https://klasma.github.io/Logging_1904/kartor_geotiff/A 31006-2025 georefererad karta.tif", "A 31006-2025")</f>
        <v/>
      </c>
      <c r="AA23">
        <f>HYPERLINK("https://klasma.github.io/Logging_1904/klagomål/A 31006-2025 FSC-klagomål.docx", "A 31006-2025")</f>
        <v/>
      </c>
      <c r="AB23">
        <f>HYPERLINK("https://klasma.github.io/Logging_1904/klagomålsmail/A 31006-2025 FSC-klagomål mail.docx", "A 31006-2025")</f>
        <v/>
      </c>
      <c r="AC23">
        <f>HYPERLINK("https://klasma.github.io/Logging_1904/tillsyn/A 31006-2025 tillsynsbegäran.docx", "A 31006-2025")</f>
        <v/>
      </c>
      <c r="AD23">
        <f>HYPERLINK("https://klasma.github.io/Logging_1904/tillsynsmail/A 31006-2025 tillsynsbegäran mail.docx", "A 31006-2025")</f>
        <v/>
      </c>
      <c r="AE23">
        <f>HYPERLINK("https://klasma.github.io/Logging_1904/fåglar/A 31006-2025 prioriterade fågelarter.docx", "A 31006-2025")</f>
        <v/>
      </c>
    </row>
    <row r="24" ht="15" customHeight="1">
      <c r="A24" t="inlineStr">
        <is>
          <t>A 54296-2023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46282</v>
      </c>
      <c r="F24" t="inlineStr">
        <is>
          <t>VÄSTMANLANDS LÄN</t>
        </is>
      </c>
      <c r="G24" t="inlineStr">
        <is>
          <t>SKINNSKATTEBERG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Kopparödla</t>
        </is>
      </c>
      <c r="W24">
        <f>HYPERLINK("https://klasma.github.io/Logging_1904/artfynd/A 54296-2023 artfynd.xlsx", "A 54296-2023")</f>
        <v/>
      </c>
      <c r="X24">
        <f>HYPERLINK("https://klasma.github.io/Logging_1904/kartor/A 54296-2023 karta.png", "A 54296-2023")</f>
        <v/>
      </c>
      <c r="Y24">
        <f>HYPERLINK("https://klasma.github.io/Logging_1904/kartor_geotiff/A 54296-2023 georefererad karta.tif", "A 54296-2023")</f>
        <v/>
      </c>
      <c r="AA24">
        <f>HYPERLINK("https://klasma.github.io/Logging_1904/klagomål/A 54296-2023 FSC-klagomål.docx", "A 54296-2023")</f>
        <v/>
      </c>
      <c r="AB24">
        <f>HYPERLINK("https://klasma.github.io/Logging_1904/klagomålsmail/A 54296-2023 FSC-klagomål mail.docx", "A 54296-2023")</f>
        <v/>
      </c>
      <c r="AC24">
        <f>HYPERLINK("https://klasma.github.io/Logging_1904/tillsyn/A 54296-2023 tillsynsbegäran.docx", "A 54296-2023")</f>
        <v/>
      </c>
      <c r="AD24">
        <f>HYPERLINK("https://klasma.github.io/Logging_1904/tillsynsmail/A 54296-2023 tillsynsbegäran mail.docx", "A 54296-2023")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46282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46282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46282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49630-2024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46282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7.3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HYPERLINK("https://klasma.github.io/Logging_1904/artfynd/A 49630-2024 artfynd.xlsx", "A 49630-2024")</f>
        <v/>
      </c>
      <c r="X28">
        <f>HYPERLINK("https://klasma.github.io/Logging_1904/kartor/A 49630-2024 karta.png", "A 49630-2024")</f>
        <v/>
      </c>
      <c r="Y28">
        <f>HYPERLINK("https://klasma.github.io/Logging_1904/kartor_geotiff/A 49630-2024 georefererad karta.tif", "A 49630-2024")</f>
        <v/>
      </c>
      <c r="AA28">
        <f>HYPERLINK("https://klasma.github.io/Logging_1904/klagomål/A 49630-2024 FSC-klagomål.docx", "A 49630-2024")</f>
        <v/>
      </c>
      <c r="AB28">
        <f>HYPERLINK("https://klasma.github.io/Logging_1904/klagomålsmail/A 49630-2024 FSC-klagomål mail.docx", "A 49630-2024")</f>
        <v/>
      </c>
      <c r="AC28">
        <f>HYPERLINK("https://klasma.github.io/Logging_1904/tillsyn/A 49630-2024 tillsynsbegäran.docx", "A 49630-2024")</f>
        <v/>
      </c>
      <c r="AD28">
        <f>HYPERLINK("https://klasma.github.io/Logging_1904/tillsynsmail/A 49630-2024 tillsynsbegäran mail.docx", "A 49630-2024")</f>
        <v/>
      </c>
    </row>
    <row r="29" ht="15" customHeight="1">
      <c r="A29" t="inlineStr">
        <is>
          <t>A 19205-2024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46282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Järpe</t>
        </is>
      </c>
      <c r="W29">
        <f>HYPERLINK("https://klasma.github.io/Logging_1904/artfynd/A 19205-2024 artfynd.xlsx", "A 19205-2024")</f>
        <v/>
      </c>
      <c r="X29">
        <f>HYPERLINK("https://klasma.github.io/Logging_1904/kartor/A 19205-2024 karta.png", "A 19205-2024")</f>
        <v/>
      </c>
      <c r="Y29">
        <f>HYPERLINK("https://klasma.github.io/Logging_1904/kartor_geotiff/A 19205-2024 georefererad karta.tif", "A 19205-2024")</f>
        <v/>
      </c>
      <c r="AA29">
        <f>HYPERLINK("https://klasma.github.io/Logging_1904/klagomål/A 19205-2024 FSC-klagomål.docx", "A 19205-2024")</f>
        <v/>
      </c>
      <c r="AB29">
        <f>HYPERLINK("https://klasma.github.io/Logging_1904/klagomålsmail/A 19205-2024 FSC-klagomål mail.docx", "A 19205-2024")</f>
        <v/>
      </c>
      <c r="AC29">
        <f>HYPERLINK("https://klasma.github.io/Logging_1904/tillsyn/A 19205-2024 tillsynsbegäran.docx", "A 19205-2024")</f>
        <v/>
      </c>
      <c r="AD29">
        <f>HYPERLINK("https://klasma.github.io/Logging_1904/tillsynsmail/A 19205-2024 tillsynsbegäran mail.docx", "A 19205-2024")</f>
        <v/>
      </c>
      <c r="AE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46282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46282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21849-2026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46150</v>
      </c>
      <c r="E32" s="1" t="n">
        <v>46282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12.5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HYPERLINK("https://klasma.github.io/Logging_1904/artfynd/A 21849-2026 artfynd.xlsx", "A 21849-2026")</f>
        <v/>
      </c>
      <c r="X32">
        <f>HYPERLINK("https://klasma.github.io/Logging_1904/kartor/A 21849-2026 karta.png", "A 21849-2026")</f>
        <v/>
      </c>
      <c r="Y32">
        <f>HYPERLINK("https://klasma.github.io/Logging_1904/kartor_geotiff/A 21849-2026 georefererad karta.tif", "A 21849-2026")</f>
        <v/>
      </c>
      <c r="Z32">
        <f>HYPERLINK("https://klasma.github.io/Logging_1904/knärot/A 21849-2026 karta knärot.png", "A 21849-2026")</f>
        <v/>
      </c>
      <c r="AA32">
        <f>HYPERLINK("https://klasma.github.io/Logging_1904/klagomål/A 21849-2026 FSC-klagomål.docx", "A 21849-2026")</f>
        <v/>
      </c>
      <c r="AB32">
        <f>HYPERLINK("https://klasma.github.io/Logging_1904/klagomålsmail/A 21849-2026 FSC-klagomål mail.docx", "A 21849-2026")</f>
        <v/>
      </c>
      <c r="AC32">
        <f>HYPERLINK("https://klasma.github.io/Logging_1904/tillsyn/A 21849-2026 tillsynsbegäran.docx", "A 21849-2026")</f>
        <v/>
      </c>
      <c r="AD32">
        <f>HYPERLINK("https://klasma.github.io/Logging_1904/tillsynsmail/A 21849-2026 tillsynsbegäran mail.docx", "A 21849-2026")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46282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24492-2026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46282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24492-2026 artfynd.xlsx", "A 24492-2026")</f>
        <v/>
      </c>
      <c r="X34">
        <f>HYPERLINK("https://klasma.github.io/Logging_1904/kartor/A 24492-2026 karta.png", "A 24492-2026")</f>
        <v/>
      </c>
      <c r="Y34">
        <f>HYPERLINK("https://klasma.github.io/Logging_1904/kartor_geotiff/A 24492-2026 georefererad karta.tif", "A 24492-2026")</f>
        <v/>
      </c>
      <c r="AA34">
        <f>HYPERLINK("https://klasma.github.io/Logging_1904/klagomål/A 24492-2026 FSC-klagomål.docx", "A 24492-2026")</f>
        <v/>
      </c>
      <c r="AB34">
        <f>HYPERLINK("https://klasma.github.io/Logging_1904/klagomålsmail/A 24492-2026 FSC-klagomål mail.docx", "A 24492-2026")</f>
        <v/>
      </c>
      <c r="AC34">
        <f>HYPERLINK("https://klasma.github.io/Logging_1904/tillsyn/A 24492-2026 tillsynsbegäran.docx", "A 24492-2026")</f>
        <v/>
      </c>
      <c r="AD34">
        <f>HYPERLINK("https://klasma.github.io/Logging_1904/tillsynsmail/A 24492-2026 tillsynsbegäran mail.docx", "A 24492-2026")</f>
        <v/>
      </c>
      <c r="AE34">
        <f>HYPERLINK("https://klasma.github.io/Logging_1904/fåglar/A 24492-2026 prioriterade fågelarter.docx", "A 24492-2026")</f>
        <v/>
      </c>
    </row>
    <row r="35" ht="15" customHeight="1">
      <c r="A35" t="inlineStr">
        <is>
          <t>A 24944-2026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46282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8.4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HYPERLINK("https://klasma.github.io/Logging_1904/artfynd/A 24944-2026 artfynd.xlsx", "A 24944-2026")</f>
        <v/>
      </c>
      <c r="X35">
        <f>HYPERLINK("https://klasma.github.io/Logging_1904/kartor/A 24944-2026 karta.png", "A 24944-2026")</f>
        <v/>
      </c>
      <c r="Y35">
        <f>HYPERLINK("https://klasma.github.io/Logging_1904/kartor_geotiff/A 24944-2026 georefererad karta.tif", "A 24944-2026")</f>
        <v/>
      </c>
      <c r="AA35">
        <f>HYPERLINK("https://klasma.github.io/Logging_1904/klagomål/A 24944-2026 FSC-klagomål.docx", "A 24944-2026")</f>
        <v/>
      </c>
      <c r="AB35">
        <f>HYPERLINK("https://klasma.github.io/Logging_1904/klagomålsmail/A 24944-2026 FSC-klagomål mail.docx", "A 24944-2026")</f>
        <v/>
      </c>
      <c r="AC35">
        <f>HYPERLINK("https://klasma.github.io/Logging_1904/tillsyn/A 24944-2026 tillsynsbegäran.docx", "A 24944-2026")</f>
        <v/>
      </c>
      <c r="AD35">
        <f>HYPERLINK("https://klasma.github.io/Logging_1904/tillsynsmail/A 24944-2026 tillsynsbegäran mail.docx", "A 24944-2026")</f>
        <v/>
      </c>
    </row>
    <row r="36" ht="15" customHeight="1">
      <c r="A36" t="inlineStr">
        <is>
          <t>A 26860-2026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46282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10.3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HYPERLINK("https://klasma.github.io/Logging_1904/artfynd/A 26860-2026 artfynd.xlsx", "A 26860-2026")</f>
        <v/>
      </c>
      <c r="X36">
        <f>HYPERLINK("https://klasma.github.io/Logging_1904/kartor/A 26860-2026 karta.png", "A 26860-2026")</f>
        <v/>
      </c>
      <c r="Y36">
        <f>HYPERLINK("https://klasma.github.io/Logging_1904/kartor_geotiff/A 26860-2026 georefererad karta.tif", "A 26860-2026")</f>
        <v/>
      </c>
      <c r="AA36">
        <f>HYPERLINK("https://klasma.github.io/Logging_1904/klagomål/A 26860-2026 FSC-klagomål.docx", "A 26860-2026")</f>
        <v/>
      </c>
      <c r="AB36">
        <f>HYPERLINK("https://klasma.github.io/Logging_1904/klagomålsmail/A 26860-2026 FSC-klagomål mail.docx", "A 26860-2026")</f>
        <v/>
      </c>
      <c r="AC36">
        <f>HYPERLINK("https://klasma.github.io/Logging_1904/tillsyn/A 26860-2026 tillsynsbegäran.docx", "A 26860-2026")</f>
        <v/>
      </c>
      <c r="AD36">
        <f>HYPERLINK("https://klasma.github.io/Logging_1904/tillsynsmail/A 26860-2026 tillsynsbegäran mail.docx", "A 26860-2026")</f>
        <v/>
      </c>
      <c r="AE36">
        <f>HYPERLINK("https://klasma.github.io/Logging_1904/fåglar/A 26860-2026 prioriterade fågelarter.docx", "A 26860-2026")</f>
        <v/>
      </c>
    </row>
    <row r="37" ht="15" customHeight="1">
      <c r="A37" t="inlineStr">
        <is>
          <t>A 9491-2024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46282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Skogshare</t>
        </is>
      </c>
      <c r="W37">
        <f>HYPERLINK("https://klasma.github.io/Logging_1904/artfynd/A 9491-2024 artfynd.xlsx", "A 9491-2024")</f>
        <v/>
      </c>
      <c r="X37">
        <f>HYPERLINK("https://klasma.github.io/Logging_1904/kartor/A 9491-2024 karta.png", "A 9491-2024")</f>
        <v/>
      </c>
      <c r="Y37">
        <f>HYPERLINK("https://klasma.github.io/Logging_1904/kartor_geotiff/A 9491-2024 georefererad karta.tif", "A 9491-2024")</f>
        <v/>
      </c>
      <c r="AA37">
        <f>HYPERLINK("https://klasma.github.io/Logging_1904/klagomål/A 9491-2024 FSC-klagomål.docx", "A 9491-2024")</f>
        <v/>
      </c>
      <c r="AB37">
        <f>HYPERLINK("https://klasma.github.io/Logging_1904/klagomålsmail/A 9491-2024 FSC-klagomål mail.docx", "A 9491-2024")</f>
        <v/>
      </c>
      <c r="AC37">
        <f>HYPERLINK("https://klasma.github.io/Logging_1904/tillsyn/A 9491-2024 tillsynsbegäran.docx", "A 9491-2024")</f>
        <v/>
      </c>
      <c r="AD37">
        <f>HYPERLINK("https://klasma.github.io/Logging_1904/tillsynsmail/A 9491-2024 tillsynsbegäran mail.docx", "A 9491-2024")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46282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23893-2023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46282</v>
      </c>
      <c r="F39" t="inlineStr">
        <is>
          <t>VÄSTMANLANDS LÄN</t>
        </is>
      </c>
      <c r="G39" t="inlineStr">
        <is>
          <t>SKINNSKATTEBERG</t>
        </is>
      </c>
      <c r="I39" t="n">
        <v>1.6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Knärot</t>
        </is>
      </c>
      <c r="W39">
        <f>HYPERLINK("https://klasma.github.io/Logging_1904/artfynd/A 23893-2023 artfynd.xlsx", "A 23893-2023")</f>
        <v/>
      </c>
      <c r="X39">
        <f>HYPERLINK("https://klasma.github.io/Logging_1904/kartor/A 23893-2023 karta.png", "A 23893-2023")</f>
        <v/>
      </c>
      <c r="Y39">
        <f>HYPERLINK("https://klasma.github.io/Logging_1904/kartor_geotiff/A 23893-2023 georefererad karta.tif", "A 23893-2023")</f>
        <v/>
      </c>
      <c r="Z39">
        <f>HYPERLINK("https://klasma.github.io/Logging_1904/knärot/A 23893-2023 karta knärot.png", "A 23893-2023")</f>
        <v/>
      </c>
      <c r="AA39">
        <f>HYPERLINK("https://klasma.github.io/Logging_1904/klagomål/A 23893-2023 FSC-klagomål.docx", "A 23893-2023")</f>
        <v/>
      </c>
      <c r="AB39">
        <f>HYPERLINK("https://klasma.github.io/Logging_1904/klagomålsmail/A 23893-2023 FSC-klagomål mail.docx", "A 23893-2023")</f>
        <v/>
      </c>
      <c r="AC39">
        <f>HYPERLINK("https://klasma.github.io/Logging_1904/tillsyn/A 23893-2023 tillsynsbegäran.docx", "A 23893-2023")</f>
        <v/>
      </c>
      <c r="AD39">
        <f>HYPERLINK("https://klasma.github.io/Logging_1904/tillsynsmail/A 23893-2023 tillsynsbegäran mail.docx", "A 23893-2023")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46282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33435-2024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46282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33435-2024 artfynd.xlsx", "A 33435-2024")</f>
        <v/>
      </c>
      <c r="X41">
        <f>HYPERLINK("https://klasma.github.io/Logging_1904/kartor/A 33435-2024 karta.png", "A 33435-2024")</f>
        <v/>
      </c>
      <c r="Y41">
        <f>HYPERLINK("https://klasma.github.io/Logging_1904/kartor_geotiff/A 33435-2024 georefererad karta.tif", "A 33435-2024")</f>
        <v/>
      </c>
      <c r="AA41">
        <f>HYPERLINK("https://klasma.github.io/Logging_1904/klagomål/A 33435-2024 FSC-klagomål.docx", "A 33435-2024")</f>
        <v/>
      </c>
      <c r="AB41">
        <f>HYPERLINK("https://klasma.github.io/Logging_1904/klagomålsmail/A 33435-2024 FSC-klagomål mail.docx", "A 33435-2024")</f>
        <v/>
      </c>
      <c r="AC41">
        <f>HYPERLINK("https://klasma.github.io/Logging_1904/tillsyn/A 33435-2024 tillsynsbegäran.docx", "A 33435-2024")</f>
        <v/>
      </c>
      <c r="AD41">
        <f>HYPERLINK("https://klasma.github.io/Logging_1904/tillsynsmail/A 33435-2024 tillsynsbegäran mail.docx", "A 33435-2024")</f>
        <v/>
      </c>
      <c r="AE41">
        <f>HYPERLINK("https://klasma.github.io/Logging_1904/fåglar/A 33435-2024 prioriterade fågelarter.docx", "A 33435-2024")</f>
        <v/>
      </c>
    </row>
    <row r="42" ht="15" customHeight="1">
      <c r="A42" t="inlineStr">
        <is>
          <t>A 35371-2026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46282</v>
      </c>
      <c r="F42" t="inlineStr">
        <is>
          <t>VÄSTMANLANDS LÄN</t>
        </is>
      </c>
      <c r="G42" t="inlineStr">
        <is>
          <t>SKINNSKATTEBERG</t>
        </is>
      </c>
      <c r="I42" t="n">
        <v>1.3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HYPERLINK("https://klasma.github.io/Logging_1904/artfynd/A 35371-2026 artfynd.xlsx", "A 35371-2026")</f>
        <v/>
      </c>
      <c r="X42">
        <f>HYPERLINK("https://klasma.github.io/Logging_1904/kartor/A 35371-2026 karta.png", "A 35371-2026")</f>
        <v/>
      </c>
      <c r="Y42">
        <f>HYPERLINK("https://klasma.github.io/Logging_1904/kartor_geotiff/A 35371-2026 georefererad karta.tif", "A 35371-2026")</f>
        <v/>
      </c>
      <c r="AA42">
        <f>HYPERLINK("https://klasma.github.io/Logging_1904/klagomål/A 35371-2026 FSC-klagomål.docx", "A 35371-2026")</f>
        <v/>
      </c>
      <c r="AB42">
        <f>HYPERLINK("https://klasma.github.io/Logging_1904/klagomålsmail/A 35371-2026 FSC-klagomål mail.docx", "A 35371-2026")</f>
        <v/>
      </c>
      <c r="AC42">
        <f>HYPERLINK("https://klasma.github.io/Logging_1904/tillsyn/A 35371-2026 tillsynsbegäran.docx", "A 35371-2026")</f>
        <v/>
      </c>
      <c r="AD42">
        <f>HYPERLINK("https://klasma.github.io/Logging_1904/tillsynsmail/A 35371-2026 tillsynsbegäran mail.docx", "A 35371-2026")</f>
        <v/>
      </c>
      <c r="AE42">
        <f>HYPERLINK("https://klasma.github.io/Logging_1904/fåglar/A 35371-2026 prioriterade fågelarter.docx", "A 35371-2026")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46282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9490-2024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46282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Nattskärra</t>
        </is>
      </c>
      <c r="W44">
        <f>HYPERLINK("https://klasma.github.io/Logging_1904/artfynd/A 9490-2024 artfynd.xlsx", "A 9490-2024")</f>
        <v/>
      </c>
      <c r="X44">
        <f>HYPERLINK("https://klasma.github.io/Logging_1904/kartor/A 9490-2024 karta.png", "A 9490-2024")</f>
        <v/>
      </c>
      <c r="Y44">
        <f>HYPERLINK("https://klasma.github.io/Logging_1904/kartor_geotiff/A 9490-2024 georefererad karta.tif", "A 9490-2024")</f>
        <v/>
      </c>
      <c r="AA44">
        <f>HYPERLINK("https://klasma.github.io/Logging_1904/klagomål/A 9490-2024 FSC-klagomål.docx", "A 9490-2024")</f>
        <v/>
      </c>
      <c r="AB44">
        <f>HYPERLINK("https://klasma.github.io/Logging_1904/klagomålsmail/A 9490-2024 FSC-klagomål mail.docx", "A 9490-2024")</f>
        <v/>
      </c>
      <c r="AC44">
        <f>HYPERLINK("https://klasma.github.io/Logging_1904/tillsyn/A 9490-2024 tillsynsbegäran.docx", "A 9490-2024")</f>
        <v/>
      </c>
      <c r="AD44">
        <f>HYPERLINK("https://klasma.github.io/Logging_1904/tillsynsmail/A 9490-2024 tillsynsbegäran mail.docx", "A 9490-2024")</f>
        <v/>
      </c>
      <c r="AE44">
        <f>HYPERLINK("https://klasma.github.io/Logging_1904/fåglar/A 9490-2024 prioriterade fågelarter.docx", "A 9490-2024")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4000-2024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46282</v>
      </c>
      <c r="F46" t="inlineStr">
        <is>
          <t>VÄSTMANLANDS LÄN</t>
        </is>
      </c>
      <c r="G46" t="inlineStr">
        <is>
          <t>SKINNSKATTEBERG</t>
        </is>
      </c>
      <c r="I46" t="n">
        <v>14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Klasefibbla</t>
        </is>
      </c>
      <c r="W46">
        <f>HYPERLINK("https://klasma.github.io/Logging_1904/artfynd/A 4000-2024 artfynd.xlsx", "A 4000-2024")</f>
        <v/>
      </c>
      <c r="X46">
        <f>HYPERLINK("https://klasma.github.io/Logging_1904/kartor/A 4000-2024 karta.png", "A 4000-2024")</f>
        <v/>
      </c>
      <c r="Y46">
        <f>HYPERLINK("https://klasma.github.io/Logging_1904/kartor_geotiff/A 4000-2024 georefererad karta.tif", "A 4000-2024")</f>
        <v/>
      </c>
      <c r="AA46">
        <f>HYPERLINK("https://klasma.github.io/Logging_1904/klagomål/A 4000-2024 FSC-klagomål.docx", "A 4000-2024")</f>
        <v/>
      </c>
      <c r="AB46">
        <f>HYPERLINK("https://klasma.github.io/Logging_1904/klagomålsmail/A 4000-2024 FSC-klagomål mail.docx", "A 4000-2024")</f>
        <v/>
      </c>
      <c r="AC46">
        <f>HYPERLINK("https://klasma.github.io/Logging_1904/tillsyn/A 4000-2024 tillsynsbegäran.docx", "A 4000-2024")</f>
        <v/>
      </c>
      <c r="AD46">
        <f>HYPERLINK("https://klasma.github.io/Logging_1904/tillsynsmail/A 4000-2024 tillsynsbegäran mail.docx", "A 4000-2024")</f>
        <v/>
      </c>
    </row>
    <row r="47" ht="15" customHeight="1">
      <c r="A47" t="inlineStr">
        <is>
          <t>A 28312-2023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46282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HYPERLINK("https://klasma.github.io/Logging_1904/artfynd/A 28312-2023 artfynd.xlsx", "A 28312-2023")</f>
        <v/>
      </c>
      <c r="X47">
        <f>HYPERLINK("https://klasma.github.io/Logging_1904/kartor/A 28312-2023 karta.png", "A 28312-2023")</f>
        <v/>
      </c>
      <c r="Y47">
        <f>HYPERLINK("https://klasma.github.io/Logging_1904/kartor_geotiff/A 28312-2023 georefererad karta.tif", "A 28312-2023")</f>
        <v/>
      </c>
      <c r="AA47">
        <f>HYPERLINK("https://klasma.github.io/Logging_1904/klagomål/A 28312-2023 FSC-klagomål.docx", "A 28312-2023")</f>
        <v/>
      </c>
      <c r="AB47">
        <f>HYPERLINK("https://klasma.github.io/Logging_1904/klagomålsmail/A 28312-2023 FSC-klagomål mail.docx", "A 28312-2023")</f>
        <v/>
      </c>
      <c r="AC47">
        <f>HYPERLINK("https://klasma.github.io/Logging_1904/tillsyn/A 28312-2023 tillsynsbegäran.docx", "A 28312-2023")</f>
        <v/>
      </c>
      <c r="AD47">
        <f>HYPERLINK("https://klasma.github.io/Logging_1904/tillsynsmail/A 28312-2023 tillsynsbegäran mail.docx", "A 28312-2023")</f>
        <v/>
      </c>
    </row>
    <row r="48" ht="15" customHeight="1">
      <c r="A48" t="inlineStr">
        <is>
          <t>A 37900-2026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46282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9.199999999999999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HYPERLINK("https://klasma.github.io/Logging_1904/artfynd/A 37900-2026 artfynd.xlsx", "A 37900-2026")</f>
        <v/>
      </c>
      <c r="X48">
        <f>HYPERLINK("https://klasma.github.io/Logging_1904/kartor/A 37900-2026 karta.png", "A 37900-2026")</f>
        <v/>
      </c>
      <c r="Y48">
        <f>HYPERLINK("https://klasma.github.io/Logging_1904/kartor_geotiff/A 37900-2026 georefererad karta.tif", "A 37900-2026")</f>
        <v/>
      </c>
      <c r="AA48">
        <f>HYPERLINK("https://klasma.github.io/Logging_1904/klagomål/A 37900-2026 FSC-klagomål.docx", "A 37900-2026")</f>
        <v/>
      </c>
      <c r="AB48">
        <f>HYPERLINK("https://klasma.github.io/Logging_1904/klagomålsmail/A 37900-2026 FSC-klagomål mail.docx", "A 37900-2026")</f>
        <v/>
      </c>
      <c r="AC48">
        <f>HYPERLINK("https://klasma.github.io/Logging_1904/tillsyn/A 37900-2026 tillsynsbegäran.docx", "A 37900-2026")</f>
        <v/>
      </c>
      <c r="AD48">
        <f>HYPERLINK("https://klasma.github.io/Logging_1904/tillsynsmail/A 37900-2026 tillsynsbegäran mail.docx", "A 37900-2026")</f>
        <v/>
      </c>
      <c r="AE48">
        <f>HYPERLINK("https://klasma.github.io/Logging_1904/fåglar/A 37900-2026 prioriterade fågelarter.docx", "A 37900-2026")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46282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46282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46282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46282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46282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46282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46282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46282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46282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46282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46282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46282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46282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46282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46282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46282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46282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46282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46282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46282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46282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46282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46282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46282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46282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46282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46282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46282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46282</v>
      </c>
      <c r="F79" t="inlineStr">
        <is>
          <t>VÄSTMANLANDS LÄN</t>
        </is>
      </c>
      <c r="G79" t="inlineStr">
        <is>
          <t>SKINNSKATTEBERG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46282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46282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46282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46282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46282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46282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46282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53145-2021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44468</v>
      </c>
      <c r="E87" s="1" t="n">
        <v>46282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46282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46282</v>
      </c>
      <c r="F89" t="inlineStr">
        <is>
          <t>VÄSTMANLANDS LÄN</t>
        </is>
      </c>
      <c r="G89" t="inlineStr">
        <is>
          <t>SKINNSKATTEBERG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45637</v>
      </c>
      <c r="E90" s="1" t="n">
        <v>46282</v>
      </c>
      <c r="F90" t="inlineStr">
        <is>
          <t>VÄSTMANLANDS LÄN</t>
        </is>
      </c>
      <c r="G90" t="inlineStr">
        <is>
          <t>SKINNSKATTEBERG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46282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46282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18161-2024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45420</v>
      </c>
      <c r="E93" s="1" t="n">
        <v>46282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45375</v>
      </c>
      <c r="E94" s="1" t="n">
        <v>46282</v>
      </c>
      <c r="F94" t="inlineStr">
        <is>
          <t>VÄSTMANLANDS LÄN</t>
        </is>
      </c>
      <c r="G94" t="inlineStr">
        <is>
          <t>SKINNSKATTEBERG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25846-2025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45804</v>
      </c>
      <c r="E95" s="1" t="n">
        <v>46282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46282</v>
      </c>
      <c r="F96" t="inlineStr">
        <is>
          <t>VÄSTMANLANDS LÄN</t>
        </is>
      </c>
      <c r="G96" t="inlineStr">
        <is>
          <t>SKINNSKATTEBERG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46282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45247</v>
      </c>
      <c r="E98" s="1" t="n">
        <v>46282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46282</v>
      </c>
      <c r="F99" t="inlineStr">
        <is>
          <t>VÄSTMANLANDS LÄN</t>
        </is>
      </c>
      <c r="G99" t="inlineStr">
        <is>
          <t>SKINNSKATTEBERG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46282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46282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46282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28831-2025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45820</v>
      </c>
      <c r="E103" s="1" t="n">
        <v>46282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28873-2025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45820</v>
      </c>
      <c r="E104" s="1" t="n">
        <v>46282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46282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46282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46282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46282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40783-2025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46282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45897</v>
      </c>
      <c r="E110" s="1" t="n">
        <v>46282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29808-2025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45825</v>
      </c>
      <c r="E111" s="1" t="n">
        <v>46282</v>
      </c>
      <c r="F111" t="inlineStr">
        <is>
          <t>VÄSTMANLANDS LÄN</t>
        </is>
      </c>
      <c r="G111" t="inlineStr">
        <is>
          <t>SKINNSKATTEBERG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45825</v>
      </c>
      <c r="E112" s="1" t="n">
        <v>46282</v>
      </c>
      <c r="F112" t="inlineStr">
        <is>
          <t>VÄSTMANLANDS LÄN</t>
        </is>
      </c>
      <c r="G112" t="inlineStr">
        <is>
          <t>SKINNSKATTEBERG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46282</v>
      </c>
      <c r="F113" t="inlineStr">
        <is>
          <t>VÄSTMANLANDS LÄN</t>
        </is>
      </c>
      <c r="G113" t="inlineStr">
        <is>
          <t>SKINNSKATTEBERG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46282</v>
      </c>
      <c r="F114" t="inlineStr">
        <is>
          <t>VÄSTMANLANDS LÄN</t>
        </is>
      </c>
      <c r="G114" t="inlineStr">
        <is>
          <t>SKINNSKATTEBERG</t>
        </is>
      </c>
      <c r="I114" t="n">
        <v>10.5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46282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30439-2025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45827</v>
      </c>
      <c r="E116" s="1" t="n">
        <v>46282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46282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46282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46282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45832</v>
      </c>
      <c r="E120" s="1" t="n">
        <v>46282</v>
      </c>
      <c r="F120" t="inlineStr">
        <is>
          <t>VÄSTMANLANDS LÄN</t>
        </is>
      </c>
      <c r="G120" t="inlineStr">
        <is>
          <t>SKINNSKATTEBERG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46282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46282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45571</v>
      </c>
      <c r="E123" s="1" t="n">
        <v>46282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46282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46282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44184-2025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45915</v>
      </c>
      <c r="E126" s="1" t="n">
        <v>46282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41581-2025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46282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45532</v>
      </c>
      <c r="E128" s="1" t="n">
        <v>46282</v>
      </c>
      <c r="F128" t="inlineStr">
        <is>
          <t>VÄSTMANLANDS LÄN</t>
        </is>
      </c>
      <c r="G128" t="inlineStr">
        <is>
          <t>SKINNSKATTEBERG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46282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46282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46282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46282</v>
      </c>
      <c r="F132" t="inlineStr">
        <is>
          <t>VÄSTMANLANDS LÄN</t>
        </is>
      </c>
      <c r="G132" t="inlineStr">
        <is>
          <t>SKINNSKATTEBERG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46282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46282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46282</v>
      </c>
      <c r="F135" t="inlineStr">
        <is>
          <t>VÄSTMANLANDS LÄN</t>
        </is>
      </c>
      <c r="G135" t="inlineStr">
        <is>
          <t>SKINNSKATTEBERG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46037</v>
      </c>
      <c r="E136" s="1" t="n">
        <v>46282</v>
      </c>
      <c r="F136" t="inlineStr">
        <is>
          <t>VÄSTMANLANDS LÄN</t>
        </is>
      </c>
      <c r="G136" t="inlineStr">
        <is>
          <t>SKINNSKATTEBERG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45848</v>
      </c>
      <c r="E137" s="1" t="n">
        <v>46282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46282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46282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35205-2025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45853</v>
      </c>
      <c r="E140" s="1" t="n">
        <v>46282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46282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46282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46282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46282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44603</v>
      </c>
      <c r="E145" s="1" t="n">
        <v>46282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46282</v>
      </c>
      <c r="F146" t="inlineStr">
        <is>
          <t>VÄSTMANLANDS LÄN</t>
        </is>
      </c>
      <c r="G146" t="inlineStr">
        <is>
          <t>SKINNSKATTEBERG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46282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46282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46282</v>
      </c>
      <c r="F149" t="inlineStr">
        <is>
          <t>VÄSTMANLANDS LÄN</t>
        </is>
      </c>
      <c r="G149" t="inlineStr">
        <is>
          <t>SKINNSKATTEBERG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46282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46282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45947</v>
      </c>
      <c r="E152" s="1" t="n">
        <v>46282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46282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46282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5704-2026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46051</v>
      </c>
      <c r="E155" s="1" t="n">
        <v>46282</v>
      </c>
      <c r="F155" t="inlineStr">
        <is>
          <t>VÄSTMANLANDS LÄN</t>
        </is>
      </c>
      <c r="G155" t="inlineStr">
        <is>
          <t>SKINNSKATTEBERG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5693-2026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46051</v>
      </c>
      <c r="E156" s="1" t="n">
        <v>46282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46051</v>
      </c>
      <c r="E157" s="1" t="n">
        <v>46282</v>
      </c>
      <c r="F157" t="inlineStr">
        <is>
          <t>VÄSTMANLANDS LÄN</t>
        </is>
      </c>
      <c r="G157" t="inlineStr">
        <is>
          <t>SKINNSKATTEBERG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46282</v>
      </c>
      <c r="F158" t="inlineStr">
        <is>
          <t>VÄSTMANLANDS LÄN</t>
        </is>
      </c>
      <c r="G158" t="inlineStr">
        <is>
          <t>SKINNSKATTEBERG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46282</v>
      </c>
      <c r="F159" t="inlineStr">
        <is>
          <t>VÄSTMANLANDS LÄN</t>
        </is>
      </c>
      <c r="G159" t="inlineStr">
        <is>
          <t>SKINNSKATTEBERG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46282</v>
      </c>
      <c r="F160" t="inlineStr">
        <is>
          <t>VÄSTMANLANDS LÄN</t>
        </is>
      </c>
      <c r="G160" t="inlineStr">
        <is>
          <t>SKINNSKATTEBERG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46282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46282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46282</v>
      </c>
      <c r="F163" t="inlineStr">
        <is>
          <t>VÄSTMANLANDS LÄN</t>
        </is>
      </c>
      <c r="G163" t="inlineStr">
        <is>
          <t>SKINNSKATTEBERG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46282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45617</v>
      </c>
      <c r="E165" s="1" t="n">
        <v>46282</v>
      </c>
      <c r="F165" t="inlineStr">
        <is>
          <t>VÄSTMANLANDS LÄN</t>
        </is>
      </c>
      <c r="G165" t="inlineStr">
        <is>
          <t>SKINNSKATTEBERG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46282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46282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46282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46282</v>
      </c>
      <c r="F169" t="inlineStr">
        <is>
          <t>VÄSTMANLANDS LÄN</t>
        </is>
      </c>
      <c r="G169" t="inlineStr">
        <is>
          <t>SKINNSKATTEBERG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46282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46282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46282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56465-2025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45975</v>
      </c>
      <c r="E173" s="1" t="n">
        <v>46282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46282</v>
      </c>
      <c r="F174" t="inlineStr">
        <is>
          <t>VÄSTMANLANDS LÄN</t>
        </is>
      </c>
      <c r="G174" t="inlineStr">
        <is>
          <t>SKINNSKATTEBERG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46282</v>
      </c>
      <c r="F175" t="inlineStr">
        <is>
          <t>VÄSTMANLANDS LÄN</t>
        </is>
      </c>
      <c r="G175" t="inlineStr">
        <is>
          <t>SKINNSKATTEBERG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46282</v>
      </c>
      <c r="F176" t="inlineStr">
        <is>
          <t>VÄSTMANLANDS LÄN</t>
        </is>
      </c>
      <c r="G176" t="inlineStr">
        <is>
          <t>SKINNSKATTEBERG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45063</v>
      </c>
      <c r="E177" s="1" t="n">
        <v>46282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45114</v>
      </c>
      <c r="E178" s="1" t="n">
        <v>46282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7.9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46282</v>
      </c>
      <c r="F179" t="inlineStr">
        <is>
          <t>VÄSTMANLANDS LÄN</t>
        </is>
      </c>
      <c r="G179" t="inlineStr">
        <is>
          <t>SKINNSKATTEBERG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46282</v>
      </c>
      <c r="F180" t="inlineStr">
        <is>
          <t>VÄSTMANLANDS LÄN</t>
        </is>
      </c>
      <c r="G180" t="inlineStr">
        <is>
          <t>SKINNSKATTEBERG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45571</v>
      </c>
      <c r="E181" s="1" t="n">
        <v>46282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45571</v>
      </c>
      <c r="E182" s="1" t="n">
        <v>46282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46282</v>
      </c>
      <c r="F183" t="inlineStr">
        <is>
          <t>VÄSTMANLANDS LÄN</t>
        </is>
      </c>
      <c r="G183" t="inlineStr">
        <is>
          <t>SKINNSKATTEBERG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20248-2024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45434</v>
      </c>
      <c r="E184" s="1" t="n">
        <v>46282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46282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46282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16729-2024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45410</v>
      </c>
      <c r="E187" s="1" t="n">
        <v>46282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46282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45134</v>
      </c>
      <c r="E189" s="1" t="n">
        <v>46282</v>
      </c>
      <c r="F189" t="inlineStr">
        <is>
          <t>VÄSTMANLANDS LÄN</t>
        </is>
      </c>
      <c r="G189" t="inlineStr">
        <is>
          <t>SKINNSKATTEBERG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46282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46282</v>
      </c>
      <c r="F191" t="inlineStr">
        <is>
          <t>VÄSTMANLANDS LÄN</t>
        </is>
      </c>
      <c r="G191" t="inlineStr">
        <is>
          <t>SKINNSKATTEBERG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46282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46282</v>
      </c>
      <c r="F193" t="inlineStr">
        <is>
          <t>VÄSTMANLANDS LÄN</t>
        </is>
      </c>
      <c r="G193" t="inlineStr">
        <is>
          <t>SKINNSKATTEBERG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46282</v>
      </c>
      <c r="F194" t="inlineStr">
        <is>
          <t>VÄSTMANLANDS LÄN</t>
        </is>
      </c>
      <c r="G194" t="inlineStr">
        <is>
          <t>SKINNSKATTEBERG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46282</v>
      </c>
      <c r="F195" t="inlineStr">
        <is>
          <t>VÄSTMANLANDS LÄN</t>
        </is>
      </c>
      <c r="G195" t="inlineStr">
        <is>
          <t>SKINNSKATTEBERG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46282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46282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46282</v>
      </c>
      <c r="F198" t="inlineStr">
        <is>
          <t>VÄSTMANLANDS LÄN</t>
        </is>
      </c>
      <c r="G198" t="inlineStr">
        <is>
          <t>SKINNSKATTEBERG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25843-2023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45090</v>
      </c>
      <c r="E199" s="1" t="n">
        <v>46282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45329</v>
      </c>
      <c r="E200" s="1" t="n">
        <v>46282</v>
      </c>
      <c r="F200" t="inlineStr">
        <is>
          <t>VÄSTMANLANDS LÄN</t>
        </is>
      </c>
      <c r="G200" t="inlineStr">
        <is>
          <t>SKINNSKATTEBERG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46282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46282</v>
      </c>
      <c r="F202" t="inlineStr">
        <is>
          <t>VÄSTMANLANDS LÄN</t>
        </is>
      </c>
      <c r="G202" t="inlineStr">
        <is>
          <t>SKINNSKATTEBERG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13676-2022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44648</v>
      </c>
      <c r="E203" s="1" t="n">
        <v>46282</v>
      </c>
      <c r="F203" t="inlineStr">
        <is>
          <t>VÄSTMANLANDS LÄN</t>
        </is>
      </c>
      <c r="G203" t="inlineStr">
        <is>
          <t>SKINNSKATTEBERG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46282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15955-2026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46108</v>
      </c>
      <c r="E205" s="1" t="n">
        <v>46282</v>
      </c>
      <c r="F205" t="inlineStr">
        <is>
          <t>VÄSTMANLANDS LÄN</t>
        </is>
      </c>
      <c r="G205" t="inlineStr">
        <is>
          <t>SKINNSKATTEBERG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46282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16136-2026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46108</v>
      </c>
      <c r="E207" s="1" t="n">
        <v>46282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46282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46282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46282</v>
      </c>
      <c r="F210" t="inlineStr">
        <is>
          <t>VÄSTMANLANDS LÄN</t>
        </is>
      </c>
      <c r="G210" t="inlineStr">
        <is>
          <t>SKINNSKATTEBERG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46282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46282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46114</v>
      </c>
      <c r="E213" s="1" t="n">
        <v>46282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46119</v>
      </c>
      <c r="E214" s="1" t="n">
        <v>46282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46122</v>
      </c>
      <c r="E215" s="1" t="n">
        <v>46282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46282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46282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45177</v>
      </c>
      <c r="E218" s="1" t="n">
        <v>46282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19540-2026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46282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19541-2026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46134</v>
      </c>
      <c r="E220" s="1" t="n">
        <v>46282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19582-2026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46134</v>
      </c>
      <c r="E221" s="1" t="n">
        <v>46282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55428-2021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44475</v>
      </c>
      <c r="E222" s="1" t="n">
        <v>46282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53880-2021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44469</v>
      </c>
      <c r="E223" s="1" t="n">
        <v>46282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52600-2021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44466</v>
      </c>
      <c r="E224" s="1" t="n">
        <v>46282</v>
      </c>
      <c r="F224" t="inlineStr">
        <is>
          <t>VÄSTMANLANDS LÄN</t>
        </is>
      </c>
      <c r="G224" t="inlineStr">
        <is>
          <t>SKINNSKATTEBERG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53183-2021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44468</v>
      </c>
      <c r="E225" s="1" t="n">
        <v>46282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18163-2024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46282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46282</v>
      </c>
      <c r="F227" t="inlineStr">
        <is>
          <t>VÄSTMANLANDS LÄN</t>
        </is>
      </c>
      <c r="G227" t="inlineStr">
        <is>
          <t>SKINNSKATTEBERG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44462</v>
      </c>
      <c r="E228" s="1" t="n">
        <v>46282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45531</v>
      </c>
      <c r="E229" s="1" t="n">
        <v>46282</v>
      </c>
      <c r="F229" t="inlineStr">
        <is>
          <t>VÄSTMANLANDS LÄN</t>
        </is>
      </c>
      <c r="G229" t="inlineStr">
        <is>
          <t>SKINNSKATTEBERG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53142-2021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44468</v>
      </c>
      <c r="E230" s="1" t="n">
        <v>46282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46282</v>
      </c>
      <c r="F231" t="inlineStr">
        <is>
          <t>VÄSTMANLANDS LÄN</t>
        </is>
      </c>
      <c r="G231" t="inlineStr">
        <is>
          <t>SKINNSKATTEBERG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46282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46282</v>
      </c>
      <c r="F233" t="inlineStr">
        <is>
          <t>VÄSTMANLANDS LÄN</t>
        </is>
      </c>
      <c r="G233" t="inlineStr">
        <is>
          <t>SKINNSKATTEBERG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19943-2026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46282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46282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45407</v>
      </c>
      <c r="E236" s="1" t="n">
        <v>46282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46282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46282</v>
      </c>
      <c r="F238" t="inlineStr">
        <is>
          <t>VÄSTMANLANDS LÄN</t>
        </is>
      </c>
      <c r="G238" t="inlineStr">
        <is>
          <t>SKINNSKATTEBERG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46282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20563-2026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46140</v>
      </c>
      <c r="E240" s="1" t="n">
        <v>46282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44803</v>
      </c>
      <c r="E241" s="1" t="n">
        <v>46282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46282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46282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46282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46282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46282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46282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46282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45429</v>
      </c>
      <c r="E249" s="1" t="n">
        <v>46282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45054</v>
      </c>
      <c r="E250" s="1" t="n">
        <v>46282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46282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46282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45056</v>
      </c>
      <c r="E253" s="1" t="n">
        <v>46282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13713-2024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45390</v>
      </c>
      <c r="E254" s="1" t="n">
        <v>46282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46282</v>
      </c>
      <c r="F255" t="inlineStr">
        <is>
          <t>VÄSTMANLANDS LÄN</t>
        </is>
      </c>
      <c r="G255" t="inlineStr">
        <is>
          <t>SKINNSKATTEBERG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45447</v>
      </c>
      <c r="E256" s="1" t="n">
        <v>46282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22779-2026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46157</v>
      </c>
      <c r="E257" s="1" t="n">
        <v>46282</v>
      </c>
      <c r="F257" t="inlineStr">
        <is>
          <t>VÄSTMANLANDS LÄN</t>
        </is>
      </c>
      <c r="G257" t="inlineStr">
        <is>
          <t>SKINNSKATTEBERG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45485</v>
      </c>
      <c r="E258" s="1" t="n">
        <v>46282</v>
      </c>
      <c r="F258" t="inlineStr">
        <is>
          <t>VÄSTMANLANDS LÄN</t>
        </is>
      </c>
      <c r="G258" t="inlineStr">
        <is>
          <t>SKINNSKATTEBERG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46282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13385-2024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46282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46282</v>
      </c>
      <c r="F261" t="inlineStr">
        <is>
          <t>VÄSTMANLANDS LÄN</t>
        </is>
      </c>
      <c r="G261" t="inlineStr">
        <is>
          <t>SKINNSKATTEBERG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46282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46282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45156</v>
      </c>
      <c r="E264" s="1" t="n">
        <v>46282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46282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46282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46282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46282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46282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46282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46282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46282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40545-2023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45170</v>
      </c>
      <c r="E273" s="1" t="n">
        <v>46282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46282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46282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45558</v>
      </c>
      <c r="E276" s="1" t="n">
        <v>46282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46282</v>
      </c>
      <c r="F277" t="inlineStr">
        <is>
          <t>VÄSTMANLANDS LÄN</t>
        </is>
      </c>
      <c r="G277" t="inlineStr">
        <is>
          <t>SKINNSKATTEBERG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46282</v>
      </c>
      <c r="F278" t="inlineStr">
        <is>
          <t>VÄSTMANLANDS LÄN</t>
        </is>
      </c>
      <c r="G278" t="inlineStr">
        <is>
          <t>SKINNSKATTEBERG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46282</v>
      </c>
      <c r="F279" t="inlineStr">
        <is>
          <t>VÄSTMANLANDS LÄN</t>
        </is>
      </c>
      <c r="G279" t="inlineStr">
        <is>
          <t>SKINNSKATTEBERG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46282</v>
      </c>
      <c r="F280" t="inlineStr">
        <is>
          <t>VÄSTMANLANDS LÄN</t>
        </is>
      </c>
      <c r="G280" t="inlineStr">
        <is>
          <t>SKINNSKATTEBERG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46282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46282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46177</v>
      </c>
      <c r="E283" s="1" t="n">
        <v>46282</v>
      </c>
      <c r="F283" t="inlineStr">
        <is>
          <t>VÄSTMANLANDS LÄN</t>
        </is>
      </c>
      <c r="G283" t="inlineStr">
        <is>
          <t>SKINNSKATTEBERG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46282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26356-2026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46182</v>
      </c>
      <c r="E285" s="1" t="n">
        <v>46282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46282</v>
      </c>
      <c r="F286" t="inlineStr">
        <is>
          <t>VÄSTMANLANDS LÄN</t>
        </is>
      </c>
      <c r="G286" t="inlineStr">
        <is>
          <t>SKINNSKATTEBERG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46282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61181-2021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46282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45128</v>
      </c>
      <c r="E289" s="1" t="n">
        <v>46282</v>
      </c>
      <c r="F289" t="inlineStr">
        <is>
          <t>VÄSTMANLANDS LÄN</t>
        </is>
      </c>
      <c r="G289" t="inlineStr">
        <is>
          <t>SKINNSKATTEBERG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46282</v>
      </c>
      <c r="F290" t="inlineStr">
        <is>
          <t>VÄSTMANLANDS LÄN</t>
        </is>
      </c>
      <c r="G290" t="inlineStr">
        <is>
          <t>SKINNSKATTEBERG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46282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46282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46282</v>
      </c>
      <c r="F293" t="inlineStr">
        <is>
          <t>VÄSTMANLANDS LÄN</t>
        </is>
      </c>
      <c r="G293" t="inlineStr">
        <is>
          <t>SKINNSKATTEBERG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46282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46282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46282</v>
      </c>
      <c r="F296" t="inlineStr">
        <is>
          <t>VÄSTMANLANDS LÄN</t>
        </is>
      </c>
      <c r="G296" t="inlineStr">
        <is>
          <t>SKINNSKATTEBERG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46282</v>
      </c>
      <c r="F297" t="inlineStr">
        <is>
          <t>VÄSTMANLANDS LÄN</t>
        </is>
      </c>
      <c r="G297" t="inlineStr">
        <is>
          <t>SKINNSKATTEBERG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46282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46190</v>
      </c>
      <c r="E299" s="1" t="n">
        <v>46282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46282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46282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46282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27921-2026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46282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46282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Allmännings- och besparingsskogar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45385</v>
      </c>
      <c r="E305" s="1" t="n">
        <v>46282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46195</v>
      </c>
      <c r="E306" s="1" t="n">
        <v>46282</v>
      </c>
      <c r="F306" t="inlineStr">
        <is>
          <t>VÄSTMANLANDS LÄN</t>
        </is>
      </c>
      <c r="G306" t="inlineStr">
        <is>
          <t>SKINNSKATTEBERG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15561-2024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45401</v>
      </c>
      <c r="E307" s="1" t="n">
        <v>46282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46282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46282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46282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46282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45393</v>
      </c>
      <c r="E312" s="1" t="n">
        <v>46282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46282</v>
      </c>
      <c r="F313" t="inlineStr">
        <is>
          <t>VÄSTMANLANDS LÄN</t>
        </is>
      </c>
      <c r="G313" t="inlineStr">
        <is>
          <t>SKINNSKATTEBERG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45643</v>
      </c>
      <c r="E314" s="1" t="n">
        <v>46282</v>
      </c>
      <c r="F314" t="inlineStr">
        <is>
          <t>VÄSTMANLANDS LÄN</t>
        </is>
      </c>
      <c r="G314" t="inlineStr">
        <is>
          <t>SKINNSKATTEBERG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46197</v>
      </c>
      <c r="E315" s="1" t="n">
        <v>46282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46244</v>
      </c>
      <c r="E316" s="1" t="n">
        <v>46282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45435</v>
      </c>
      <c r="E317" s="1" t="n">
        <v>46282</v>
      </c>
      <c r="F317" t="inlineStr">
        <is>
          <t>VÄSTMANLANDS LÄN</t>
        </is>
      </c>
      <c r="G317" t="inlineStr">
        <is>
          <t>SKINNSKATTEBERG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46282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44995</v>
      </c>
      <c r="E319" s="1" t="n">
        <v>46282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46244</v>
      </c>
      <c r="E320" s="1" t="n">
        <v>46282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46200</v>
      </c>
      <c r="E321" s="1" t="n">
        <v>46282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46244</v>
      </c>
      <c r="E322" s="1" t="n">
        <v>46282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46244</v>
      </c>
      <c r="E323" s="1" t="n">
        <v>46282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46200</v>
      </c>
      <c r="E324" s="1" t="n">
        <v>46282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46282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46282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54657-2022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44883</v>
      </c>
      <c r="E327" s="1" t="n">
        <v>46282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46247</v>
      </c>
      <c r="E328" s="1" t="n">
        <v>46282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45554</v>
      </c>
      <c r="E329" s="1" t="n">
        <v>46282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66584-2021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44519</v>
      </c>
      <c r="E330" s="1" t="n">
        <v>46282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45156</v>
      </c>
      <c r="E331" s="1" t="n">
        <v>46282</v>
      </c>
      <c r="F331" t="inlineStr">
        <is>
          <t>VÄSTMANLANDS LÄN</t>
        </is>
      </c>
      <c r="G331" t="inlineStr">
        <is>
          <t>SKINNSKATTEBERG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45252</v>
      </c>
      <c r="E332" s="1" t="n">
        <v>46282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31302-2024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46282</v>
      </c>
      <c r="F333" t="inlineStr">
        <is>
          <t>VÄSTMANLANDS LÄN</t>
        </is>
      </c>
      <c r="G333" t="inlineStr">
        <is>
          <t>SKINNSKATTEBERG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46282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46210</v>
      </c>
      <c r="E335" s="1" t="n">
        <v>46282</v>
      </c>
      <c r="F335" t="inlineStr">
        <is>
          <t>VÄSTMANLANDS LÄN</t>
        </is>
      </c>
      <c r="G335" t="inlineStr">
        <is>
          <t>SKINNSKATTEBERG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46282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46282</v>
      </c>
      <c r="F337" t="inlineStr">
        <is>
          <t>VÄSTMANLANDS LÄN</t>
        </is>
      </c>
      <c r="G337" t="inlineStr">
        <is>
          <t>SKINNSKATTEBERG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46282</v>
      </c>
      <c r="F338" t="inlineStr">
        <is>
          <t>VÄSTMANLANDS LÄN</t>
        </is>
      </c>
      <c r="G338" t="inlineStr">
        <is>
          <t>SKINNSKATTEBERG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46282</v>
      </c>
      <c r="F339" t="inlineStr">
        <is>
          <t>VÄSTMANLANDS LÄN</t>
        </is>
      </c>
      <c r="G339" t="inlineStr">
        <is>
          <t>SKINNSKATTEBERG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45170</v>
      </c>
      <c r="E340" s="1" t="n">
        <v>46282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46260</v>
      </c>
      <c r="E341" s="1" t="n">
        <v>46282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15184-2025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45744</v>
      </c>
      <c r="E342" s="1" t="n">
        <v>46282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46282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35168-2026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46260</v>
      </c>
      <c r="E344" s="1" t="n">
        <v>46282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46262</v>
      </c>
      <c r="E345" s="1" t="n">
        <v>46282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35582-2026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46262</v>
      </c>
      <c r="E346" s="1" t="n">
        <v>46282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46282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46282</v>
      </c>
      <c r="F348" t="inlineStr">
        <is>
          <t>VÄSTMANLANDS LÄN</t>
        </is>
      </c>
      <c r="G348" t="inlineStr">
        <is>
          <t>SKINNSKATTEBERG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46282</v>
      </c>
      <c r="F349" t="inlineStr">
        <is>
          <t>VÄSTMANLANDS LÄN</t>
        </is>
      </c>
      <c r="G349" t="inlineStr">
        <is>
          <t>SKINNSKATTEBERG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46262</v>
      </c>
      <c r="E350" s="1" t="n">
        <v>46282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46282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45520</v>
      </c>
      <c r="E352" s="1" t="n">
        <v>46282</v>
      </c>
      <c r="F352" t="inlineStr">
        <is>
          <t>VÄSTMANLANDS LÄN</t>
        </is>
      </c>
      <c r="G352" t="inlineStr">
        <is>
          <t>SKINNSKATTEBERG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45407</v>
      </c>
      <c r="E353" s="1" t="n">
        <v>46282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35746-2026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46265</v>
      </c>
      <c r="E354" s="1" t="n">
        <v>46282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22394-2022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44713</v>
      </c>
      <c r="E355" s="1" t="n">
        <v>46282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46282</v>
      </c>
      <c r="F356" t="inlineStr">
        <is>
          <t>VÄSTMANLANDS LÄN</t>
        </is>
      </c>
      <c r="G356" t="inlineStr">
        <is>
          <t>SKINNSKATTEBERG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46282</v>
      </c>
      <c r="F357" t="inlineStr">
        <is>
          <t>VÄSTMANLANDS LÄN</t>
        </is>
      </c>
      <c r="G357" t="inlineStr">
        <is>
          <t>SKINNSKATTEBERG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46282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45048</v>
      </c>
      <c r="E359" s="1" t="n">
        <v>46282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46282</v>
      </c>
      <c r="F360" t="inlineStr">
        <is>
          <t>VÄSTMANLANDS LÄN</t>
        </is>
      </c>
      <c r="G360" t="inlineStr">
        <is>
          <t>SKINNSKATTEBERG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46268</v>
      </c>
      <c r="E361" s="1" t="n">
        <v>46282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31268-2023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45114</v>
      </c>
      <c r="E362" s="1" t="n">
        <v>46282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45506</v>
      </c>
      <c r="E363" s="1" t="n">
        <v>46282</v>
      </c>
      <c r="F363" t="inlineStr">
        <is>
          <t>VÄSTMANLANDS LÄN</t>
        </is>
      </c>
      <c r="G363" t="inlineStr">
        <is>
          <t>SKINNSKATTEBERG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29026-2026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46199</v>
      </c>
      <c r="E364" s="1" t="n">
        <v>46282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46274</v>
      </c>
      <c r="E365" s="1" t="n">
        <v>46282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45170</v>
      </c>
      <c r="E366" s="1" t="n">
        <v>46282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45252</v>
      </c>
      <c r="E367" s="1" t="n">
        <v>46282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45014</v>
      </c>
      <c r="E368" s="1" t="n">
        <v>46282</v>
      </c>
      <c r="F368" t="inlineStr">
        <is>
          <t>VÄSTMANLANDS LÄN</t>
        </is>
      </c>
      <c r="G368" t="inlineStr">
        <is>
          <t>SKINNSKATTEBERG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14736-2023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45014</v>
      </c>
      <c r="E369" s="1" t="n">
        <v>46282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46282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46282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45592</v>
      </c>
      <c r="E372" s="1" t="n">
        <v>46282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46279</v>
      </c>
      <c r="E373" s="1" t="n">
        <v>46282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46282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46282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46282</v>
      </c>
      <c r="F376" t="inlineStr">
        <is>
          <t>VÄSTMANLANDS LÄN</t>
        </is>
      </c>
      <c r="G376" t="inlineStr">
        <is>
          <t>SKINNSKATTEBERG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46282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45377</v>
      </c>
      <c r="E378" s="1" t="n">
        <v>46282</v>
      </c>
      <c r="F378" t="inlineStr">
        <is>
          <t>VÄSTMANLANDS LÄN</t>
        </is>
      </c>
      <c r="G378" t="inlineStr">
        <is>
          <t>SKINNSKATTEBERG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46237</v>
      </c>
      <c r="E379" s="1" t="n">
        <v>46282</v>
      </c>
      <c r="F379" t="inlineStr">
        <is>
          <t>VÄSTMANLANDS LÄN</t>
        </is>
      </c>
      <c r="G379" t="inlineStr">
        <is>
          <t>SKINNSKATTEBERG</t>
        </is>
      </c>
      <c r="I379" t="n">
        <v>12.2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46282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50980-2022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46282</v>
      </c>
      <c r="F381" t="inlineStr">
        <is>
          <t>VÄSTMANLANDS LÄN</t>
        </is>
      </c>
      <c r="G381" t="inlineStr">
        <is>
          <t>SKINNSKATTEBERG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46282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45480</v>
      </c>
      <c r="E383" s="1" t="n">
        <v>46282</v>
      </c>
      <c r="F383" t="inlineStr">
        <is>
          <t>VÄSTMANLANDS LÄN</t>
        </is>
      </c>
      <c r="G383" t="inlineStr">
        <is>
          <t>SKINNSKATTEBERG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22285-2025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45786</v>
      </c>
      <c r="E384" s="1" t="n">
        <v>46282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46282</v>
      </c>
      <c r="F385" t="inlineStr">
        <is>
          <t>VÄSTMANLANDS LÄN</t>
        </is>
      </c>
      <c r="G385" t="inlineStr">
        <is>
          <t>SKINNSKATTEBERG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46282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46282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1765-2024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45435</v>
      </c>
      <c r="E388" s="1" t="n">
        <v>46282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1462-2025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46282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1931-2025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45827</v>
      </c>
      <c r="E390" s="1" t="n">
        <v>46282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2177-2025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45853</v>
      </c>
      <c r="E391" s="1" t="n">
        <v>46282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46282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2421-2025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46282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2420-2025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2456-2025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45901</v>
      </c>
      <c r="E395" s="1" t="n">
        <v>46282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2578-2025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45915</v>
      </c>
      <c r="E396" s="1" t="n">
        <v>46282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46282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46282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1868-2026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46199</v>
      </c>
      <c r="E399" s="1" t="n">
        <v>46282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2239-2026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46260</v>
      </c>
      <c r="E400" s="1" t="n">
        <v>46282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2266-2026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46262</v>
      </c>
      <c r="E401" s="1" t="n">
        <v>46282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2026-09-17T02:01:01Z</dcterms:created>
  <dcterms:modified xmlns:dcterms="http://purl.org/dc/terms/" xmlns:xsi="http://www.w3.org/2001/XMLSchema-instance" xsi:type="dcterms:W3CDTF">2026-09-17T02:01:01Z</dcterms:modified>
</cp:coreProperties>
</file>