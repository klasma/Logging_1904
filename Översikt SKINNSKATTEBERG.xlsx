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46261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46261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46261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46261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46261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46261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46261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46261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21846-2026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46261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0.5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Gränsticka
Brunpudrad nållav
Vedtrappmossa</t>
        </is>
      </c>
      <c r="W13">
        <f>HYPERLINK("https://klasma.github.io/Logging_1904/artfynd/A 21846-2026 artfynd.xlsx", "A 21846-2026")</f>
        <v/>
      </c>
      <c r="X13">
        <f>HYPERLINK("https://klasma.github.io/Logging_1904/kartor/A 21846-2026 karta.png", "A 21846-2026")</f>
        <v/>
      </c>
      <c r="Y13">
        <f>HYPERLINK("https://klasma.github.io/Logging_1904/kartor_geotiff/A 21846-2026 georefererad karta.tif", "A 21846-2026")</f>
        <v/>
      </c>
      <c r="AA13">
        <f>HYPERLINK("https://klasma.github.io/Logging_1904/klagomål/A 21846-2026 FSC-klagomål.docx", "A 21846-2026")</f>
        <v/>
      </c>
      <c r="AB13">
        <f>HYPERLINK("https://klasma.github.io/Logging_1904/klagomålsmail/A 21846-2026 FSC-klagomål mail.docx", "A 21846-2026")</f>
        <v/>
      </c>
      <c r="AC13">
        <f>HYPERLINK("https://klasma.github.io/Logging_1904/tillsyn/A 21846-2026 tillsynsbegäran.docx", "A 21846-2026")</f>
        <v/>
      </c>
      <c r="AD13">
        <f>HYPERLINK("https://klasma.github.io/Logging_1904/tillsynsmail/A 21846-2026 tillsynsbegäran mail.docx", "A 21846-2026")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46261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46261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46261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46261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46261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46261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46261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46261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46261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46261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46261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46261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46261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46261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46261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15734-2026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46107</v>
      </c>
      <c r="E29" s="1" t="n">
        <v>46261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Koppartaggsvamp</t>
        </is>
      </c>
      <c r="W29">
        <f>HYPERLINK("https://klasma.github.io/Logging_1904/artfynd/A 15734-2026 artfynd.xlsx", "A 15734-2026")</f>
        <v/>
      </c>
      <c r="X29">
        <f>HYPERLINK("https://klasma.github.io/Logging_1904/kartor/A 15734-2026 karta.png", "A 15734-2026")</f>
        <v/>
      </c>
      <c r="Y29">
        <f>HYPERLINK("https://klasma.github.io/Logging_1904/kartor_geotiff/A 15734-2026 georefererad karta.tif", "A 15734-2026")</f>
        <v/>
      </c>
      <c r="AA29">
        <f>HYPERLINK("https://klasma.github.io/Logging_1904/klagomål/A 15734-2026 FSC-klagomål.docx", "A 15734-2026")</f>
        <v/>
      </c>
      <c r="AB29">
        <f>HYPERLINK("https://klasma.github.io/Logging_1904/klagomålsmail/A 15734-2026 FSC-klagomål mail.docx", "A 15734-2026")</f>
        <v/>
      </c>
      <c r="AC29">
        <f>HYPERLINK("https://klasma.github.io/Logging_1904/tillsyn/A 15734-2026 tillsynsbegäran.docx", "A 15734-2026")</f>
        <v/>
      </c>
      <c r="AD29">
        <f>HYPERLINK("https://klasma.github.io/Logging_1904/tillsynsmail/A 15734-2026 tillsynsbegäran mail.docx", "A 15734-2026")</f>
        <v/>
      </c>
    </row>
    <row r="30" ht="15" customHeight="1">
      <c r="A30" t="inlineStr">
        <is>
          <t>A 57395-2025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46261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Vedticka</t>
        </is>
      </c>
      <c r="W30">
        <f>HYPERLINK("https://klasma.github.io/Logging_1904/artfynd/A 57395-2025 artfynd.xlsx", "A 57395-2025")</f>
        <v/>
      </c>
      <c r="X30">
        <f>HYPERLINK("https://klasma.github.io/Logging_1904/kartor/A 57395-2025 karta.png", "A 57395-2025")</f>
        <v/>
      </c>
      <c r="Y30">
        <f>HYPERLINK("https://klasma.github.io/Logging_1904/kartor_geotiff/A 57395-2025 georefererad karta.tif", "A 57395-2025")</f>
        <v/>
      </c>
      <c r="AA30">
        <f>HYPERLINK("https://klasma.github.io/Logging_1904/klagomål/A 57395-2025 FSC-klagomål.docx", "A 57395-2025")</f>
        <v/>
      </c>
      <c r="AB30">
        <f>HYPERLINK("https://klasma.github.io/Logging_1904/klagomålsmail/A 57395-2025 FSC-klagomål mail.docx", "A 57395-2025")</f>
        <v/>
      </c>
      <c r="AC30">
        <f>HYPERLINK("https://klasma.github.io/Logging_1904/tillsyn/A 57395-2025 tillsynsbegäran.docx", "A 57395-2025")</f>
        <v/>
      </c>
      <c r="AD30">
        <f>HYPERLINK("https://klasma.github.io/Logging_1904/tillsynsmail/A 57395-2025 tillsynsbegäran mail.docx", "A 57395-2025")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46261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9490-2024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46261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Nattskärra</t>
        </is>
      </c>
      <c r="W32">
        <f>HYPERLINK("https://klasma.github.io/Logging_1904/artfynd/A 9490-2024 artfynd.xlsx", "A 9490-2024")</f>
        <v/>
      </c>
      <c r="X32">
        <f>HYPERLINK("https://klasma.github.io/Logging_1904/kartor/A 9490-2024 karta.png", "A 9490-2024")</f>
        <v/>
      </c>
      <c r="Y32">
        <f>HYPERLINK("https://klasma.github.io/Logging_1904/kartor_geotiff/A 9490-2024 georefererad karta.tif", "A 9490-2024")</f>
        <v/>
      </c>
      <c r="AA32">
        <f>HYPERLINK("https://klasma.github.io/Logging_1904/klagomål/A 9490-2024 FSC-klagomål.docx", "A 9490-2024")</f>
        <v/>
      </c>
      <c r="AB32">
        <f>HYPERLINK("https://klasma.github.io/Logging_1904/klagomålsmail/A 9490-2024 FSC-klagomål mail.docx", "A 9490-2024")</f>
        <v/>
      </c>
      <c r="AC32">
        <f>HYPERLINK("https://klasma.github.io/Logging_1904/tillsyn/A 9490-2024 tillsynsbegäran.docx", "A 9490-2024")</f>
        <v/>
      </c>
      <c r="AD32">
        <f>HYPERLINK("https://klasma.github.io/Logging_1904/tillsynsmail/A 9490-2024 tillsynsbegäran mail.docx", "A 9490-2024")</f>
        <v/>
      </c>
      <c r="AE32">
        <f>HYPERLINK("https://klasma.github.io/Logging_1904/fåglar/A 9490-2024 prioriterade fågelarter.docx", "A 9490-2024")</f>
        <v/>
      </c>
    </row>
    <row r="33" ht="15" customHeight="1">
      <c r="A33" t="inlineStr">
        <is>
          <t>A 54296-2023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46261</v>
      </c>
      <c r="F33" t="inlineStr">
        <is>
          <t>VÄSTMANLANDS LÄN</t>
        </is>
      </c>
      <c r="G33" t="inlineStr">
        <is>
          <t>SKINNSKATTEBERG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HYPERLINK("https://klasma.github.io/Logging_1904/artfynd/A 54296-2023 artfynd.xlsx", "A 54296-2023")</f>
        <v/>
      </c>
      <c r="X33">
        <f>HYPERLINK("https://klasma.github.io/Logging_1904/kartor/A 54296-2023 karta.png", "A 54296-2023")</f>
        <v/>
      </c>
      <c r="Y33">
        <f>HYPERLINK("https://klasma.github.io/Logging_1904/kartor_geotiff/A 54296-2023 georefererad karta.tif", "A 54296-2023")</f>
        <v/>
      </c>
      <c r="AA33">
        <f>HYPERLINK("https://klasma.github.io/Logging_1904/klagomål/A 54296-2023 FSC-klagomål.docx", "A 54296-2023")</f>
        <v/>
      </c>
      <c r="AB33">
        <f>HYPERLINK("https://klasma.github.io/Logging_1904/klagomålsmail/A 54296-2023 FSC-klagomål mail.docx", "A 54296-2023")</f>
        <v/>
      </c>
      <c r="AC33">
        <f>HYPERLINK("https://klasma.github.io/Logging_1904/tillsyn/A 54296-2023 tillsynsbegäran.docx", "A 54296-2023")</f>
        <v/>
      </c>
      <c r="AD33">
        <f>HYPERLINK("https://klasma.github.io/Logging_1904/tillsynsmail/A 54296-2023 tillsynsbegäran mail.docx", "A 54296-2023")</f>
        <v/>
      </c>
    </row>
    <row r="34" ht="15" customHeight="1">
      <c r="A34" t="inlineStr">
        <is>
          <t>A 21849-2026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46261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12.5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HYPERLINK("https://klasma.github.io/Logging_1904/artfynd/A 21849-2026 artfynd.xlsx", "A 21849-2026")</f>
        <v/>
      </c>
      <c r="X34">
        <f>HYPERLINK("https://klasma.github.io/Logging_1904/kartor/A 21849-2026 karta.png", "A 21849-2026")</f>
        <v/>
      </c>
      <c r="Y34">
        <f>HYPERLINK("https://klasma.github.io/Logging_1904/kartor_geotiff/A 21849-2026 georefererad karta.tif", "A 21849-2026")</f>
        <v/>
      </c>
      <c r="Z34">
        <f>HYPERLINK("https://klasma.github.io/Logging_1904/knärot/A 21849-2026 karta knärot.png", "A 21849-2026")</f>
        <v/>
      </c>
      <c r="AA34">
        <f>HYPERLINK("https://klasma.github.io/Logging_1904/klagomål/A 21849-2026 FSC-klagomål.docx", "A 21849-2026")</f>
        <v/>
      </c>
      <c r="AB34">
        <f>HYPERLINK("https://klasma.github.io/Logging_1904/klagomålsmail/A 21849-2026 FSC-klagomål mail.docx", "A 21849-2026")</f>
        <v/>
      </c>
      <c r="AC34">
        <f>HYPERLINK("https://klasma.github.io/Logging_1904/tillsyn/A 21849-2026 tillsynsbegäran.docx", "A 21849-2026")</f>
        <v/>
      </c>
      <c r="AD34">
        <f>HYPERLINK("https://klasma.github.io/Logging_1904/tillsynsmail/A 21849-2026 tillsynsbegäran mail.docx", "A 21849-2026")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46261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24944-2026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46261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8.4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Garnlav</t>
        </is>
      </c>
      <c r="W36">
        <f>HYPERLINK("https://klasma.github.io/Logging_1904/artfynd/A 24944-2026 artfynd.xlsx", "A 24944-2026")</f>
        <v/>
      </c>
      <c r="X36">
        <f>HYPERLINK("https://klasma.github.io/Logging_1904/kartor/A 24944-2026 karta.png", "A 24944-2026")</f>
        <v/>
      </c>
      <c r="Y36">
        <f>HYPERLINK("https://klasma.github.io/Logging_1904/kartor_geotiff/A 24944-2026 georefererad karta.tif", "A 24944-2026")</f>
        <v/>
      </c>
      <c r="AA36">
        <f>HYPERLINK("https://klasma.github.io/Logging_1904/klagomål/A 24944-2026 FSC-klagomål.docx", "A 24944-2026")</f>
        <v/>
      </c>
      <c r="AB36">
        <f>HYPERLINK("https://klasma.github.io/Logging_1904/klagomålsmail/A 24944-2026 FSC-klagomål mail.docx", "A 24944-2026")</f>
        <v/>
      </c>
      <c r="AC36">
        <f>HYPERLINK("https://klasma.github.io/Logging_1904/tillsyn/A 24944-2026 tillsynsbegäran.docx", "A 24944-2026")</f>
        <v/>
      </c>
      <c r="AD36">
        <f>HYPERLINK("https://klasma.github.io/Logging_1904/tillsynsmail/A 24944-2026 tillsynsbegäran mail.docx", "A 24944-2026")</f>
        <v/>
      </c>
    </row>
    <row r="37" ht="15" customHeight="1">
      <c r="A37" t="inlineStr">
        <is>
          <t>A 26860-2026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46261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10.3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Kungsörn</t>
        </is>
      </c>
      <c r="W37">
        <f>HYPERLINK("https://klasma.github.io/Logging_1904/artfynd/A 26860-2026 artfynd.xlsx", "A 26860-2026")</f>
        <v/>
      </c>
      <c r="X37">
        <f>HYPERLINK("https://klasma.github.io/Logging_1904/kartor/A 26860-2026 karta.png", "A 26860-2026")</f>
        <v/>
      </c>
      <c r="Y37">
        <f>HYPERLINK("https://klasma.github.io/Logging_1904/kartor_geotiff/A 26860-2026 georefererad karta.tif", "A 26860-2026")</f>
        <v/>
      </c>
      <c r="AA37">
        <f>HYPERLINK("https://klasma.github.io/Logging_1904/klagomål/A 26860-2026 FSC-klagomål.docx", "A 26860-2026")</f>
        <v/>
      </c>
      <c r="AB37">
        <f>HYPERLINK("https://klasma.github.io/Logging_1904/klagomålsmail/A 26860-2026 FSC-klagomål mail.docx", "A 26860-2026")</f>
        <v/>
      </c>
      <c r="AC37">
        <f>HYPERLINK("https://klasma.github.io/Logging_1904/tillsyn/A 26860-2026 tillsynsbegäran.docx", "A 26860-2026")</f>
        <v/>
      </c>
      <c r="AD37">
        <f>HYPERLINK("https://klasma.github.io/Logging_1904/tillsynsmail/A 26860-2026 tillsynsbegäran mail.docx", "A 26860-2026")</f>
        <v/>
      </c>
      <c r="AE37">
        <f>HYPERLINK("https://klasma.github.io/Logging_1904/fåglar/A 26860-2026 prioriterade fågelarter.docx", "A 26860-2026")</f>
        <v/>
      </c>
    </row>
    <row r="38" ht="15" customHeight="1">
      <c r="A38" t="inlineStr">
        <is>
          <t>A 49630-2024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46261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7.3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HYPERLINK("https://klasma.github.io/Logging_1904/artfynd/A 49630-2024 artfynd.xlsx", "A 49630-2024")</f>
        <v/>
      </c>
      <c r="X38">
        <f>HYPERLINK("https://klasma.github.io/Logging_1904/kartor/A 49630-2024 karta.png", "A 49630-2024")</f>
        <v/>
      </c>
      <c r="Y38">
        <f>HYPERLINK("https://klasma.github.io/Logging_1904/kartor_geotiff/A 49630-2024 georefererad karta.tif", "A 49630-2024")</f>
        <v/>
      </c>
      <c r="AA38">
        <f>HYPERLINK("https://klasma.github.io/Logging_1904/klagomål/A 49630-2024 FSC-klagomål.docx", "A 49630-2024")</f>
        <v/>
      </c>
      <c r="AB38">
        <f>HYPERLINK("https://klasma.github.io/Logging_1904/klagomålsmail/A 49630-2024 FSC-klagomål mail.docx", "A 49630-2024")</f>
        <v/>
      </c>
      <c r="AC38">
        <f>HYPERLINK("https://klasma.github.io/Logging_1904/tillsyn/A 49630-2024 tillsynsbegäran.docx", "A 49630-2024")</f>
        <v/>
      </c>
      <c r="AD38">
        <f>HYPERLINK("https://klasma.github.io/Logging_1904/tillsynsmail/A 49630-2024 tillsynsbegäran mail.docx", "A 49630-2024")</f>
        <v/>
      </c>
    </row>
    <row r="39" ht="15" customHeight="1">
      <c r="A39" t="inlineStr">
        <is>
          <t>A 43413-2024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45568</v>
      </c>
      <c r="E39" s="1" t="n">
        <v>46261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Orange taggsvamp</t>
        </is>
      </c>
      <c r="W39">
        <f>HYPERLINK("https://klasma.github.io/Logging_1904/artfynd/A 43413-2024 artfynd.xlsx", "A 43413-2024")</f>
        <v/>
      </c>
      <c r="X39">
        <f>HYPERLINK("https://klasma.github.io/Logging_1904/kartor/A 43413-2024 karta.png", "A 43413-2024")</f>
        <v/>
      </c>
      <c r="Y39">
        <f>HYPERLINK("https://klasma.github.io/Logging_1904/kartor_geotiff/A 43413-2024 georefererad karta.tif", "A 43413-2024")</f>
        <v/>
      </c>
      <c r="AA39">
        <f>HYPERLINK("https://klasma.github.io/Logging_1904/klagomål/A 43413-2024 FSC-klagomål.docx", "A 43413-2024")</f>
        <v/>
      </c>
      <c r="AB39">
        <f>HYPERLINK("https://klasma.github.io/Logging_1904/klagomålsmail/A 43413-2024 FSC-klagomål mail.docx", "A 43413-2024")</f>
        <v/>
      </c>
      <c r="AC39">
        <f>HYPERLINK("https://klasma.github.io/Logging_1904/tillsyn/A 43413-2024 tillsynsbegäran.docx", "A 43413-2024")</f>
        <v/>
      </c>
      <c r="AD39">
        <f>HYPERLINK("https://klasma.github.io/Logging_1904/tillsynsmail/A 43413-2024 tillsynsbegäran mail.docx", "A 43413-2024")</f>
        <v/>
      </c>
    </row>
    <row r="40" ht="15" customHeight="1">
      <c r="A40" t="inlineStr">
        <is>
          <t>A 33435-2024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45519</v>
      </c>
      <c r="E40" s="1" t="n">
        <v>46261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Nattskärra</t>
        </is>
      </c>
      <c r="W40">
        <f>HYPERLINK("https://klasma.github.io/Logging_1904/artfynd/A 33435-2024 artfynd.xlsx", "A 33435-2024")</f>
        <v/>
      </c>
      <c r="X40">
        <f>HYPERLINK("https://klasma.github.io/Logging_1904/kartor/A 33435-2024 karta.png", "A 33435-2024")</f>
        <v/>
      </c>
      <c r="Y40">
        <f>HYPERLINK("https://klasma.github.io/Logging_1904/kartor_geotiff/A 33435-2024 georefererad karta.tif", "A 33435-2024")</f>
        <v/>
      </c>
      <c r="AA40">
        <f>HYPERLINK("https://klasma.github.io/Logging_1904/klagomål/A 33435-2024 FSC-klagomål.docx", "A 33435-2024")</f>
        <v/>
      </c>
      <c r="AB40">
        <f>HYPERLINK("https://klasma.github.io/Logging_1904/klagomålsmail/A 33435-2024 FSC-klagomål mail.docx", "A 33435-2024")</f>
        <v/>
      </c>
      <c r="AC40">
        <f>HYPERLINK("https://klasma.github.io/Logging_1904/tillsyn/A 33435-2024 tillsynsbegäran.docx", "A 33435-2024")</f>
        <v/>
      </c>
      <c r="AD40">
        <f>HYPERLINK("https://klasma.github.io/Logging_1904/tillsynsmail/A 33435-2024 tillsynsbegäran mail.docx", "A 33435-2024")</f>
        <v/>
      </c>
      <c r="AE40">
        <f>HYPERLINK("https://klasma.github.io/Logging_1904/fåglar/A 33435-2024 prioriterade fågelarter.docx", "A 33435-2024")</f>
        <v/>
      </c>
    </row>
    <row r="41" ht="15" customHeight="1">
      <c r="A41" t="inlineStr">
        <is>
          <t>A 34303-2026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46254</v>
      </c>
      <c r="E41" s="1" t="n">
        <v>46261</v>
      </c>
      <c r="F41" t="inlineStr">
        <is>
          <t>VÄSTMANLANDS LÄN</t>
        </is>
      </c>
      <c r="G41" t="inlineStr">
        <is>
          <t>SKINNSKATTEBERG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HYPERLINK("https://klasma.github.io/Logging_1904/artfynd/A 34303-2026 artfynd.xlsx", "A 34303-2026")</f>
        <v/>
      </c>
      <c r="X41">
        <f>HYPERLINK("https://klasma.github.io/Logging_1904/kartor/A 34303-2026 karta.png", "A 34303-2026")</f>
        <v/>
      </c>
      <c r="Y41">
        <f>HYPERLINK("https://klasma.github.io/Logging_1904/kartor_geotiff/A 34303-2026 georefererad karta.tif", "A 34303-2026")</f>
        <v/>
      </c>
      <c r="AA41">
        <f>HYPERLINK("https://klasma.github.io/Logging_1904/klagomål/A 34303-2026 FSC-klagomål.docx", "A 34303-2026")</f>
        <v/>
      </c>
      <c r="AB41">
        <f>HYPERLINK("https://klasma.github.io/Logging_1904/klagomålsmail/A 34303-2026 FSC-klagomål mail.docx", "A 34303-2026")</f>
        <v/>
      </c>
      <c r="AC41">
        <f>HYPERLINK("https://klasma.github.io/Logging_1904/tillsyn/A 34303-2026 tillsynsbegäran.docx", "A 34303-2026")</f>
        <v/>
      </c>
      <c r="AD41">
        <f>HYPERLINK("https://klasma.github.io/Logging_1904/tillsynsmail/A 34303-2026 tillsynsbegäran mail.docx", "A 34303-2026")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46261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Motaggsvamp</t>
        </is>
      </c>
      <c r="W42">
        <f>HYPERLINK("https://klasma.github.io/Logging_1904/artfynd/A 30579-2026 artfynd.xlsx", "A 30579-2026")</f>
        <v/>
      </c>
      <c r="X42">
        <f>HYPERLINK("https://klasma.github.io/Logging_1904/kartor/A 30579-2026 karta.png", "A 30579-2026")</f>
        <v/>
      </c>
      <c r="Y42">
        <f>HYPERLINK("https://klasma.github.io/Logging_1904/kartor_geotiff/A 30579-2026 georefererad karta.tif", "A 30579-2026")</f>
        <v/>
      </c>
      <c r="AA42">
        <f>HYPERLINK("https://klasma.github.io/Logging_1904/klagomål/A 30579-2026 FSC-klagomål.docx", "A 30579-2026")</f>
        <v/>
      </c>
      <c r="AB42">
        <f>HYPERLINK("https://klasma.github.io/Logging_1904/klagomålsmail/A 30579-2026 FSC-klagomål mail.docx", "A 30579-2026")</f>
        <v/>
      </c>
      <c r="AC42">
        <f>HYPERLINK("https://klasma.github.io/Logging_1904/tillsyn/A 30579-2026 tillsynsbegäran.docx", "A 30579-2026")</f>
        <v/>
      </c>
      <c r="AD42">
        <f>HYPERLINK("https://klasma.github.io/Logging_1904/tillsynsmail/A 30579-2026 tillsynsbegäran mail.docx", "A 30579-2026")</f>
        <v/>
      </c>
    </row>
    <row r="43" ht="15" customHeight="1">
      <c r="A43" t="inlineStr">
        <is>
          <t>A 12024-2023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44995</v>
      </c>
      <c r="E43" s="1" t="n">
        <v>46261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HYPERLINK("https://klasma.github.io/Logging_1904/artfynd/A 12024-2023 artfynd.xlsx", "A 12024-2023")</f>
        <v/>
      </c>
      <c r="X43">
        <f>HYPERLINK("https://klasma.github.io/Logging_1904/kartor/A 12024-2023 karta.png", "A 12024-2023")</f>
        <v/>
      </c>
      <c r="Y43">
        <f>HYPERLINK("https://klasma.github.io/Logging_1904/kartor_geotiff/A 12024-2023 georefererad karta.tif", "A 12024-2023")</f>
        <v/>
      </c>
      <c r="AA43">
        <f>HYPERLINK("https://klasma.github.io/Logging_1904/klagomål/A 12024-2023 FSC-klagomål.docx", "A 12024-2023")</f>
        <v/>
      </c>
      <c r="AB43">
        <f>HYPERLINK("https://klasma.github.io/Logging_1904/klagomålsmail/A 12024-2023 FSC-klagomål mail.docx", "A 12024-2023")</f>
        <v/>
      </c>
      <c r="AC43">
        <f>HYPERLINK("https://klasma.github.io/Logging_1904/tillsyn/A 12024-2023 tillsynsbegäran.docx", "A 12024-2023")</f>
        <v/>
      </c>
      <c r="AD43">
        <f>HYPERLINK("https://klasma.github.io/Logging_1904/tillsynsmail/A 12024-2023 tillsynsbegäran mail.docx", "A 12024-2023")</f>
        <v/>
      </c>
    </row>
    <row r="44" ht="15" customHeight="1">
      <c r="A44" t="inlineStr">
        <is>
          <t>A 19205-2024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46261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3.4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Järpe</t>
        </is>
      </c>
      <c r="W44">
        <f>HYPERLINK("https://klasma.github.io/Logging_1904/artfynd/A 19205-2024 artfynd.xlsx", "A 19205-2024")</f>
        <v/>
      </c>
      <c r="X44">
        <f>HYPERLINK("https://klasma.github.io/Logging_1904/kartor/A 19205-2024 karta.png", "A 19205-2024")</f>
        <v/>
      </c>
      <c r="Y44">
        <f>HYPERLINK("https://klasma.github.io/Logging_1904/kartor_geotiff/A 19205-2024 georefererad karta.tif", "A 19205-2024")</f>
        <v/>
      </c>
      <c r="AA44">
        <f>HYPERLINK("https://klasma.github.io/Logging_1904/klagomål/A 19205-2024 FSC-klagomål.docx", "A 19205-2024")</f>
        <v/>
      </c>
      <c r="AB44">
        <f>HYPERLINK("https://klasma.github.io/Logging_1904/klagomålsmail/A 19205-2024 FSC-klagomål mail.docx", "A 19205-2024")</f>
        <v/>
      </c>
      <c r="AC44">
        <f>HYPERLINK("https://klasma.github.io/Logging_1904/tillsyn/A 19205-2024 tillsynsbegäran.docx", "A 19205-2024")</f>
        <v/>
      </c>
      <c r="AD44">
        <f>HYPERLINK("https://klasma.github.io/Logging_1904/tillsynsmail/A 19205-2024 tillsynsbegäran mail.docx", "A 19205-2024")</f>
        <v/>
      </c>
      <c r="AE44">
        <f>HYPERLINK("https://klasma.github.io/Logging_1904/fåglar/A 19205-2024 prioriterade fågelarter.docx", "A 19205-2024")</f>
        <v/>
      </c>
    </row>
    <row r="45" ht="15" customHeight="1">
      <c r="A45" t="inlineStr">
        <is>
          <t>A 28312-2023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46261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HYPERLINK("https://klasma.github.io/Logging_1904/artfynd/A 28312-2023 artfynd.xlsx", "A 28312-2023")</f>
        <v/>
      </c>
      <c r="X45">
        <f>HYPERLINK("https://klasma.github.io/Logging_1904/kartor/A 28312-2023 karta.png", "A 28312-2023")</f>
        <v/>
      </c>
      <c r="Y45">
        <f>HYPERLINK("https://klasma.github.io/Logging_1904/kartor_geotiff/A 28312-2023 georefererad karta.tif", "A 28312-2023")</f>
        <v/>
      </c>
      <c r="AA45">
        <f>HYPERLINK("https://klasma.github.io/Logging_1904/klagomål/A 28312-2023 FSC-klagomål.docx", "A 28312-2023")</f>
        <v/>
      </c>
      <c r="AB45">
        <f>HYPERLINK("https://klasma.github.io/Logging_1904/klagomålsmail/A 28312-2023 FSC-klagomål mail.docx", "A 28312-2023")</f>
        <v/>
      </c>
      <c r="AC45">
        <f>HYPERLINK("https://klasma.github.io/Logging_1904/tillsyn/A 28312-2023 tillsynsbegäran.docx", "A 28312-2023")</f>
        <v/>
      </c>
      <c r="AD45">
        <f>HYPERLINK("https://klasma.github.io/Logging_1904/tillsynsmail/A 28312-2023 tillsynsbegäran mail.docx", "A 28312-2023")</f>
        <v/>
      </c>
    </row>
    <row r="46" ht="15" customHeight="1">
      <c r="A46" t="inlineStr">
        <is>
          <t>A 57747-2023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45246</v>
      </c>
      <c r="E46" s="1" t="n">
        <v>46261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Myopa fasciata</t>
        </is>
      </c>
      <c r="W46">
        <f>HYPERLINK("https://klasma.github.io/Logging_1904/artfynd/A 57747-2023 artfynd.xlsx", "A 57747-2023")</f>
        <v/>
      </c>
      <c r="X46">
        <f>HYPERLINK("https://klasma.github.io/Logging_1904/kartor/A 57747-2023 karta.png", "A 57747-2023")</f>
        <v/>
      </c>
      <c r="Y46">
        <f>HYPERLINK("https://klasma.github.io/Logging_1904/kartor_geotiff/A 57747-2023 georefererad karta.tif", "A 57747-2023")</f>
        <v/>
      </c>
      <c r="AA46">
        <f>HYPERLINK("https://klasma.github.io/Logging_1904/klagomål/A 57747-2023 FSC-klagomål.docx", "A 57747-2023")</f>
        <v/>
      </c>
      <c r="AB46">
        <f>HYPERLINK("https://klasma.github.io/Logging_1904/klagomålsmail/A 57747-2023 FSC-klagomål mail.docx", "A 57747-2023")</f>
        <v/>
      </c>
      <c r="AC46">
        <f>HYPERLINK("https://klasma.github.io/Logging_1904/tillsyn/A 57747-2023 tillsynsbegäran.docx", "A 57747-2023")</f>
        <v/>
      </c>
      <c r="AD46">
        <f>HYPERLINK("https://klasma.github.io/Logging_1904/tillsynsmail/A 57747-2023 tillsynsbegäran mail.docx", "A 57747-2023")</f>
        <v/>
      </c>
    </row>
    <row r="47" ht="15" customHeight="1">
      <c r="A47" t="inlineStr">
        <is>
          <t>S 3632-2024</t>
        </is>
      </c>
      <c r="B47" t="inlineStr">
        <is>
          <t>samrådsanmälan</t>
        </is>
      </c>
      <c r="C47" t="inlineStr">
        <is>
          <t>Skogsgödsling</t>
        </is>
      </c>
      <c r="D47" s="1" t="n">
        <v>45548</v>
      </c>
      <c r="E47" s="1" t="n">
        <v>46261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196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Tjäder</t>
        </is>
      </c>
      <c r="W47">
        <f>HYPERLINK("https://klasma.github.io/Logging_1904/artfynd/S 3632-2024 artfynd.xlsx", "S 3632-2024")</f>
        <v/>
      </c>
      <c r="X47">
        <f>HYPERLINK("https://klasma.github.io/Logging_1904/kartor/S 3632-2024 karta.png", "S 3632-2024")</f>
        <v/>
      </c>
      <c r="Y47">
        <f>HYPERLINK("https://klasma.github.io/Logging_1904/kartor_geotiff/S 3632-2024 georefererad karta.tif", "S 3632-2024")</f>
        <v/>
      </c>
      <c r="AA47">
        <f>HYPERLINK("https://klasma.github.io/Logging_1904/klagomål/S 3632-2024 FSC-klagomål.docx", "S 3632-2024")</f>
        <v/>
      </c>
      <c r="AB47">
        <f>HYPERLINK("https://klasma.github.io/Logging_1904/klagomålsmail/S 3632-2024 FSC-klagomål mail.docx", "S 3632-2024")</f>
        <v/>
      </c>
      <c r="AC47">
        <f>HYPERLINK("https://klasma.github.io/Logging_1904/tillsyn/S 3632-2024 tillsynsbegäran.docx", "S 3632-2024")</f>
        <v/>
      </c>
      <c r="AD47">
        <f>HYPERLINK("https://klasma.github.io/Logging_1904/tillsynsmail/S 3632-2024 tillsynsbegäran mail.docx", "S 3632-2024")</f>
        <v/>
      </c>
      <c r="AE47">
        <f>HYPERLINK("https://klasma.github.io/Logging_1904/fåglar/S 3632-2024 prioriterade fågelarter.docx", "S 3632-2024")</f>
        <v/>
      </c>
    </row>
    <row r="48" ht="15" customHeight="1">
      <c r="A48" t="inlineStr">
        <is>
          <t>S 1982-2025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45832</v>
      </c>
      <c r="E48" s="1" t="n">
        <v>46261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HYPERLINK("https://klasma.github.io/Logging_1904/artfynd/S 1982-2025 artfynd.xlsx", "S 1982-2025")</f>
        <v/>
      </c>
      <c r="X48">
        <f>HYPERLINK("https://klasma.github.io/Logging_1904/kartor/S 1982-2025 karta.png", "S 1982-2025")</f>
        <v/>
      </c>
      <c r="Y48">
        <f>HYPERLINK("https://klasma.github.io/Logging_1904/kartor_geotiff/S 1982-2025 georefererad karta.tif", "S 1982-2025")</f>
        <v/>
      </c>
      <c r="AA48">
        <f>HYPERLINK("https://klasma.github.io/Logging_1904/klagomål/S 1982-2025 FSC-klagomål.docx", "S 1982-2025")</f>
        <v/>
      </c>
      <c r="AB48">
        <f>HYPERLINK("https://klasma.github.io/Logging_1904/klagomålsmail/S 1982-2025 FSC-klagomål mail.docx", "S 1982-2025")</f>
        <v/>
      </c>
      <c r="AC48">
        <f>HYPERLINK("https://klasma.github.io/Logging_1904/tillsyn/S 1982-2025 tillsynsbegäran.docx", "S 1982-2025")</f>
        <v/>
      </c>
      <c r="AD48">
        <f>HYPERLINK("https://klasma.github.io/Logging_1904/tillsynsmail/S 1982-2025 tillsynsbegäran mail.docx", "S 1982-2025")</f>
        <v/>
      </c>
      <c r="AE48">
        <f>HYPERLINK("https://klasma.github.io/Logging_1904/fåglar/S 1982-2025 prioriterade fågelarter.docx", "S 1982-2025")</f>
        <v/>
      </c>
    </row>
    <row r="49" ht="15" customHeight="1">
      <c r="A49" t="inlineStr">
        <is>
          <t>S 870-2026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46107</v>
      </c>
      <c r="E49" s="1" t="n">
        <v>46261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Koppartaggsvamp</t>
        </is>
      </c>
      <c r="W49">
        <f>HYPERLINK("https://klasma.github.io/Logging_1904/artfynd/S 870-2026 artfynd.xlsx", "S 870-2026")</f>
        <v/>
      </c>
      <c r="X49">
        <f>HYPERLINK("https://klasma.github.io/Logging_1904/kartor/S 870-2026 karta.png", "S 870-2026")</f>
        <v/>
      </c>
      <c r="Y49">
        <f>HYPERLINK("https://klasma.github.io/Logging_1904/kartor_geotiff/S 870-2026 georefererad karta.tif", "S 870-2026")</f>
        <v/>
      </c>
      <c r="AA49">
        <f>HYPERLINK("https://klasma.github.io/Logging_1904/klagomål/S 870-2026 FSC-klagomål.docx", "S 870-2026")</f>
        <v/>
      </c>
      <c r="AB49">
        <f>HYPERLINK("https://klasma.github.io/Logging_1904/klagomålsmail/S 870-2026 FSC-klagomål mail.docx", "S 870-2026")</f>
        <v/>
      </c>
      <c r="AC49">
        <f>HYPERLINK("https://klasma.github.io/Logging_1904/tillsyn/S 870-2026 tillsynsbegäran.docx", "S 870-2026")</f>
        <v/>
      </c>
      <c r="AD49">
        <f>HYPERLINK("https://klasma.github.io/Logging_1904/tillsynsmail/S 870-2026 tillsynsbegäran mail.docx", "S 870-2026")</f>
        <v/>
      </c>
    </row>
    <row r="50" ht="15" customHeight="1">
      <c r="A50" t="inlineStr">
        <is>
          <t>A 33600-2022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44789</v>
      </c>
      <c r="E50" s="1" t="n">
        <v>46261</v>
      </c>
      <c r="F50" t="inlineStr">
        <is>
          <t>VÄSTMANLANDS LÄN</t>
        </is>
      </c>
      <c r="G50" t="inlineStr">
        <is>
          <t>SKINNSKATTEBERG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44545</v>
      </c>
      <c r="E51" s="1" t="n">
        <v>46261</v>
      </c>
      <c r="F51" t="inlineStr">
        <is>
          <t>VÄSTMANLANDS LÄN</t>
        </is>
      </c>
      <c r="G51" t="inlineStr">
        <is>
          <t>SKINNSKATTEBERG</t>
        </is>
      </c>
      <c r="I51" t="n">
        <v>7.9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53454-2022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44879</v>
      </c>
      <c r="E52" s="1" t="n">
        <v>46261</v>
      </c>
      <c r="F52" t="inlineStr">
        <is>
          <t>VÄSTMANLANDS LÄN</t>
        </is>
      </c>
      <c r="G52" t="inlineStr">
        <is>
          <t>SKINNSKATTEBERG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16860-2022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44674</v>
      </c>
      <c r="E53" s="1" t="n">
        <v>46261</v>
      </c>
      <c r="F53" t="inlineStr">
        <is>
          <t>VÄSTMANLANDS LÄN</t>
        </is>
      </c>
      <c r="G53" t="inlineStr">
        <is>
          <t>SKINNSKATTEBERG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46261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44829</v>
      </c>
      <c r="E55" s="1" t="n">
        <v>46261</v>
      </c>
      <c r="F55" t="inlineStr">
        <is>
          <t>VÄSTMANLANDS LÄN</t>
        </is>
      </c>
      <c r="G55" t="inlineStr">
        <is>
          <t>SKINNSKATTEBERG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69259-2021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46261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44545</v>
      </c>
      <c r="E57" s="1" t="n">
        <v>46261</v>
      </c>
      <c r="F57" t="inlineStr">
        <is>
          <t>VÄSTMANLANDS LÄN</t>
        </is>
      </c>
      <c r="G57" t="inlineStr">
        <is>
          <t>SKINNSKATTEBERG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27164-2022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44741</v>
      </c>
      <c r="E58" s="1" t="n">
        <v>46261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40499-2022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46261</v>
      </c>
      <c r="F59" t="inlineStr">
        <is>
          <t>VÄSTMANLANDS LÄN</t>
        </is>
      </c>
      <c r="G59" t="inlineStr">
        <is>
          <t>SKINNSKATTEBERG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71996-2021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46261</v>
      </c>
      <c r="F60" t="inlineStr">
        <is>
          <t>VÄSTMANLANDS LÄN</t>
        </is>
      </c>
      <c r="G60" t="inlineStr">
        <is>
          <t>SKINNSKATTEBERG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68540-2021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46261</v>
      </c>
      <c r="F61" t="inlineStr">
        <is>
          <t>VÄSTMANLANDS LÄN</t>
        </is>
      </c>
      <c r="G61" t="inlineStr">
        <is>
          <t>SKINNSKATTEBERG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68525-2021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46261</v>
      </c>
      <c r="F62" t="inlineStr">
        <is>
          <t>VÄSTMANLANDS LÄN</t>
        </is>
      </c>
      <c r="G62" t="inlineStr">
        <is>
          <t>SKINNSKATTEBERG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66587-2021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44519</v>
      </c>
      <c r="E63" s="1" t="n">
        <v>46261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46261</v>
      </c>
      <c r="F64" t="inlineStr">
        <is>
          <t>VÄSTMANLANDS LÄN</t>
        </is>
      </c>
      <c r="G64" t="inlineStr">
        <is>
          <t>SKINNSKATTEBERG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46261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46261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46261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46261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46261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46261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46261</v>
      </c>
      <c r="F71" t="inlineStr">
        <is>
          <t>VÄSTMANLANDS LÄN</t>
        </is>
      </c>
      <c r="G71" t="inlineStr">
        <is>
          <t>SKINNSKATTEBERG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35706-2024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46261</v>
      </c>
      <c r="F72" t="inlineStr">
        <is>
          <t>VÄSTMANLANDS LÄN</t>
        </is>
      </c>
      <c r="G72" t="inlineStr">
        <is>
          <t>SKINNSKATTEBERG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46261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46261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Kyrkan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46261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46261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16393-2024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45407</v>
      </c>
      <c r="E77" s="1" t="n">
        <v>46261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46261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46261</v>
      </c>
      <c r="F79" t="inlineStr">
        <is>
          <t>VÄSTMANLANDS LÄN</t>
        </is>
      </c>
      <c r="G79" t="inlineStr">
        <is>
          <t>SKINNSKATTEBERG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20430-2024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46261</v>
      </c>
      <c r="F80" t="inlineStr">
        <is>
          <t>VÄSTMANLANDS LÄN</t>
        </is>
      </c>
      <c r="G80" t="inlineStr">
        <is>
          <t>SKINNSKATTEBERG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46261</v>
      </c>
      <c r="F81" t="inlineStr">
        <is>
          <t>VÄSTMANLANDS LÄN</t>
        </is>
      </c>
      <c r="G81" t="inlineStr">
        <is>
          <t>SKINNSKATTEBERG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45447</v>
      </c>
      <c r="E82" s="1" t="n">
        <v>46261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16729-2024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45410</v>
      </c>
      <c r="E83" s="1" t="n">
        <v>46261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46261</v>
      </c>
      <c r="F84" t="inlineStr">
        <is>
          <t>VÄSTMANLANDS LÄN</t>
        </is>
      </c>
      <c r="G84" t="inlineStr">
        <is>
          <t>SKINNSKATTEBERG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45480</v>
      </c>
      <c r="E85" s="1" t="n">
        <v>46261</v>
      </c>
      <c r="F85" t="inlineStr">
        <is>
          <t>VÄSTMANLANDS LÄN</t>
        </is>
      </c>
      <c r="G85" t="inlineStr">
        <is>
          <t>SKINNSKATTEBERG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22285-2025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45786</v>
      </c>
      <c r="E86" s="1" t="n">
        <v>46261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45443</v>
      </c>
      <c r="E87" s="1" t="n">
        <v>46261</v>
      </c>
      <c r="F87" t="inlineStr">
        <is>
          <t>VÄSTMANLANDS LÄN</t>
        </is>
      </c>
      <c r="G87" t="inlineStr">
        <is>
          <t>SKINNSKATTEBERG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45476</v>
      </c>
      <c r="E88" s="1" t="n">
        <v>46261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35051-2024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45527</v>
      </c>
      <c r="E89" s="1" t="n">
        <v>46261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27653-2023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46261</v>
      </c>
      <c r="F90" t="inlineStr">
        <is>
          <t>VÄSTMANLANDS LÄN</t>
        </is>
      </c>
      <c r="G90" t="inlineStr">
        <is>
          <t>SKINNSKATTEBERG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46261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46261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46261</v>
      </c>
      <c r="F93" t="inlineStr">
        <is>
          <t>VÄSTMANLANDS LÄN</t>
        </is>
      </c>
      <c r="G93" t="inlineStr">
        <is>
          <t>SKINNSKATTEBERG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46261</v>
      </c>
      <c r="F94" t="inlineStr">
        <is>
          <t>VÄSTMANLANDS LÄN</t>
        </is>
      </c>
      <c r="G94" t="inlineStr">
        <is>
          <t>SKINNSKATTEBERG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25846-2025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45804</v>
      </c>
      <c r="E95" s="1" t="n">
        <v>46261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46261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5704-2026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46051</v>
      </c>
      <c r="E97" s="1" t="n">
        <v>46261</v>
      </c>
      <c r="F97" t="inlineStr">
        <is>
          <t>VÄSTMANLANDS LÄN</t>
        </is>
      </c>
      <c r="G97" t="inlineStr">
        <is>
          <t>SKINNSKATTEBERG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28940-2024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45480</v>
      </c>
      <c r="E98" s="1" t="n">
        <v>46261</v>
      </c>
      <c r="F98" t="inlineStr">
        <is>
          <t>VÄSTMANLANDS LÄN</t>
        </is>
      </c>
      <c r="G98" t="inlineStr">
        <is>
          <t>SKINNSKATTEBERG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5693-2026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46051</v>
      </c>
      <c r="E99" s="1" t="n">
        <v>46261</v>
      </c>
      <c r="F99" t="inlineStr">
        <is>
          <t>VÄSTMANLANDS LÄN</t>
        </is>
      </c>
      <c r="G99" t="inlineStr">
        <is>
          <t>SKINNSKATTEBERG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46051</v>
      </c>
      <c r="E100" s="1" t="n">
        <v>46261</v>
      </c>
      <c r="F100" t="inlineStr">
        <is>
          <t>VÄSTMANLANDS LÄN</t>
        </is>
      </c>
      <c r="G100" t="inlineStr">
        <is>
          <t>SKINNSKATTEBERG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40782-2025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45897</v>
      </c>
      <c r="E101" s="1" t="n">
        <v>46261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6601-2026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46261</v>
      </c>
      <c r="F102" t="inlineStr">
        <is>
          <t>VÄSTMANLANDS LÄN</t>
        </is>
      </c>
      <c r="G102" t="inlineStr">
        <is>
          <t>SKINNSKATTEBERG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40783-2025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46261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46261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46261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46261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40776-2025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46261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45820</v>
      </c>
      <c r="E108" s="1" t="n">
        <v>46261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28831-2025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45820</v>
      </c>
      <c r="E109" s="1" t="n">
        <v>46261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29808-2025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45825</v>
      </c>
      <c r="E110" s="1" t="n">
        <v>46261</v>
      </c>
      <c r="F110" t="inlineStr">
        <is>
          <t>VÄSTMANLANDS LÄN</t>
        </is>
      </c>
      <c r="G110" t="inlineStr">
        <is>
          <t>SKINNSKATTEBERG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29810-2025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45825</v>
      </c>
      <c r="E111" s="1" t="n">
        <v>46261</v>
      </c>
      <c r="F111" t="inlineStr">
        <is>
          <t>VÄSTMANLANDS LÄN</t>
        </is>
      </c>
      <c r="G111" t="inlineStr">
        <is>
          <t>SKINNSKATTEBERG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46261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30439-2025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45827</v>
      </c>
      <c r="E113" s="1" t="n">
        <v>46261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46261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46261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46261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45832</v>
      </c>
      <c r="E117" s="1" t="n">
        <v>46261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45832</v>
      </c>
      <c r="E118" s="1" t="n">
        <v>46261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46261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44184-2025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45915</v>
      </c>
      <c r="E120" s="1" t="n">
        <v>46261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31234-2025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45832</v>
      </c>
      <c r="E121" s="1" t="n">
        <v>46261</v>
      </c>
      <c r="F121" t="inlineStr">
        <is>
          <t>VÄSTMANLANDS LÄN</t>
        </is>
      </c>
      <c r="G121" t="inlineStr">
        <is>
          <t>SKINNSKATTEBERG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41581-2025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46261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46261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46261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46261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46261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46261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45574</v>
      </c>
      <c r="E128" s="1" t="n">
        <v>46261</v>
      </c>
      <c r="F128" t="inlineStr">
        <is>
          <t>VÄSTMANLANDS LÄN</t>
        </is>
      </c>
      <c r="G128" t="inlineStr">
        <is>
          <t>SKINNSKATTEBERG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44694-2024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46261</v>
      </c>
      <c r="F129" t="inlineStr">
        <is>
          <t>VÄSTMANLANDS LÄN</t>
        </is>
      </c>
      <c r="G129" t="inlineStr">
        <is>
          <t>SKINNSKATTEBERG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46261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45931</v>
      </c>
      <c r="E131" s="1" t="n">
        <v>46261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45848</v>
      </c>
      <c r="E132" s="1" t="n">
        <v>46261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46261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55428-2021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44475</v>
      </c>
      <c r="E134" s="1" t="n">
        <v>46261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45853</v>
      </c>
      <c r="E135" s="1" t="n">
        <v>46261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35205-2025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45853</v>
      </c>
      <c r="E136" s="1" t="n">
        <v>46261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46261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46261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51028-2025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45947</v>
      </c>
      <c r="E139" s="1" t="n">
        <v>46261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46261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46261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51026-2025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45947</v>
      </c>
      <c r="E142" s="1" t="n">
        <v>46261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15732-2026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46107</v>
      </c>
      <c r="E143" s="1" t="n">
        <v>46261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46261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46107</v>
      </c>
      <c r="E145" s="1" t="n">
        <v>46261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16136-2026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46108</v>
      </c>
      <c r="E146" s="1" t="n">
        <v>46261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15955-2026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46108</v>
      </c>
      <c r="E147" s="1" t="n">
        <v>46261</v>
      </c>
      <c r="F147" t="inlineStr">
        <is>
          <t>VÄSTMANLANDS LÄN</t>
        </is>
      </c>
      <c r="G147" t="inlineStr">
        <is>
          <t>SKINNSKATTEBERG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46261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46261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46261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45880</v>
      </c>
      <c r="E151" s="1" t="n">
        <v>46261</v>
      </c>
      <c r="F151" t="inlineStr">
        <is>
          <t>VÄSTMANLANDS LÄN</t>
        </is>
      </c>
      <c r="G151" t="inlineStr">
        <is>
          <t>SKINNSKATTEBERG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46261</v>
      </c>
      <c r="F152" t="inlineStr">
        <is>
          <t>VÄSTMANLANDS LÄN</t>
        </is>
      </c>
      <c r="G152" t="inlineStr">
        <is>
          <t>SKINNSKATTEBERG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17098-2026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46114</v>
      </c>
      <c r="E153" s="1" t="n">
        <v>46261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45054</v>
      </c>
      <c r="E154" s="1" t="n">
        <v>46261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46119</v>
      </c>
      <c r="E155" s="1" t="n">
        <v>46261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46261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46261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46122</v>
      </c>
      <c r="E158" s="1" t="n">
        <v>46261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46261</v>
      </c>
      <c r="F159" t="inlineStr">
        <is>
          <t>VÄSTMANLANDS LÄN</t>
        </is>
      </c>
      <c r="G159" t="inlineStr">
        <is>
          <t>SKINNSKATTEBERG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45959</v>
      </c>
      <c r="E160" s="1" t="n">
        <v>46261</v>
      </c>
      <c r="F160" t="inlineStr">
        <is>
          <t>VÄSTMANLANDS LÄN</t>
        </is>
      </c>
      <c r="G160" t="inlineStr">
        <is>
          <t>SKINNSKATTEBERG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16088-2024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45406</v>
      </c>
      <c r="E161" s="1" t="n">
        <v>46261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46261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45216</v>
      </c>
      <c r="E163" s="1" t="n">
        <v>46261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46261</v>
      </c>
      <c r="F164" t="inlineStr">
        <is>
          <t>VÄSTMANLANDS LÄN</t>
        </is>
      </c>
      <c r="G164" t="inlineStr">
        <is>
          <t>SKINNSKATTEBERG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46261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46261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45554</v>
      </c>
      <c r="E167" s="1" t="n">
        <v>46261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46261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19582-2026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46134</v>
      </c>
      <c r="E169" s="1" t="n">
        <v>46261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46261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46261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19541-2026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46134</v>
      </c>
      <c r="E172" s="1" t="n">
        <v>46261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19540-2026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46134</v>
      </c>
      <c r="E173" s="1" t="n">
        <v>46261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31302-2024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45504</v>
      </c>
      <c r="E174" s="1" t="n">
        <v>46261</v>
      </c>
      <c r="F174" t="inlineStr">
        <is>
          <t>VÄSTMANLANDS LÄN</t>
        </is>
      </c>
      <c r="G174" t="inlineStr">
        <is>
          <t>SKINNSKATTEBERG</t>
        </is>
      </c>
      <c r="I174" t="n">
        <v>17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46261</v>
      </c>
      <c r="F175" t="inlineStr">
        <is>
          <t>VÄSTMANLANDS LÄN</t>
        </is>
      </c>
      <c r="G175" t="inlineStr">
        <is>
          <t>SKINNSKATTEBERG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45555</v>
      </c>
      <c r="E176" s="1" t="n">
        <v>46261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46261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46261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46261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19943-2026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46261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56465-2025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45975</v>
      </c>
      <c r="E181" s="1" t="n">
        <v>46261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57282-2025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46261</v>
      </c>
      <c r="F182" t="inlineStr">
        <is>
          <t>VÄSTMANLANDS LÄN</t>
        </is>
      </c>
      <c r="G182" t="inlineStr">
        <is>
          <t>SKINNSKATTEBERG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45987</v>
      </c>
      <c r="E183" s="1" t="n">
        <v>46261</v>
      </c>
      <c r="F183" t="inlineStr">
        <is>
          <t>VÄSTMANLANDS LÄN</t>
        </is>
      </c>
      <c r="G183" t="inlineStr">
        <is>
          <t>SKINNSKATTEBERG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46261</v>
      </c>
      <c r="F184" t="inlineStr">
        <is>
          <t>VÄSTMANLANDS LÄN</t>
        </is>
      </c>
      <c r="G184" t="inlineStr">
        <is>
          <t>SKINNSKATTEBERG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46261</v>
      </c>
      <c r="F185" t="inlineStr">
        <is>
          <t>VÄSTMANLANDS LÄN</t>
        </is>
      </c>
      <c r="G185" t="inlineStr">
        <is>
          <t>SKINNSKATTEBERG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20556-2026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46261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20563-2026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46140</v>
      </c>
      <c r="E187" s="1" t="n">
        <v>46261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46261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46261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45447</v>
      </c>
      <c r="E190" s="1" t="n">
        <v>46261</v>
      </c>
      <c r="F190" t="inlineStr">
        <is>
          <t>VÄSTMANLANDS LÄN</t>
        </is>
      </c>
      <c r="G190" t="inlineStr">
        <is>
          <t>SKINNSKATTEBERG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44967</v>
      </c>
      <c r="E191" s="1" t="n">
        <v>46261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46261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46261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46261</v>
      </c>
      <c r="F194" t="inlineStr">
        <is>
          <t>VÄSTMANLANDS LÄN</t>
        </is>
      </c>
      <c r="G194" t="inlineStr">
        <is>
          <t>SKINNSKATTEBERG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46261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46261</v>
      </c>
      <c r="F196" t="inlineStr">
        <is>
          <t>VÄSTMANLANDS LÄN</t>
        </is>
      </c>
      <c r="G196" t="inlineStr">
        <is>
          <t>SKINNSKATTEBERG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46142</v>
      </c>
      <c r="E197" s="1" t="n">
        <v>46261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46141</v>
      </c>
      <c r="E198" s="1" t="n">
        <v>46261</v>
      </c>
      <c r="F198" t="inlineStr">
        <is>
          <t>VÄSTMANLANDS LÄN</t>
        </is>
      </c>
      <c r="G198" t="inlineStr">
        <is>
          <t>SKINNSKATTEBERG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46261</v>
      </c>
      <c r="F199" t="inlineStr">
        <is>
          <t>VÄSTMANLANDS LÄN</t>
        </is>
      </c>
      <c r="G199" t="inlineStr">
        <is>
          <t>SKINNSKATTEBERG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47137-2024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46261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46261</v>
      </c>
      <c r="F201" t="inlineStr">
        <is>
          <t>VÄSTMANLANDS LÄN</t>
        </is>
      </c>
      <c r="G201" t="inlineStr">
        <is>
          <t>SKINNSKATTEBERG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20850-2026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46261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46261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46142</v>
      </c>
      <c r="E204" s="1" t="n">
        <v>46261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46261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20856-2026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46142</v>
      </c>
      <c r="E206" s="1" t="n">
        <v>46261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46142</v>
      </c>
      <c r="E207" s="1" t="n">
        <v>46261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45156</v>
      </c>
      <c r="E208" s="1" t="n">
        <v>46261</v>
      </c>
      <c r="F208" t="inlineStr">
        <is>
          <t>VÄSTMANLANDS LÄN</t>
        </is>
      </c>
      <c r="G208" t="inlineStr">
        <is>
          <t>SKINNSKATTEBERG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21848-2026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46261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46150</v>
      </c>
      <c r="E210" s="1" t="n">
        <v>46261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45558</v>
      </c>
      <c r="E211" s="1" t="n">
        <v>46261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46261</v>
      </c>
      <c r="F212" t="inlineStr">
        <is>
          <t>VÄSTMANLANDS LÄN</t>
        </is>
      </c>
      <c r="G212" t="inlineStr">
        <is>
          <t>SKINNSKATTEBERG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15184-2025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45744</v>
      </c>
      <c r="E213" s="1" t="n">
        <v>46261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22779-2026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46157</v>
      </c>
      <c r="E214" s="1" t="n">
        <v>46261</v>
      </c>
      <c r="F214" t="inlineStr">
        <is>
          <t>VÄSTMANLANDS LÄN</t>
        </is>
      </c>
      <c r="G214" t="inlineStr">
        <is>
          <t>SKINNSKATTEBERG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45609</v>
      </c>
      <c r="E215" s="1" t="n">
        <v>46261</v>
      </c>
      <c r="F215" t="inlineStr">
        <is>
          <t>VÄSTMANLANDS LÄN</t>
        </is>
      </c>
      <c r="G215" t="inlineStr">
        <is>
          <t>SKINNSKATTEBERG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46261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46261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46261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46163</v>
      </c>
      <c r="E219" s="1" t="n">
        <v>46261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46261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46163</v>
      </c>
      <c r="E221" s="1" t="n">
        <v>46261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46261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46261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52696-2024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45610</v>
      </c>
      <c r="E224" s="1" t="n">
        <v>46261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45537</v>
      </c>
      <c r="E225" s="1" t="n">
        <v>46261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46261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46261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46261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46261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45177</v>
      </c>
      <c r="E230" s="1" t="n">
        <v>46261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44728</v>
      </c>
      <c r="E231" s="1" t="n">
        <v>46261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30988-2022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44768</v>
      </c>
      <c r="E232" s="1" t="n">
        <v>46261</v>
      </c>
      <c r="F232" t="inlineStr">
        <is>
          <t>VÄSTMANLANDS LÄN</t>
        </is>
      </c>
      <c r="G232" t="inlineStr">
        <is>
          <t>SKINNSKATTEBERG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46261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45531</v>
      </c>
      <c r="E234" s="1" t="n">
        <v>46261</v>
      </c>
      <c r="F234" t="inlineStr">
        <is>
          <t>VÄSTMANLANDS LÄN</t>
        </is>
      </c>
      <c r="G234" t="inlineStr">
        <is>
          <t>SKINNSKATTEBERG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46177</v>
      </c>
      <c r="E235" s="1" t="n">
        <v>46261</v>
      </c>
      <c r="F235" t="inlineStr">
        <is>
          <t>VÄSTMANLANDS LÄN</t>
        </is>
      </c>
      <c r="G235" t="inlineStr">
        <is>
          <t>SKINNSKATTEBERG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46261</v>
      </c>
      <c r="F236" t="inlineStr">
        <is>
          <t>VÄSTMANLANDS LÄN</t>
        </is>
      </c>
      <c r="G236" t="inlineStr">
        <is>
          <t>SKINNSKATTEBERG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46261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7.5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25753-2026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46261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46261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45754</v>
      </c>
      <c r="E240" s="1" t="n">
        <v>46261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46261</v>
      </c>
      <c r="F241" t="inlineStr">
        <is>
          <t>VÄSTMANLANDS LÄN</t>
        </is>
      </c>
      <c r="G241" t="inlineStr">
        <is>
          <t>SKINNSKATTEBERG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26356-2026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46182</v>
      </c>
      <c r="E242" s="1" t="n">
        <v>46261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46182</v>
      </c>
      <c r="E243" s="1" t="n">
        <v>46261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29708-2024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45485</v>
      </c>
      <c r="E244" s="1" t="n">
        <v>46261</v>
      </c>
      <c r="F244" t="inlineStr">
        <is>
          <t>VÄSTMANLANDS LÄN</t>
        </is>
      </c>
      <c r="G244" t="inlineStr">
        <is>
          <t>SKINNSKATTEBERG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46261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46185</v>
      </c>
      <c r="E246" s="1" t="n">
        <v>46261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46185</v>
      </c>
      <c r="E247" s="1" t="n">
        <v>46261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45686</v>
      </c>
      <c r="E248" s="1" t="n">
        <v>46261</v>
      </c>
      <c r="F248" t="inlineStr">
        <is>
          <t>VÄSTMANLANDS LÄN</t>
        </is>
      </c>
      <c r="G248" t="inlineStr">
        <is>
          <t>SKINNSKATTEBERG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45720</v>
      </c>
      <c r="E249" s="1" t="n">
        <v>46261</v>
      </c>
      <c r="F249" t="inlineStr">
        <is>
          <t>VÄSTMANLANDS LÄN</t>
        </is>
      </c>
      <c r="G249" t="inlineStr">
        <is>
          <t>SKINNSKATTEBERG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46261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46261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46190</v>
      </c>
      <c r="E252" s="1" t="n">
        <v>46261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46261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46190</v>
      </c>
      <c r="E254" s="1" t="n">
        <v>46261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32217-2026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46237</v>
      </c>
      <c r="E255" s="1" t="n">
        <v>46261</v>
      </c>
      <c r="F255" t="inlineStr">
        <is>
          <t>VÄSTMANLANDS LÄN</t>
        </is>
      </c>
      <c r="G255" t="inlineStr">
        <is>
          <t>SKINNSKATTEBERG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46261</v>
      </c>
      <c r="F256" t="inlineStr">
        <is>
          <t>VÄSTMANLANDS LÄN</t>
        </is>
      </c>
      <c r="G256" t="inlineStr">
        <is>
          <t>SKINNSKATTEBERG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53183-2021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44468</v>
      </c>
      <c r="E257" s="1" t="n">
        <v>46261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46261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28458-2026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46197</v>
      </c>
      <c r="E259" s="1" t="n">
        <v>46261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52600-2021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44466</v>
      </c>
      <c r="E260" s="1" t="n">
        <v>46261</v>
      </c>
      <c r="F260" t="inlineStr">
        <is>
          <t>VÄSTMANLANDS LÄN</t>
        </is>
      </c>
      <c r="G260" t="inlineStr">
        <is>
          <t>SKINNSKATTEBERG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16089-2024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45406</v>
      </c>
      <c r="E261" s="1" t="n">
        <v>46261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45686</v>
      </c>
      <c r="E262" s="1" t="n">
        <v>46261</v>
      </c>
      <c r="F262" t="inlineStr">
        <is>
          <t>VÄSTMANLANDS LÄN</t>
        </is>
      </c>
      <c r="G262" t="inlineStr">
        <is>
          <t>SKINNSKATTEBERG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28463-2026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46261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14189-2024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45393</v>
      </c>
      <c r="E264" s="1" t="n">
        <v>46261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61424-2023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45264</v>
      </c>
      <c r="E265" s="1" t="n">
        <v>46261</v>
      </c>
      <c r="F265" t="inlineStr">
        <is>
          <t>VÄSTMANLANDS LÄN</t>
        </is>
      </c>
      <c r="G265" t="inlineStr">
        <is>
          <t>SKINNSKATTEBERG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29091-2026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46200</v>
      </c>
      <c r="E266" s="1" t="n">
        <v>46261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29021-2026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46199</v>
      </c>
      <c r="E267" s="1" t="n">
        <v>46261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45063</v>
      </c>
      <c r="E268" s="1" t="n">
        <v>46261</v>
      </c>
      <c r="F268" t="inlineStr">
        <is>
          <t>VÄSTMANLANDS LÄN</t>
        </is>
      </c>
      <c r="G268" t="inlineStr">
        <is>
          <t>SKINNSKATTEBERG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46200</v>
      </c>
      <c r="E269" s="1" t="n">
        <v>46261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32859-2026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46244</v>
      </c>
      <c r="E270" s="1" t="n">
        <v>46261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8.300000000000001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46261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46244</v>
      </c>
      <c r="E272" s="1" t="n">
        <v>46261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46261</v>
      </c>
      <c r="F273" t="inlineStr">
        <is>
          <t>VÄSTMANLANDS LÄN</t>
        </is>
      </c>
      <c r="G273" t="inlineStr">
        <is>
          <t>SKINNSKATTEBERG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46244</v>
      </c>
      <c r="E274" s="1" t="n">
        <v>46261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46244</v>
      </c>
      <c r="E275" s="1" t="n">
        <v>46261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46261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33396-2023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45128</v>
      </c>
      <c r="E277" s="1" t="n">
        <v>46261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33454-2026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46247</v>
      </c>
      <c r="E278" s="1" t="n">
        <v>46261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45375</v>
      </c>
      <c r="E279" s="1" t="n">
        <v>46261</v>
      </c>
      <c r="F279" t="inlineStr">
        <is>
          <t>VÄSTMANLANDS LÄN</t>
        </is>
      </c>
      <c r="G279" t="inlineStr">
        <is>
          <t>SKINNSKATTEBERG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46248</v>
      </c>
      <c r="E280" s="1" t="n">
        <v>46261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29026-2026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46199</v>
      </c>
      <c r="E281" s="1" t="n">
        <v>46261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46261</v>
      </c>
      <c r="F282" t="inlineStr">
        <is>
          <t>VÄSTMANLANDS LÄN</t>
        </is>
      </c>
      <c r="G282" t="inlineStr">
        <is>
          <t>SKINNSKATTEBERG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45568</v>
      </c>
      <c r="E283" s="1" t="n">
        <v>46261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44936</v>
      </c>
      <c r="E284" s="1" t="n">
        <v>46261</v>
      </c>
      <c r="F284" t="inlineStr">
        <is>
          <t>VÄSTMANLANDS LÄN</t>
        </is>
      </c>
      <c r="G284" t="inlineStr">
        <is>
          <t>SKINNSKATTEBERG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35059-2024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45527</v>
      </c>
      <c r="E285" s="1" t="n">
        <v>46261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45434</v>
      </c>
      <c r="E286" s="1" t="n">
        <v>46261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46210</v>
      </c>
      <c r="E287" s="1" t="n">
        <v>46261</v>
      </c>
      <c r="F287" t="inlineStr">
        <is>
          <t>VÄSTMANLANDS LÄN</t>
        </is>
      </c>
      <c r="G287" t="inlineStr">
        <is>
          <t>SKINNSKATTEBERG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46253</v>
      </c>
      <c r="E288" s="1" t="n">
        <v>46261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32205-2026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46237</v>
      </c>
      <c r="E289" s="1" t="n">
        <v>46261</v>
      </c>
      <c r="F289" t="inlineStr">
        <is>
          <t>VÄSTMANLANDS LÄN</t>
        </is>
      </c>
      <c r="G289" t="inlineStr">
        <is>
          <t>SKINNSKATTEBERG</t>
        </is>
      </c>
      <c r="I289" t="n">
        <v>12.2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46261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66584-2021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44519</v>
      </c>
      <c r="E291" s="1" t="n">
        <v>46261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46260</v>
      </c>
      <c r="E292" s="1" t="n">
        <v>46261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35168-2026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46260</v>
      </c>
      <c r="E293" s="1" t="n">
        <v>46261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44995</v>
      </c>
      <c r="E294" s="1" t="n">
        <v>46261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42425-2023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46261</v>
      </c>
      <c r="F295" t="inlineStr">
        <is>
          <t>VÄSTMANLANDS LÄN</t>
        </is>
      </c>
      <c r="G295" t="inlineStr">
        <is>
          <t>SKINNSKATTEBERG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45401</v>
      </c>
      <c r="E296" s="1" t="n">
        <v>46261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18161-2024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45420</v>
      </c>
      <c r="E297" s="1" t="n">
        <v>46261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45014</v>
      </c>
      <c r="E298" s="1" t="n">
        <v>46261</v>
      </c>
      <c r="F298" t="inlineStr">
        <is>
          <t>VÄSTMANLANDS LÄN</t>
        </is>
      </c>
      <c r="G298" t="inlineStr">
        <is>
          <t>SKINNSKATTEBERG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14736-2023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45014</v>
      </c>
      <c r="E299" s="1" t="n">
        <v>46261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46261</v>
      </c>
      <c r="F300" t="inlineStr">
        <is>
          <t>VÄSTMANLANDS LÄN</t>
        </is>
      </c>
      <c r="G300" t="inlineStr">
        <is>
          <t>SKINNSKATTEBERG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46261</v>
      </c>
      <c r="F301" t="inlineStr">
        <is>
          <t>VÄSTMANLANDS LÄN</t>
        </is>
      </c>
      <c r="G301" t="inlineStr">
        <is>
          <t>SKINNSKATTEBERG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45407</v>
      </c>
      <c r="E302" s="1" t="n">
        <v>46261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46261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31268-2023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45114</v>
      </c>
      <c r="E304" s="1" t="n">
        <v>46261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45770</v>
      </c>
      <c r="E305" s="1" t="n">
        <v>46261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41332-2023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46261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45085</v>
      </c>
      <c r="E307" s="1" t="n">
        <v>46261</v>
      </c>
      <c r="F307" t="inlineStr">
        <is>
          <t>VÄSTMANLANDS LÄN</t>
        </is>
      </c>
      <c r="G307" t="inlineStr">
        <is>
          <t>SKINNSKATTEBERG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46261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24793-2022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44728</v>
      </c>
      <c r="E309" s="1" t="n">
        <v>46261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45407</v>
      </c>
      <c r="E310" s="1" t="n">
        <v>46261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46261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46261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40320-2023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46261</v>
      </c>
      <c r="F313" t="inlineStr">
        <is>
          <t>VÄSTMANLANDS LÄN</t>
        </is>
      </c>
      <c r="G313" t="inlineStr">
        <is>
          <t>SKINNSKATTEBERG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45420</v>
      </c>
      <c r="E314" s="1" t="n">
        <v>46261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45170</v>
      </c>
      <c r="E315" s="1" t="n">
        <v>46261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46261</v>
      </c>
      <c r="F316" t="inlineStr">
        <is>
          <t>VÄSTMANLANDS LÄN</t>
        </is>
      </c>
      <c r="G316" t="inlineStr">
        <is>
          <t>SKINNSKATTEBERG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46261</v>
      </c>
      <c r="F317" t="inlineStr">
        <is>
          <t>VÄSTMANLANDS LÄN</t>
        </is>
      </c>
      <c r="G317" t="inlineStr">
        <is>
          <t>SKINNSKATTEBERG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46261</v>
      </c>
      <c r="F318" t="inlineStr">
        <is>
          <t>VÄSTMANLANDS LÄN</t>
        </is>
      </c>
      <c r="G318" t="inlineStr">
        <is>
          <t>SKINNSKATTEBERG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55210-2023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46261</v>
      </c>
      <c r="F319" t="inlineStr">
        <is>
          <t>VÄSTMANLANDS LÄN</t>
        </is>
      </c>
      <c r="G319" t="inlineStr">
        <is>
          <t>SKINNSKATTEBERG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46261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Kyrkan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61181-2021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44498</v>
      </c>
      <c r="E321" s="1" t="n">
        <v>46261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7.5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35831-2024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45532</v>
      </c>
      <c r="E322" s="1" t="n">
        <v>46261</v>
      </c>
      <c r="F322" t="inlineStr">
        <is>
          <t>VÄSTMANLANDS LÄN</t>
        </is>
      </c>
      <c r="G322" t="inlineStr">
        <is>
          <t>SKINNSKATTEBERG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35834-2024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45532</v>
      </c>
      <c r="E323" s="1" t="n">
        <v>46261</v>
      </c>
      <c r="F323" t="inlineStr">
        <is>
          <t>VÄSTMANLANDS LÄN</t>
        </is>
      </c>
      <c r="G323" t="inlineStr">
        <is>
          <t>SKINNSKATTEBERG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51508-2021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44462</v>
      </c>
      <c r="E324" s="1" t="n">
        <v>46261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45063</v>
      </c>
      <c r="E325" s="1" t="n">
        <v>46261</v>
      </c>
      <c r="F325" t="inlineStr">
        <is>
          <t>VÄSTMANLANDS LÄN</t>
        </is>
      </c>
      <c r="G325" t="inlineStr">
        <is>
          <t>SKINNSKATTEBERG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21579-2023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45063</v>
      </c>
      <c r="E326" s="1" t="n">
        <v>46261</v>
      </c>
      <c r="F326" t="inlineStr">
        <is>
          <t>VÄSTMANLANDS LÄN</t>
        </is>
      </c>
      <c r="G326" t="inlineStr">
        <is>
          <t>SKINNSKATTEBERG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45532</v>
      </c>
      <c r="E327" s="1" t="n">
        <v>46261</v>
      </c>
      <c r="F327" t="inlineStr">
        <is>
          <t>VÄSTMANLANDS LÄN</t>
        </is>
      </c>
      <c r="G327" t="inlineStr">
        <is>
          <t>SKINNSKATTEBERG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48825-2022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44859</v>
      </c>
      <c r="E328" s="1" t="n">
        <v>46261</v>
      </c>
      <c r="F328" t="inlineStr">
        <is>
          <t>VÄSTMANLANDS LÄN</t>
        </is>
      </c>
      <c r="G328" t="inlineStr">
        <is>
          <t>SKINNSKATTEBERG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53142-2021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44468</v>
      </c>
      <c r="E329" s="1" t="n">
        <v>46261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53145-2021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44468</v>
      </c>
      <c r="E330" s="1" t="n">
        <v>46261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45040</v>
      </c>
      <c r="E331" s="1" t="n">
        <v>46261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11826-2024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45376</v>
      </c>
      <c r="E332" s="1" t="n">
        <v>46261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45058</v>
      </c>
      <c r="E333" s="1" t="n">
        <v>46261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45048</v>
      </c>
      <c r="E334" s="1" t="n">
        <v>46261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58317-2023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46261</v>
      </c>
      <c r="F335" t="inlineStr">
        <is>
          <t>VÄSTMANLANDS LÄN</t>
        </is>
      </c>
      <c r="G335" t="inlineStr">
        <is>
          <t>SKINNSKATTEBERG</t>
        </is>
      </c>
      <c r="I335" t="n">
        <v>10.1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7103-2022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44603</v>
      </c>
      <c r="E336" s="1" t="n">
        <v>46261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Kyrkan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45425</v>
      </c>
      <c r="E337" s="1" t="n">
        <v>46261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46261</v>
      </c>
      <c r="F338" t="inlineStr">
        <is>
          <t>VÄSTMANLANDS LÄN</t>
        </is>
      </c>
      <c r="G338" t="inlineStr">
        <is>
          <t>SKINNSKATTEBERG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46261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13385-2024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45387</v>
      </c>
      <c r="E340" s="1" t="n">
        <v>46261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45114</v>
      </c>
      <c r="E341" s="1" t="n">
        <v>46261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46261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13713-2024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45390</v>
      </c>
      <c r="E343" s="1" t="n">
        <v>46261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53880-2021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44469</v>
      </c>
      <c r="E344" s="1" t="n">
        <v>46261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25843-2023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45090</v>
      </c>
      <c r="E345" s="1" t="n">
        <v>46261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46261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45762</v>
      </c>
      <c r="E347" s="1" t="n">
        <v>46261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59578-2024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46261</v>
      </c>
      <c r="F348" t="inlineStr">
        <is>
          <t>VÄSTMANLANDS LÄN</t>
        </is>
      </c>
      <c r="G348" t="inlineStr">
        <is>
          <t>SKINNSKATTEBERG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45006</v>
      </c>
      <c r="E349" s="1" t="n">
        <v>46261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Allmännings- och besparingsskogar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45056</v>
      </c>
      <c r="E350" s="1" t="n">
        <v>46261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33789-2024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46261</v>
      </c>
      <c r="F351" t="inlineStr">
        <is>
          <t>VÄSTMANLANDS LÄN</t>
        </is>
      </c>
      <c r="G351" t="inlineStr">
        <is>
          <t>SKINNSKATTEBERG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54657-2022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44883</v>
      </c>
      <c r="E352" s="1" t="n">
        <v>46261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36288-2022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44803</v>
      </c>
      <c r="E353" s="1" t="n">
        <v>46261</v>
      </c>
      <c r="F353" t="inlineStr">
        <is>
          <t>VÄSTMANLANDS LÄN</t>
        </is>
      </c>
      <c r="G353" t="inlineStr">
        <is>
          <t>SKINNSKATTEBERG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60185-2022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44910</v>
      </c>
      <c r="E354" s="1" t="n">
        <v>46261</v>
      </c>
      <c r="F354" t="inlineStr">
        <is>
          <t>VÄSTMANLANDS LÄN</t>
        </is>
      </c>
      <c r="G354" t="inlineStr">
        <is>
          <t>SKINNSKATTEBERG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33900-2023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45134</v>
      </c>
      <c r="E355" s="1" t="n">
        <v>46261</v>
      </c>
      <c r="F355" t="inlineStr">
        <is>
          <t>VÄSTMANLANDS LÄN</t>
        </is>
      </c>
      <c r="G355" t="inlineStr">
        <is>
          <t>SKINNSKATTEBERG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15561-2024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45401</v>
      </c>
      <c r="E356" s="1" t="n">
        <v>46261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31260-2023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45114</v>
      </c>
      <c r="E357" s="1" t="n">
        <v>46261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21908-2023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45068</v>
      </c>
      <c r="E358" s="1" t="n">
        <v>46261</v>
      </c>
      <c r="F358" t="inlineStr">
        <is>
          <t>VÄSTMANLANDS LÄN</t>
        </is>
      </c>
      <c r="G358" t="inlineStr">
        <is>
          <t>SKINNSKATTEBERG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22394-2022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44713</v>
      </c>
      <c r="E359" s="1" t="n">
        <v>46261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45592</v>
      </c>
      <c r="E360" s="1" t="n">
        <v>46261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43805-2024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45571</v>
      </c>
      <c r="E361" s="1" t="n">
        <v>46261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45571</v>
      </c>
      <c r="E362" s="1" t="n">
        <v>46261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45617</v>
      </c>
      <c r="E363" s="1" t="n">
        <v>46261</v>
      </c>
      <c r="F363" t="inlineStr">
        <is>
          <t>VÄSTMANLANDS LÄN</t>
        </is>
      </c>
      <c r="G363" t="inlineStr">
        <is>
          <t>SKINNSKATTEBERG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45506</v>
      </c>
      <c r="E364" s="1" t="n">
        <v>46261</v>
      </c>
      <c r="F364" t="inlineStr">
        <is>
          <t>VÄSTMANLANDS LÄN</t>
        </is>
      </c>
      <c r="G364" t="inlineStr">
        <is>
          <t>SKINNSKATTEBERG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40545-2023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45170</v>
      </c>
      <c r="E365" s="1" t="n">
        <v>46261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51472-2024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45604</v>
      </c>
      <c r="E366" s="1" t="n">
        <v>46261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44935</v>
      </c>
      <c r="E367" s="1" t="n">
        <v>46261</v>
      </c>
      <c r="F367" t="inlineStr">
        <is>
          <t>VÄSTMANLANDS LÄN</t>
        </is>
      </c>
      <c r="G367" t="inlineStr">
        <is>
          <t>SKINNSKATTEBERG</t>
        </is>
      </c>
      <c r="I367" t="n">
        <v>10.5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45237</v>
      </c>
      <c r="E368" s="1" t="n">
        <v>46261</v>
      </c>
      <c r="F368" t="inlineStr">
        <is>
          <t>VÄSTMANLANDS LÄN</t>
        </is>
      </c>
      <c r="G368" t="inlineStr">
        <is>
          <t>SKINNSKATTEBERG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45156</v>
      </c>
      <c r="E369" s="1" t="n">
        <v>46261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45385</v>
      </c>
      <c r="E370" s="1" t="n">
        <v>46261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43807-2024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45571</v>
      </c>
      <c r="E371" s="1" t="n">
        <v>46261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45740</v>
      </c>
      <c r="E372" s="1" t="n">
        <v>46261</v>
      </c>
      <c r="F372" t="inlineStr">
        <is>
          <t>VÄSTMANLANDS LÄN</t>
        </is>
      </c>
      <c r="G372" t="inlineStr">
        <is>
          <t>SKINNSKATTEBERG</t>
        </is>
      </c>
      <c r="I372" t="n">
        <v>10.4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45096</v>
      </c>
      <c r="E373" s="1" t="n">
        <v>46261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45554</v>
      </c>
      <c r="E374" s="1" t="n">
        <v>46261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45617</v>
      </c>
      <c r="E375" s="1" t="n">
        <v>46261</v>
      </c>
      <c r="F375" t="inlineStr">
        <is>
          <t>VÄSTMANLANDS LÄN</t>
        </is>
      </c>
      <c r="G375" t="inlineStr">
        <is>
          <t>SKINNSKATTEBERG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46261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20949-2025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45777</v>
      </c>
      <c r="E377" s="1" t="n">
        <v>46261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46261</v>
      </c>
      <c r="F378" t="inlineStr">
        <is>
          <t>VÄSTMANLANDS LÄN</t>
        </is>
      </c>
      <c r="G378" t="inlineStr">
        <is>
          <t>SKINNSKATTEBERG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12158-2024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45377</v>
      </c>
      <c r="E379" s="1" t="n">
        <v>46261</v>
      </c>
      <c r="F379" t="inlineStr">
        <is>
          <t>VÄSTMANLANDS LÄN</t>
        </is>
      </c>
      <c r="G379" t="inlineStr">
        <is>
          <t>SKINNSKATTEBERG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37730-2024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46261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46261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1765-2024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45435</v>
      </c>
      <c r="E382" s="1" t="n">
        <v>46261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1462-2025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45786</v>
      </c>
      <c r="E383" s="1" t="n">
        <v>46261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1931-2025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45827</v>
      </c>
      <c r="E384" s="1" t="n">
        <v>46261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2177-2025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45853</v>
      </c>
      <c r="E385" s="1" t="n">
        <v>46261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2422-2025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45897</v>
      </c>
      <c r="E386" s="1" t="n">
        <v>46261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2421-2025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45897</v>
      </c>
      <c r="E387" s="1" t="n">
        <v>46261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2420-2025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45897</v>
      </c>
      <c r="E388" s="1" t="n">
        <v>46261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2456-2025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45901</v>
      </c>
      <c r="E389" s="1" t="n">
        <v>46261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2578-2025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45915</v>
      </c>
      <c r="E390" s="1" t="n">
        <v>46261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1325-2026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46147</v>
      </c>
      <c r="E391" s="1" t="n">
        <v>46261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65.3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1678-2026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46182</v>
      </c>
      <c r="E392" s="1" t="n">
        <v>46261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1868-2026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46199</v>
      </c>
      <c r="E393" s="1" t="n">
        <v>46261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2239-2026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46260</v>
      </c>
      <c r="E394" s="1" t="n">
        <v>46261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2026-08-27T01:49:52Z</dcterms:created>
  <dcterms:modified xmlns:dcterms="http://purl.org/dc/terms/" xmlns:xsi="http://www.w3.org/2001/XMLSchema-instance" xsi:type="dcterms:W3CDTF">2026-08-27T01:49:53Z</dcterms:modified>
</cp:coreProperties>
</file>