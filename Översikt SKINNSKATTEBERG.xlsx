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46219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46219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46219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46219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46219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s="2" t="inlineStr">
        <is>
          <t>Grangråticka
Dofttaggsvamp
Tallticka
Blåsippa
Kråka</t>
        </is>
      </c>
      <c r="V6">
        <f>HYPERLINK("https://klasma.github.io/Logging_1904/artfynd/A 61212-2022 artfynd.xlsx", "A 61212-2022")</f>
        <v/>
      </c>
      <c r="W6">
        <f>HYPERLINK("https://klasma.github.io/Logging_1904/kartor/A 61212-2022 karta.png", "A 61212-2022")</f>
        <v/>
      </c>
      <c r="Y6">
        <f>HYPERLINK("https://klasma.github.io/Logging_1904/klagomål/A 61212-2022 FSC-klagomål.docx", "A 61212-2022")</f>
        <v/>
      </c>
      <c r="Z6">
        <f>HYPERLINK("https://klasma.github.io/Logging_1904/klagomålsmail/A 61212-2022 FSC-klagomål mail.docx", "A 61212-2022")</f>
        <v/>
      </c>
      <c r="AA6">
        <f>HYPERLINK("https://klasma.github.io/Logging_1904/tillsyn/A 61212-2022 tillsynsbegäran.docx", "A 61212-2022")</f>
        <v/>
      </c>
      <c r="AB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46219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s="2" t="inlineStr">
        <is>
          <t>Brunpudrad nållav
Vedtrappmossa
Gullgröppa
Vanlig flatbagge
Timmerticka</t>
        </is>
      </c>
      <c r="V7">
        <f>HYPERLINK("https://klasma.github.io/Logging_1904/artfynd/A 21845-2026 artfynd.xlsx", "A 21845-2026")</f>
        <v/>
      </c>
      <c r="W7">
        <f>HYPERLINK("https://klasma.github.io/Logging_1904/kartor/A 21845-2026 karta.png", "A 21845-2026")</f>
        <v/>
      </c>
      <c r="Y7">
        <f>HYPERLINK("https://klasma.github.io/Logging_1904/klagomål/A 21845-2026 FSC-klagomål.docx", "A 21845-2026")</f>
        <v/>
      </c>
      <c r="Z7">
        <f>HYPERLINK("https://klasma.github.io/Logging_1904/klagomålsmail/A 21845-2026 FSC-klagomål mail.docx", "A 21845-2026")</f>
        <v/>
      </c>
      <c r="AA7">
        <f>HYPERLINK("https://klasma.github.io/Logging_1904/tillsyn/A 21845-2026 tillsynsbegäran.docx", "A 21845-2026")</f>
        <v/>
      </c>
      <c r="AB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46219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46219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18515-2024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45425</v>
      </c>
      <c r="E10" s="1" t="n">
        <v>46219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Plattlummer
Fläcknycklar
Revlummer</t>
        </is>
      </c>
      <c r="V10">
        <f>HYPERLINK("https://klasma.github.io/Logging_1904/artfynd/A 18515-2024 artfynd.xlsx", "A 18515-2024")</f>
        <v/>
      </c>
      <c r="W10">
        <f>HYPERLINK("https://klasma.github.io/Logging_1904/kartor/A 18515-2024 karta.png", "A 18515-2024")</f>
        <v/>
      </c>
      <c r="Y10">
        <f>HYPERLINK("https://klasma.github.io/Logging_1904/klagomål/A 18515-2024 FSC-klagomål.docx", "A 18515-2024")</f>
        <v/>
      </c>
      <c r="Z10">
        <f>HYPERLINK("https://klasma.github.io/Logging_1904/klagomålsmail/A 18515-2024 FSC-klagomål mail.docx", "A 18515-2024")</f>
        <v/>
      </c>
      <c r="AA10">
        <f>HYPERLINK("https://klasma.github.io/Logging_1904/tillsyn/A 18515-2024 tillsynsbegäran.docx", "A 18515-2024")</f>
        <v/>
      </c>
      <c r="AB10">
        <f>HYPERLINK("https://klasma.github.io/Logging_1904/tillsynsmail/A 18515-2024 tillsynsbegäran mail.docx", "A 18515-2024")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46219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Hässleklocka
Tibast
Gullviva</t>
        </is>
      </c>
      <c r="V11">
        <f>HYPERLINK("https://klasma.github.io/Logging_1904/artfynd/A 44698-2024 artfynd.xlsx", "A 44698-2024")</f>
        <v/>
      </c>
      <c r="W11">
        <f>HYPERLINK("https://klasma.github.io/Logging_1904/kartor/A 44698-2024 karta.png", "A 44698-2024")</f>
        <v/>
      </c>
      <c r="Y11">
        <f>HYPERLINK("https://klasma.github.io/Logging_1904/klagomål/A 44698-2024 FSC-klagomål.docx", "A 44698-2024")</f>
        <v/>
      </c>
      <c r="Z11">
        <f>HYPERLINK("https://klasma.github.io/Logging_1904/klagomålsmail/A 44698-2024 FSC-klagomål mail.docx", "A 44698-2024")</f>
        <v/>
      </c>
      <c r="AA11">
        <f>HYPERLINK("https://klasma.github.io/Logging_1904/tillsyn/A 44698-2024 tillsynsbegäran.docx", "A 44698-2024")</f>
        <v/>
      </c>
      <c r="AB11">
        <f>HYPERLINK("https://klasma.github.io/Logging_1904/tillsynsmail/A 44698-2024 tillsynsbegäran mail.docx", "A 44698-2024")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46219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Rynkskinn
Ullticka
Brandticka</t>
        </is>
      </c>
      <c r="V12">
        <f>HYPERLINK("https://klasma.github.io/Logging_1904/artfynd/A 19656-2025 artfynd.xlsx", "A 19656-2025")</f>
        <v/>
      </c>
      <c r="W12">
        <f>HYPERLINK("https://klasma.github.io/Logging_1904/kartor/A 19656-2025 karta.png", "A 19656-2025")</f>
        <v/>
      </c>
      <c r="Y12">
        <f>HYPERLINK("https://klasma.github.io/Logging_1904/klagomål/A 19656-2025 FSC-klagomål.docx", "A 19656-2025")</f>
        <v/>
      </c>
      <c r="Z12">
        <f>HYPERLINK("https://klasma.github.io/Logging_1904/klagomålsmail/A 19656-2025 FSC-klagomål mail.docx", "A 19656-2025")</f>
        <v/>
      </c>
      <c r="AA12">
        <f>HYPERLINK("https://klasma.github.io/Logging_1904/tillsyn/A 19656-2025 tillsynsbegäran.docx", "A 19656-2025")</f>
        <v/>
      </c>
      <c r="AB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46219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Y13">
        <f>HYPERLINK("https://klasma.github.io/Logging_1904/klagomål/A 58355-2025 FSC-klagomål.docx", "A 58355-2025")</f>
        <v/>
      </c>
      <c r="Z13">
        <f>HYPERLINK("https://klasma.github.io/Logging_1904/klagomålsmail/A 58355-2025 FSC-klagomål mail.docx", "A 58355-2025")</f>
        <v/>
      </c>
      <c r="AA13">
        <f>HYPERLINK("https://klasma.github.io/Logging_1904/tillsyn/A 58355-2025 tillsynsbegäran.docx", "A 58355-2025")</f>
        <v/>
      </c>
      <c r="AB13">
        <f>HYPERLINK("https://klasma.github.io/Logging_1904/tillsynsmail/A 58355-2025 tillsynsbegäran mail.docx", "A 58355-2025")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46219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s="2" t="inlineStr">
        <is>
          <t>Krusfrö
Järpe
Tjäder</t>
        </is>
      </c>
      <c r="V14">
        <f>HYPERLINK("https://klasma.github.io/Logging_1904/artfynd/A 13715-2024 artfynd.xlsx", "A 13715-2024")</f>
        <v/>
      </c>
      <c r="W14">
        <f>HYPERLINK("https://klasma.github.io/Logging_1904/kartor/A 13715-2024 karta.png", "A 13715-2024")</f>
        <v/>
      </c>
      <c r="Y14">
        <f>HYPERLINK("https://klasma.github.io/Logging_1904/klagomål/A 13715-2024 FSC-klagomål.docx", "A 13715-2024")</f>
        <v/>
      </c>
      <c r="Z14">
        <f>HYPERLINK("https://klasma.github.io/Logging_1904/klagomålsmail/A 13715-2024 FSC-klagomål mail.docx", "A 13715-2024")</f>
        <v/>
      </c>
      <c r="AA14">
        <f>HYPERLINK("https://klasma.github.io/Logging_1904/tillsyn/A 13715-2024 tillsynsbegäran.docx", "A 13715-2024")</f>
        <v/>
      </c>
      <c r="AB14">
        <f>HYPERLINK("https://klasma.github.io/Logging_1904/tillsynsmail/A 13715-2024 tillsynsbegäran mail.docx", "A 13715-2024")</f>
        <v/>
      </c>
      <c r="AC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46219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46219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18416-2025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46219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Stubbspretmossa
Svart trolldruva</t>
        </is>
      </c>
      <c r="V17">
        <f>HYPERLINK("https://klasma.github.io/Logging_1904/artfynd/A 18416-2025 artfynd.xlsx", "A 18416-2025")</f>
        <v/>
      </c>
      <c r="W17">
        <f>HYPERLINK("https://klasma.github.io/Logging_1904/kartor/A 18416-2025 karta.png", "A 18416-2025")</f>
        <v/>
      </c>
      <c r="Y17">
        <f>HYPERLINK("https://klasma.github.io/Logging_1904/klagomål/A 18416-2025 FSC-klagomål.docx", "A 18416-2025")</f>
        <v/>
      </c>
      <c r="Z17">
        <f>HYPERLINK("https://klasma.github.io/Logging_1904/klagomålsmail/A 18416-2025 FSC-klagomål mail.docx", "A 18416-2025")</f>
        <v/>
      </c>
      <c r="AA17">
        <f>HYPERLINK("https://klasma.github.io/Logging_1904/tillsyn/A 18416-2025 tillsynsbegäran.docx", "A 18416-2025")</f>
        <v/>
      </c>
      <c r="AB17">
        <f>HYPERLINK("https://klasma.github.io/Logging_1904/tillsynsmail/A 18416-2025 tillsynsbegäran mail.docx", "A 18416-2025")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46219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Vedtrappmossa
Fläcknycklar</t>
        </is>
      </c>
      <c r="V18">
        <f>HYPERLINK("https://klasma.github.io/Logging_1904/artfynd/A 16910-2025 artfynd.xlsx", "A 16910-2025")</f>
        <v/>
      </c>
      <c r="W18">
        <f>HYPERLINK("https://klasma.github.io/Logging_1904/kartor/A 16910-2025 karta.png", "A 16910-2025")</f>
        <v/>
      </c>
      <c r="Y18">
        <f>HYPERLINK("https://klasma.github.io/Logging_1904/klagomål/A 16910-2025 FSC-klagomål.docx", "A 16910-2025")</f>
        <v/>
      </c>
      <c r="Z18">
        <f>HYPERLINK("https://klasma.github.io/Logging_1904/klagomålsmail/A 16910-2025 FSC-klagomål mail.docx", "A 16910-2025")</f>
        <v/>
      </c>
      <c r="AA18">
        <f>HYPERLINK("https://klasma.github.io/Logging_1904/tillsyn/A 16910-2025 tillsynsbegäran.docx", "A 16910-2025")</f>
        <v/>
      </c>
      <c r="AB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46219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s="2" t="inlineStr">
        <is>
          <t>Jättemusseron
Lakritsmusseron</t>
        </is>
      </c>
      <c r="V19">
        <f>HYPERLINK("https://klasma.github.io/Logging_1904/artfynd/A 36596-2024 artfynd.xlsx", "A 36596-2024")</f>
        <v/>
      </c>
      <c r="W19">
        <f>HYPERLINK("https://klasma.github.io/Logging_1904/kartor/A 36596-2024 karta.png", "A 36596-2024")</f>
        <v/>
      </c>
      <c r="Y19">
        <f>HYPERLINK("https://klasma.github.io/Logging_1904/klagomål/A 36596-2024 FSC-klagomål.docx", "A 36596-2024")</f>
        <v/>
      </c>
      <c r="Z19">
        <f>HYPERLINK("https://klasma.github.io/Logging_1904/klagomålsmail/A 36596-2024 FSC-klagomål mail.docx", "A 36596-2024")</f>
        <v/>
      </c>
      <c r="AA19">
        <f>HYPERLINK("https://klasma.github.io/Logging_1904/tillsyn/A 36596-2024 tillsynsbegäran.docx", "A 36596-2024")</f>
        <v/>
      </c>
      <c r="AB19">
        <f>HYPERLINK("https://klasma.github.io/Logging_1904/tillsynsmail/A 36596-2024 tillsynsbegäran mail.docx", "A 36596-2024")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46219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9490-2024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46219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Nattskärra</t>
        </is>
      </c>
      <c r="V21">
        <f>HYPERLINK("https://klasma.github.io/Logging_1904/artfynd/A 9490-2024 artfynd.xlsx", "A 9490-2024")</f>
        <v/>
      </c>
      <c r="W21">
        <f>HYPERLINK("https://klasma.github.io/Logging_1904/kartor/A 9490-2024 karta.png", "A 9490-2024")</f>
        <v/>
      </c>
      <c r="Y21">
        <f>HYPERLINK("https://klasma.github.io/Logging_1904/klagomål/A 9490-2024 FSC-klagomål.docx", "A 9490-2024")</f>
        <v/>
      </c>
      <c r="Z21">
        <f>HYPERLINK("https://klasma.github.io/Logging_1904/klagomålsmail/A 9490-2024 FSC-klagomål mail.docx", "A 9490-2024")</f>
        <v/>
      </c>
      <c r="AA21">
        <f>HYPERLINK("https://klasma.github.io/Logging_1904/tillsyn/A 9490-2024 tillsynsbegäran.docx", "A 9490-2024")</f>
        <v/>
      </c>
      <c r="AB21">
        <f>HYPERLINK("https://klasma.github.io/Logging_1904/tillsynsmail/A 9490-2024 tillsynsbegäran mail.docx", "A 9490-2024")</f>
        <v/>
      </c>
      <c r="AC21">
        <f>HYPERLINK("https://klasma.github.io/Logging_1904/fåglar/A 9490-2024 prioriterade fågelarter.docx", "A 9490-2024")</f>
        <v/>
      </c>
    </row>
    <row r="22" ht="15" customHeight="1">
      <c r="A22" t="inlineStr">
        <is>
          <t>A 54296-2023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46219</v>
      </c>
      <c r="F22" t="inlineStr">
        <is>
          <t>VÄSTMANLANDS LÄN</t>
        </is>
      </c>
      <c r="G22" t="inlineStr">
        <is>
          <t>SKINNSKATTEBERG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Kopparödla</t>
        </is>
      </c>
      <c r="V22">
        <f>HYPERLINK("https://klasma.github.io/Logging_1904/artfynd/A 54296-2023 artfynd.xlsx", "A 54296-2023")</f>
        <v/>
      </c>
      <c r="W22">
        <f>HYPERLINK("https://klasma.github.io/Logging_1904/kartor/A 54296-2023 karta.png", "A 54296-2023")</f>
        <v/>
      </c>
      <c r="Y22">
        <f>HYPERLINK("https://klasma.github.io/Logging_1904/klagomål/A 54296-2023 FSC-klagomål.docx", "A 54296-2023")</f>
        <v/>
      </c>
      <c r="Z22">
        <f>HYPERLINK("https://klasma.github.io/Logging_1904/klagomålsmail/A 54296-2023 FSC-klagomål mail.docx", "A 54296-2023")</f>
        <v/>
      </c>
      <c r="AA22">
        <f>HYPERLINK("https://klasma.github.io/Logging_1904/tillsyn/A 54296-2023 tillsynsbegäran.docx", "A 54296-2023")</f>
        <v/>
      </c>
      <c r="AB22">
        <f>HYPERLINK("https://klasma.github.io/Logging_1904/tillsynsmail/A 54296-2023 tillsynsbegäran mail.docx", "A 54296-2023")</f>
        <v/>
      </c>
    </row>
    <row r="23" ht="15" customHeight="1">
      <c r="A23" t="inlineStr">
        <is>
          <t>A 41868-2022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44829</v>
      </c>
      <c r="E23" s="1" t="n">
        <v>46219</v>
      </c>
      <c r="F23" t="inlineStr">
        <is>
          <t>VÄSTMANLANDS LÄN</t>
        </is>
      </c>
      <c r="G23" t="inlineStr">
        <is>
          <t>SKINNSKATTEBERG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Skogsklocka</t>
        </is>
      </c>
      <c r="V23">
        <f>HYPERLINK("https://klasma.github.io/Logging_1904/artfynd/A 41868-2022 artfynd.xlsx", "A 41868-2022")</f>
        <v/>
      </c>
      <c r="W23">
        <f>HYPERLINK("https://klasma.github.io/Logging_1904/kartor/A 41868-2022 karta.png", "A 41868-2022")</f>
        <v/>
      </c>
      <c r="Y23">
        <f>HYPERLINK("https://klasma.github.io/Logging_1904/klagomål/A 41868-2022 FSC-klagomål.docx", "A 41868-2022")</f>
        <v/>
      </c>
      <c r="Z23">
        <f>HYPERLINK("https://klasma.github.io/Logging_1904/klagomålsmail/A 41868-2022 FSC-klagomål mail.docx", "A 41868-2022")</f>
        <v/>
      </c>
      <c r="AA23">
        <f>HYPERLINK("https://klasma.github.io/Logging_1904/tillsyn/A 41868-2022 tillsynsbegäran.docx", "A 41868-2022")</f>
        <v/>
      </c>
      <c r="AB23">
        <f>HYPERLINK("https://klasma.github.io/Logging_1904/tillsynsmail/A 41868-2022 tillsynsbegäran mail.docx", "A 41868-2022")</f>
        <v/>
      </c>
    </row>
    <row r="24" ht="15" customHeight="1">
      <c r="A24" t="inlineStr">
        <is>
          <t>A 4000-2024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46219</v>
      </c>
      <c r="F24" t="inlineStr">
        <is>
          <t>VÄSTMANLANDS LÄN</t>
        </is>
      </c>
      <c r="G24" t="inlineStr">
        <is>
          <t>SKINNSKATTEBERG</t>
        </is>
      </c>
      <c r="I24" t="n">
        <v>14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Klasefibbla</t>
        </is>
      </c>
      <c r="V24">
        <f>HYPERLINK("https://klasma.github.io/Logging_1904/artfynd/A 4000-2024 artfynd.xlsx", "A 4000-2024")</f>
        <v/>
      </c>
      <c r="W24">
        <f>HYPERLINK("https://klasma.github.io/Logging_1904/kartor/A 4000-2024 karta.png", "A 4000-2024")</f>
        <v/>
      </c>
      <c r="Y24">
        <f>HYPERLINK("https://klasma.github.io/Logging_1904/klagomål/A 4000-2024 FSC-klagomål.docx", "A 4000-2024")</f>
        <v/>
      </c>
      <c r="Z24">
        <f>HYPERLINK("https://klasma.github.io/Logging_1904/klagomålsmail/A 4000-2024 FSC-klagomål mail.docx", "A 4000-2024")</f>
        <v/>
      </c>
      <c r="AA24">
        <f>HYPERLINK("https://klasma.github.io/Logging_1904/tillsyn/A 4000-2024 tillsynsbegäran.docx", "A 4000-2024")</f>
        <v/>
      </c>
      <c r="AB24">
        <f>HYPERLINK("https://klasma.github.io/Logging_1904/tillsynsmail/A 4000-2024 tillsynsbegäran mail.docx", "A 4000-2024")</f>
        <v/>
      </c>
    </row>
    <row r="25" ht="15" customHeight="1">
      <c r="A25" t="inlineStr">
        <is>
          <t>A 12887-2024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45385</v>
      </c>
      <c r="E25" s="1" t="n">
        <v>46219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Sparvuggla</t>
        </is>
      </c>
      <c r="V25">
        <f>HYPERLINK("https://klasma.github.io/Logging_1904/artfynd/A 12887-2024 artfynd.xlsx", "A 12887-2024")</f>
        <v/>
      </c>
      <c r="W25">
        <f>HYPERLINK("https://klasma.github.io/Logging_1904/kartor/A 12887-2024 karta.png", "A 12887-2024")</f>
        <v/>
      </c>
      <c r="Y25">
        <f>HYPERLINK("https://klasma.github.io/Logging_1904/klagomål/A 12887-2024 FSC-klagomål.docx", "A 12887-2024")</f>
        <v/>
      </c>
      <c r="Z25">
        <f>HYPERLINK("https://klasma.github.io/Logging_1904/klagomålsmail/A 12887-2024 FSC-klagomål mail.docx", "A 12887-2024")</f>
        <v/>
      </c>
      <c r="AA25">
        <f>HYPERLINK("https://klasma.github.io/Logging_1904/tillsyn/A 12887-2024 tillsynsbegäran.docx", "A 12887-2024")</f>
        <v/>
      </c>
      <c r="AB25">
        <f>HYPERLINK("https://klasma.github.io/Logging_1904/tillsynsmail/A 12887-2024 tillsynsbegäran mail.docx", "A 12887-2024")</f>
        <v/>
      </c>
      <c r="AC25">
        <f>HYPERLINK("https://klasma.github.io/Logging_1904/fåglar/A 12887-2024 prioriterade fågelarter.docx", "A 12887-2024")</f>
        <v/>
      </c>
    </row>
    <row r="26" ht="15" customHeight="1">
      <c r="A26" t="inlineStr">
        <is>
          <t>A 23893-2023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45078</v>
      </c>
      <c r="E26" s="1" t="n">
        <v>46219</v>
      </c>
      <c r="F26" t="inlineStr">
        <is>
          <t>VÄSTMANLANDS LÄN</t>
        </is>
      </c>
      <c r="G26" t="inlineStr">
        <is>
          <t>SKINNSKATTEBERG</t>
        </is>
      </c>
      <c r="I26" t="n">
        <v>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Knärot</t>
        </is>
      </c>
      <c r="V26">
        <f>HYPERLINK("https://klasma.github.io/Logging_1904/artfynd/A 23893-2023 artfynd.xlsx", "A 23893-2023")</f>
        <v/>
      </c>
      <c r="W26">
        <f>HYPERLINK("https://klasma.github.io/Logging_1904/kartor/A 23893-2023 karta.png", "A 23893-2023")</f>
        <v/>
      </c>
      <c r="X26">
        <f>HYPERLINK("https://klasma.github.io/Logging_1904/knärot/A 23893-2023 karta knärot.png", "A 23893-2023")</f>
        <v/>
      </c>
      <c r="Y26">
        <f>HYPERLINK("https://klasma.github.io/Logging_1904/klagomål/A 23893-2023 FSC-klagomål.docx", "A 23893-2023")</f>
        <v/>
      </c>
      <c r="Z26">
        <f>HYPERLINK("https://klasma.github.io/Logging_1904/klagomålsmail/A 23893-2023 FSC-klagomål mail.docx", "A 23893-2023")</f>
        <v/>
      </c>
      <c r="AA26">
        <f>HYPERLINK("https://klasma.github.io/Logging_1904/tillsyn/A 23893-2023 tillsynsbegäran.docx", "A 23893-2023")</f>
        <v/>
      </c>
      <c r="AB26">
        <f>HYPERLINK("https://klasma.github.io/Logging_1904/tillsynsmail/A 23893-2023 tillsynsbegäran mail.docx", "A 23893-2023")</f>
        <v/>
      </c>
    </row>
    <row r="27" ht="15" customHeight="1">
      <c r="A27" t="inlineStr">
        <is>
          <t>A 9491-2024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46219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Skogshare</t>
        </is>
      </c>
      <c r="V27">
        <f>HYPERLINK("https://klasma.github.io/Logging_1904/artfynd/A 9491-2024 artfynd.xlsx", "A 9491-2024")</f>
        <v/>
      </c>
      <c r="W27">
        <f>HYPERLINK("https://klasma.github.io/Logging_1904/kartor/A 9491-2024 karta.png", "A 9491-2024")</f>
        <v/>
      </c>
      <c r="Y27">
        <f>HYPERLINK("https://klasma.github.io/Logging_1904/klagomål/A 9491-2024 FSC-klagomål.docx", "A 9491-2024")</f>
        <v/>
      </c>
      <c r="Z27">
        <f>HYPERLINK("https://klasma.github.io/Logging_1904/klagomålsmail/A 9491-2024 FSC-klagomål mail.docx", "A 9491-2024")</f>
        <v/>
      </c>
      <c r="AA27">
        <f>HYPERLINK("https://klasma.github.io/Logging_1904/tillsyn/A 9491-2024 tillsynsbegäran.docx", "A 9491-2024")</f>
        <v/>
      </c>
      <c r="AB27">
        <f>HYPERLINK("https://klasma.github.io/Logging_1904/tillsynsmail/A 9491-2024 tillsynsbegäran mail.docx", "A 9491-2024")</f>
        <v/>
      </c>
    </row>
    <row r="28" ht="15" customHeight="1">
      <c r="A28" t="inlineStr">
        <is>
          <t>A 27565-2024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45474</v>
      </c>
      <c r="E28" s="1" t="n">
        <v>46219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Mörk husmossa</t>
        </is>
      </c>
      <c r="V28">
        <f>HYPERLINK("https://klasma.github.io/Logging_1904/artfynd/A 27565-2024 artfynd.xlsx", "A 27565-2024")</f>
        <v/>
      </c>
      <c r="W28">
        <f>HYPERLINK("https://klasma.github.io/Logging_1904/kartor/A 27565-2024 karta.png", "A 27565-2024")</f>
        <v/>
      </c>
      <c r="Y28">
        <f>HYPERLINK("https://klasma.github.io/Logging_1904/klagomål/A 27565-2024 FSC-klagomål.docx", "A 27565-2024")</f>
        <v/>
      </c>
      <c r="Z28">
        <f>HYPERLINK("https://klasma.github.io/Logging_1904/klagomålsmail/A 27565-2024 FSC-klagomål mail.docx", "A 27565-2024")</f>
        <v/>
      </c>
      <c r="AA28">
        <f>HYPERLINK("https://klasma.github.io/Logging_1904/tillsyn/A 27565-2024 tillsynsbegäran.docx", "A 27565-2024")</f>
        <v/>
      </c>
      <c r="AB28">
        <f>HYPERLINK("https://klasma.github.io/Logging_1904/tillsynsmail/A 27565-2024 tillsynsbegäran mail.docx", "A 27565-2024")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46219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Svinrot</t>
        </is>
      </c>
      <c r="V29">
        <f>HYPERLINK("https://klasma.github.io/Logging_1904/artfynd/A 47538-2025 artfynd.xlsx", "A 47538-2025")</f>
        <v/>
      </c>
      <c r="W29">
        <f>HYPERLINK("https://klasma.github.io/Logging_1904/kartor/A 47538-2025 karta.png", "A 47538-2025")</f>
        <v/>
      </c>
      <c r="Y29">
        <f>HYPERLINK("https://klasma.github.io/Logging_1904/klagomål/A 47538-2025 FSC-klagomål.docx", "A 47538-2025")</f>
        <v/>
      </c>
      <c r="Z29">
        <f>HYPERLINK("https://klasma.github.io/Logging_1904/klagomålsmail/A 47538-2025 FSC-klagomål mail.docx", "A 47538-2025")</f>
        <v/>
      </c>
      <c r="AA29">
        <f>HYPERLINK("https://klasma.github.io/Logging_1904/tillsyn/A 47538-2025 tillsynsbegäran.docx", "A 47538-2025")</f>
        <v/>
      </c>
      <c r="AB29">
        <f>HYPERLINK("https://klasma.github.io/Logging_1904/tillsynsmail/A 47538-2025 tillsynsbegäran mail.docx", "A 47538-2025")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46219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HYPERLINK("https://klasma.github.io/Logging_1904/artfynd/A 49630-2024 artfynd.xlsx", "A 49630-2024")</f>
        <v/>
      </c>
      <c r="W30">
        <f>HYPERLINK("https://klasma.github.io/Logging_1904/kartor/A 49630-2024 karta.png", "A 49630-2024")</f>
        <v/>
      </c>
      <c r="Y30">
        <f>HYPERLINK("https://klasma.github.io/Logging_1904/klagomål/A 49630-2024 FSC-klagomål.docx", "A 49630-2024")</f>
        <v/>
      </c>
      <c r="Z30">
        <f>HYPERLINK("https://klasma.github.io/Logging_1904/klagomålsmail/A 49630-2024 FSC-klagomål mail.docx", "A 49630-2024")</f>
        <v/>
      </c>
      <c r="AA30">
        <f>HYPERLINK("https://klasma.github.io/Logging_1904/tillsyn/A 49630-2024 tillsynsbegäran.docx", "A 49630-2024")</f>
        <v/>
      </c>
      <c r="AB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45568</v>
      </c>
      <c r="E31" s="1" t="n">
        <v>46219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Orange taggsvamp</t>
        </is>
      </c>
      <c r="V31">
        <f>HYPERLINK("https://klasma.github.io/Logging_1904/artfynd/A 43413-2024 artfynd.xlsx", "A 43413-2024")</f>
        <v/>
      </c>
      <c r="W31">
        <f>HYPERLINK("https://klasma.github.io/Logging_1904/kartor/A 43413-2024 karta.png", "A 43413-2024")</f>
        <v/>
      </c>
      <c r="Y31">
        <f>HYPERLINK("https://klasma.github.io/Logging_1904/klagomål/A 43413-2024 FSC-klagomål.docx", "A 43413-2024")</f>
        <v/>
      </c>
      <c r="Z31">
        <f>HYPERLINK("https://klasma.github.io/Logging_1904/klagomålsmail/A 43413-2024 FSC-klagomål mail.docx", "A 43413-2024")</f>
        <v/>
      </c>
      <c r="AA31">
        <f>HYPERLINK("https://klasma.github.io/Logging_1904/tillsyn/A 43413-2024 tillsynsbegäran.docx", "A 43413-2024")</f>
        <v/>
      </c>
      <c r="AB31">
        <f>HYPERLINK("https://klasma.github.io/Logging_1904/tillsynsmail/A 43413-2024 tillsynsbegäran mail.docx", "A 43413-2024")</f>
        <v/>
      </c>
    </row>
    <row r="32" ht="15" customHeight="1">
      <c r="A32" t="inlineStr">
        <is>
          <t>A 33435-2024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45519</v>
      </c>
      <c r="E32" s="1" t="n">
        <v>46219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Nattskärra</t>
        </is>
      </c>
      <c r="V32">
        <f>HYPERLINK("https://klasma.github.io/Logging_1904/artfynd/A 33435-2024 artfynd.xlsx", "A 33435-2024")</f>
        <v/>
      </c>
      <c r="W32">
        <f>HYPERLINK("https://klasma.github.io/Logging_1904/kartor/A 33435-2024 karta.png", "A 33435-2024")</f>
        <v/>
      </c>
      <c r="Y32">
        <f>HYPERLINK("https://klasma.github.io/Logging_1904/klagomål/A 33435-2024 FSC-klagomål.docx", "A 33435-2024")</f>
        <v/>
      </c>
      <c r="Z32">
        <f>HYPERLINK("https://klasma.github.io/Logging_1904/klagomålsmail/A 33435-2024 FSC-klagomål mail.docx", "A 33435-2024")</f>
        <v/>
      </c>
      <c r="AA32">
        <f>HYPERLINK("https://klasma.github.io/Logging_1904/tillsyn/A 33435-2024 tillsynsbegäran.docx", "A 33435-2024")</f>
        <v/>
      </c>
      <c r="AB32">
        <f>HYPERLINK("https://klasma.github.io/Logging_1904/tillsynsmail/A 33435-2024 tillsynsbegäran mail.docx", "A 33435-2024")</f>
        <v/>
      </c>
      <c r="AC32">
        <f>HYPERLINK("https://klasma.github.io/Logging_1904/fåglar/A 33435-2024 prioriterade fågelarter.docx", "A 33435-2024")</f>
        <v/>
      </c>
    </row>
    <row r="33" ht="15" customHeight="1">
      <c r="A33" t="inlineStr">
        <is>
          <t>A 30579-2026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46219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Motaggsvamp</t>
        </is>
      </c>
      <c r="V33">
        <f>HYPERLINK("https://klasma.github.io/Logging_1904/artfynd/A 30579-2026 artfynd.xlsx", "A 30579-2026")</f>
        <v/>
      </c>
      <c r="W33">
        <f>HYPERLINK("https://klasma.github.io/Logging_1904/kartor/A 30579-2026 karta.png", "A 30579-2026")</f>
        <v/>
      </c>
      <c r="Y33">
        <f>HYPERLINK("https://klasma.github.io/Logging_1904/klagomål/A 30579-2026 FSC-klagomål.docx", "A 30579-2026")</f>
        <v/>
      </c>
      <c r="Z33">
        <f>HYPERLINK("https://klasma.github.io/Logging_1904/klagomålsmail/A 30579-2026 FSC-klagomål mail.docx", "A 30579-2026")</f>
        <v/>
      </c>
      <c r="AA33">
        <f>HYPERLINK("https://klasma.github.io/Logging_1904/tillsyn/A 30579-2026 tillsynsbegäran.docx", "A 30579-2026")</f>
        <v/>
      </c>
      <c r="AB33">
        <f>HYPERLINK("https://klasma.github.io/Logging_1904/tillsynsmail/A 30579-2026 tillsynsbegäran mail.docx", "A 30579-2026")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46219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Vedticka</t>
        </is>
      </c>
      <c r="V34">
        <f>HYPERLINK("https://klasma.github.io/Logging_1904/artfynd/A 57395-2025 artfynd.xlsx", "A 57395-2025")</f>
        <v/>
      </c>
      <c r="W34">
        <f>HYPERLINK("https://klasma.github.io/Logging_1904/kartor/A 57395-2025 karta.png", "A 57395-2025")</f>
        <v/>
      </c>
      <c r="Y34">
        <f>HYPERLINK("https://klasma.github.io/Logging_1904/klagomål/A 57395-2025 FSC-klagomål.docx", "A 57395-2025")</f>
        <v/>
      </c>
      <c r="Z34">
        <f>HYPERLINK("https://klasma.github.io/Logging_1904/klagomålsmail/A 57395-2025 FSC-klagomål mail.docx", "A 57395-2025")</f>
        <v/>
      </c>
      <c r="AA34">
        <f>HYPERLINK("https://klasma.github.io/Logging_1904/tillsyn/A 57395-2025 tillsynsbegäran.docx", "A 57395-2025")</f>
        <v/>
      </c>
      <c r="AB34">
        <f>HYPERLINK("https://klasma.github.io/Logging_1904/tillsynsmail/A 57395-2025 tillsynsbegäran mail.docx", "A 57395-2025")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46219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Skogsklocka</t>
        </is>
      </c>
      <c r="V35">
        <f>HYPERLINK("https://klasma.github.io/Logging_1904/artfynd/A 12024-2023 artfynd.xlsx", "A 12024-2023")</f>
        <v/>
      </c>
      <c r="W35">
        <f>HYPERLINK("https://klasma.github.io/Logging_1904/kartor/A 12024-2023 karta.png", "A 12024-2023")</f>
        <v/>
      </c>
      <c r="Y35">
        <f>HYPERLINK("https://klasma.github.io/Logging_1904/klagomål/A 12024-2023 FSC-klagomål.docx", "A 12024-2023")</f>
        <v/>
      </c>
      <c r="Z35">
        <f>HYPERLINK("https://klasma.github.io/Logging_1904/klagomålsmail/A 12024-2023 FSC-klagomål mail.docx", "A 12024-2023")</f>
        <v/>
      </c>
      <c r="AA35">
        <f>HYPERLINK("https://klasma.github.io/Logging_1904/tillsyn/A 12024-2023 tillsynsbegäran.docx", "A 12024-2023")</f>
        <v/>
      </c>
      <c r="AB35">
        <f>HYPERLINK("https://klasma.github.io/Logging_1904/tillsynsmail/A 12024-2023 tillsynsbegäran mail.docx", "A 12024-2023")</f>
        <v/>
      </c>
    </row>
    <row r="36" ht="15" customHeight="1">
      <c r="A36" t="inlineStr">
        <is>
          <t>A 24492-2026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46170</v>
      </c>
      <c r="E36" s="1" t="n">
        <v>46219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HYPERLINK("https://klasma.github.io/Logging_1904/artfynd/A 24492-2026 artfynd.xlsx", "A 24492-2026")</f>
        <v/>
      </c>
      <c r="W36">
        <f>HYPERLINK("https://klasma.github.io/Logging_1904/kartor/A 24492-2026 karta.png", "A 24492-2026")</f>
        <v/>
      </c>
      <c r="Y36">
        <f>HYPERLINK("https://klasma.github.io/Logging_1904/klagomål/A 24492-2026 FSC-klagomål.docx", "A 24492-2026")</f>
        <v/>
      </c>
      <c r="Z36">
        <f>HYPERLINK("https://klasma.github.io/Logging_1904/klagomålsmail/A 24492-2026 FSC-klagomål mail.docx", "A 24492-2026")</f>
        <v/>
      </c>
      <c r="AA36">
        <f>HYPERLINK("https://klasma.github.io/Logging_1904/tillsyn/A 24492-2026 tillsynsbegäran.docx", "A 24492-2026")</f>
        <v/>
      </c>
      <c r="AB36">
        <f>HYPERLINK("https://klasma.github.io/Logging_1904/tillsynsmail/A 24492-2026 tillsynsbegäran mail.docx", "A 24492-2026")</f>
        <v/>
      </c>
      <c r="AC36">
        <f>HYPERLINK("https://klasma.github.io/Logging_1904/fåglar/A 24492-2026 prioriterade fågelarter.docx", "A 24492-2026")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46219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Garnlav</t>
        </is>
      </c>
      <c r="V37">
        <f>HYPERLINK("https://klasma.github.io/Logging_1904/artfynd/A 24944-2026 artfynd.xlsx", "A 24944-2026")</f>
        <v/>
      </c>
      <c r="W37">
        <f>HYPERLINK("https://klasma.github.io/Logging_1904/kartor/A 24944-2026 karta.png", "A 24944-2026")</f>
        <v/>
      </c>
      <c r="Y37">
        <f>HYPERLINK("https://klasma.github.io/Logging_1904/klagomål/A 24944-2026 FSC-klagomål.docx", "A 24944-2026")</f>
        <v/>
      </c>
      <c r="Z37">
        <f>HYPERLINK("https://klasma.github.io/Logging_1904/klagomålsmail/A 24944-2026 FSC-klagomål mail.docx", "A 24944-2026")</f>
        <v/>
      </c>
      <c r="AA37">
        <f>HYPERLINK("https://klasma.github.io/Logging_1904/tillsyn/A 24944-2026 tillsynsbegäran.docx", "A 24944-2026")</f>
        <v/>
      </c>
      <c r="AB37">
        <f>HYPERLINK("https://klasma.github.io/Logging_1904/tillsynsmail/A 24944-2026 tillsynsbegäran mail.docx", "A 24944-2026")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46219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Järpe</t>
        </is>
      </c>
      <c r="V38">
        <f>HYPERLINK("https://klasma.github.io/Logging_1904/artfynd/A 19205-2024 artfynd.xlsx", "A 19205-2024")</f>
        <v/>
      </c>
      <c r="W38">
        <f>HYPERLINK("https://klasma.github.io/Logging_1904/kartor/A 19205-2024 karta.png", "A 19205-2024")</f>
        <v/>
      </c>
      <c r="Y38">
        <f>HYPERLINK("https://klasma.github.io/Logging_1904/klagomål/A 19205-2024 FSC-klagomål.docx", "A 19205-2024")</f>
        <v/>
      </c>
      <c r="Z38">
        <f>HYPERLINK("https://klasma.github.io/Logging_1904/klagomålsmail/A 19205-2024 FSC-klagomål mail.docx", "A 19205-2024")</f>
        <v/>
      </c>
      <c r="AA38">
        <f>HYPERLINK("https://klasma.github.io/Logging_1904/tillsyn/A 19205-2024 tillsynsbegäran.docx", "A 19205-2024")</f>
        <v/>
      </c>
      <c r="AB38">
        <f>HYPERLINK("https://klasma.github.io/Logging_1904/tillsynsmail/A 19205-2024 tillsynsbegäran mail.docx", "A 19205-2024")</f>
        <v/>
      </c>
      <c r="AC38">
        <f>HYPERLINK("https://klasma.github.io/Logging_1904/fåglar/A 19205-2024 prioriterade fågelarter.docx", "A 19205-2024")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46219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Koppartaggsvamp</t>
        </is>
      </c>
      <c r="V39">
        <f>HYPERLINK("https://klasma.github.io/Logging_1904/artfynd/A 15734-2026 artfynd.xlsx", "A 15734-2026")</f>
        <v/>
      </c>
      <c r="W39">
        <f>HYPERLINK("https://klasma.github.io/Logging_1904/kartor/A 15734-2026 karta.png", "A 15734-2026")</f>
        <v/>
      </c>
      <c r="Y39">
        <f>HYPERLINK("https://klasma.github.io/Logging_1904/klagomål/A 15734-2026 FSC-klagomål.docx", "A 15734-2026")</f>
        <v/>
      </c>
      <c r="Z39">
        <f>HYPERLINK("https://klasma.github.io/Logging_1904/klagomålsmail/A 15734-2026 FSC-klagomål mail.docx", "A 15734-2026")</f>
        <v/>
      </c>
      <c r="AA39">
        <f>HYPERLINK("https://klasma.github.io/Logging_1904/tillsyn/A 15734-2026 tillsynsbegäran.docx", "A 15734-2026")</f>
        <v/>
      </c>
      <c r="AB39">
        <f>HYPERLINK("https://klasma.github.io/Logging_1904/tillsynsmail/A 15734-2026 tillsynsbegäran mail.docx", "A 15734-2026")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46219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Skrovlig taggsvamp</t>
        </is>
      </c>
      <c r="V40">
        <f>HYPERLINK("https://klasma.github.io/Logging_1904/artfynd/A 28312-2023 artfynd.xlsx", "A 28312-2023")</f>
        <v/>
      </c>
      <c r="W40">
        <f>HYPERLINK("https://klasma.github.io/Logging_1904/kartor/A 28312-2023 karta.png", "A 28312-2023")</f>
        <v/>
      </c>
      <c r="Y40">
        <f>HYPERLINK("https://klasma.github.io/Logging_1904/klagomål/A 28312-2023 FSC-klagomål.docx", "A 28312-2023")</f>
        <v/>
      </c>
      <c r="Z40">
        <f>HYPERLINK("https://klasma.github.io/Logging_1904/klagomålsmail/A 28312-2023 FSC-klagomål mail.docx", "A 28312-2023")</f>
        <v/>
      </c>
      <c r="AA40">
        <f>HYPERLINK("https://klasma.github.io/Logging_1904/tillsyn/A 28312-2023 tillsynsbegäran.docx", "A 28312-2023")</f>
        <v/>
      </c>
      <c r="AB40">
        <f>HYPERLINK("https://klasma.github.io/Logging_1904/tillsynsmail/A 28312-2023 tillsynsbegäran mail.docx", "A 28312-2023")</f>
        <v/>
      </c>
    </row>
    <row r="41" ht="15" customHeight="1">
      <c r="A41" t="inlineStr">
        <is>
          <t>A 31006-2025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45832</v>
      </c>
      <c r="E41" s="1" t="n">
        <v>46219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Spillkråka</t>
        </is>
      </c>
      <c r="V41">
        <f>HYPERLINK("https://klasma.github.io/Logging_1904/artfynd/A 31006-2025 artfynd.xlsx", "A 31006-2025")</f>
        <v/>
      </c>
      <c r="W41">
        <f>HYPERLINK("https://klasma.github.io/Logging_1904/kartor/A 31006-2025 karta.png", "A 31006-2025")</f>
        <v/>
      </c>
      <c r="Y41">
        <f>HYPERLINK("https://klasma.github.io/Logging_1904/klagomål/A 31006-2025 FSC-klagomål.docx", "A 31006-2025")</f>
        <v/>
      </c>
      <c r="Z41">
        <f>HYPERLINK("https://klasma.github.io/Logging_1904/klagomålsmail/A 31006-2025 FSC-klagomål mail.docx", "A 31006-2025")</f>
        <v/>
      </c>
      <c r="AA41">
        <f>HYPERLINK("https://klasma.github.io/Logging_1904/tillsyn/A 31006-2025 tillsynsbegäran.docx", "A 31006-2025")</f>
        <v/>
      </c>
      <c r="AB41">
        <f>HYPERLINK("https://klasma.github.io/Logging_1904/tillsynsmail/A 31006-2025 tillsynsbegäran mail.docx", "A 31006-2025")</f>
        <v/>
      </c>
      <c r="AC41">
        <f>HYPERLINK("https://klasma.github.io/Logging_1904/fåglar/A 31006-2025 prioriterade fågelarter.docx", "A 31006-2025")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46219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HYPERLINK("https://klasma.github.io/Logging_1904/artfynd/A 20559-2026 artfynd.xlsx", "A 20559-2026")</f>
        <v/>
      </c>
      <c r="W42">
        <f>HYPERLINK("https://klasma.github.io/Logging_1904/kartor/A 20559-2026 karta.png", "A 20559-2026")</f>
        <v/>
      </c>
      <c r="Y42">
        <f>HYPERLINK("https://klasma.github.io/Logging_1904/klagomål/A 20559-2026 FSC-klagomål.docx", "A 20559-2026")</f>
        <v/>
      </c>
      <c r="Z42">
        <f>HYPERLINK("https://klasma.github.io/Logging_1904/klagomålsmail/A 20559-2026 FSC-klagomål mail.docx", "A 20559-2026")</f>
        <v/>
      </c>
      <c r="AA42">
        <f>HYPERLINK("https://klasma.github.io/Logging_1904/tillsyn/A 20559-2026 tillsynsbegäran.docx", "A 20559-2026")</f>
        <v/>
      </c>
      <c r="AB42">
        <f>HYPERLINK("https://klasma.github.io/Logging_1904/tillsynsmail/A 20559-2026 tillsynsbegäran mail.docx", "A 20559-2026")</f>
        <v/>
      </c>
      <c r="AC42">
        <f>HYPERLINK("https://klasma.github.io/Logging_1904/fåglar/A 20559-2026 prioriterade fågelarter.docx", "A 20559-2026")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46219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HYPERLINK("https://klasma.github.io/Logging_1904/artfynd/A 21849-2026 artfynd.xlsx", "A 21849-2026")</f>
        <v/>
      </c>
      <c r="W43">
        <f>HYPERLINK("https://klasma.github.io/Logging_1904/kartor/A 21849-2026 karta.png", "A 21849-2026")</f>
        <v/>
      </c>
      <c r="X43">
        <f>HYPERLINK("https://klasma.github.io/Logging_1904/knärot/A 21849-2026 karta knärot.png", "A 21849-2026")</f>
        <v/>
      </c>
      <c r="Y43">
        <f>HYPERLINK("https://klasma.github.io/Logging_1904/klagomål/A 21849-2026 FSC-klagomål.docx", "A 21849-2026")</f>
        <v/>
      </c>
      <c r="Z43">
        <f>HYPERLINK("https://klasma.github.io/Logging_1904/klagomålsmail/A 21849-2026 FSC-klagomål mail.docx", "A 21849-2026")</f>
        <v/>
      </c>
      <c r="AA43">
        <f>HYPERLINK("https://klasma.github.io/Logging_1904/tillsyn/A 21849-2026 tillsynsbegäran.docx", "A 21849-2026")</f>
        <v/>
      </c>
      <c r="AB43">
        <f>HYPERLINK("https://klasma.github.io/Logging_1904/tillsynsmail/A 21849-2026 tillsynsbegäran mail.docx", "A 21849-2026")</f>
        <v/>
      </c>
    </row>
    <row r="44" ht="15" customHeight="1">
      <c r="A44" t="inlineStr">
        <is>
          <t>A 26860-2026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46219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10.3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Kungsörn</t>
        </is>
      </c>
      <c r="V44">
        <f>HYPERLINK("https://klasma.github.io/Logging_1904/artfynd/A 26860-2026 artfynd.xlsx", "A 26860-2026")</f>
        <v/>
      </c>
      <c r="W44">
        <f>HYPERLINK("https://klasma.github.io/Logging_1904/kartor/A 26860-2026 karta.png", "A 26860-2026")</f>
        <v/>
      </c>
      <c r="Y44">
        <f>HYPERLINK("https://klasma.github.io/Logging_1904/klagomål/A 26860-2026 FSC-klagomål.docx", "A 26860-2026")</f>
        <v/>
      </c>
      <c r="Z44">
        <f>HYPERLINK("https://klasma.github.io/Logging_1904/klagomålsmail/A 26860-2026 FSC-klagomål mail.docx", "A 26860-2026")</f>
        <v/>
      </c>
      <c r="AA44">
        <f>HYPERLINK("https://klasma.github.io/Logging_1904/tillsyn/A 26860-2026 tillsynsbegäran.docx", "A 26860-2026")</f>
        <v/>
      </c>
      <c r="AB44">
        <f>HYPERLINK("https://klasma.github.io/Logging_1904/tillsynsmail/A 26860-2026 tillsynsbegäran mail.docx", "A 26860-2026")</f>
        <v/>
      </c>
      <c r="AC44">
        <f>HYPERLINK("https://klasma.github.io/Logging_1904/fåglar/A 26860-2026 prioriterade fågelarter.docx", "A 26860-2026")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46219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46219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46219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46219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46219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46219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46219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46219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46219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46219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46219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46219</v>
      </c>
      <c r="F56" t="inlineStr">
        <is>
          <t>VÄSTMANLANDS LÄN</t>
        </is>
      </c>
      <c r="G56" t="inlineStr">
        <is>
          <t>SKINNSKATTEBERG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46219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46219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46219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46219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46219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46219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46219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46219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46219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46219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46219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58987-2023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46219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59578-2024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46219</v>
      </c>
      <c r="F69" t="inlineStr">
        <is>
          <t>VÄSTMANLANDS LÄN</t>
        </is>
      </c>
      <c r="G69" t="inlineStr">
        <is>
          <t>SKINNSKATTEBERG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8218-2023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46219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Kyrkan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13553-2023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45006</v>
      </c>
      <c r="E71" s="1" t="n">
        <v>46219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Allmännings- och besparingsskogar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45156</v>
      </c>
      <c r="E72" s="1" t="n">
        <v>46219</v>
      </c>
      <c r="F72" t="inlineStr">
        <is>
          <t>VÄSTMANLANDS LÄN</t>
        </is>
      </c>
      <c r="G72" t="inlineStr">
        <is>
          <t>SKINNSKATTEBERG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46469-2021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46219</v>
      </c>
      <c r="F73" t="inlineStr">
        <is>
          <t>VÄSTMANLANDS LÄN</t>
        </is>
      </c>
      <c r="G73" t="inlineStr">
        <is>
          <t>SKINNSKATTEBERG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59417-2021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46219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20430-2023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46219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46219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Kyrkan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46219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46219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45520</v>
      </c>
      <c r="E79" s="1" t="n">
        <v>46219</v>
      </c>
      <c r="F79" t="inlineStr">
        <is>
          <t>VÄSTMANLANDS LÄN</t>
        </is>
      </c>
      <c r="G79" t="inlineStr">
        <is>
          <t>SKINNSKATTEBERG</t>
        </is>
      </c>
      <c r="I79" t="n">
        <v>9.1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47693-2023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46219</v>
      </c>
      <c r="F80" t="inlineStr">
        <is>
          <t>VÄSTMANLANDS LÄN</t>
        </is>
      </c>
      <c r="G80" t="inlineStr">
        <is>
          <t>SKINNSKATTEBERG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46219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35706-2024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46219</v>
      </c>
      <c r="F82" t="inlineStr">
        <is>
          <t>VÄSTMANLANDS LÄN</t>
        </is>
      </c>
      <c r="G82" t="inlineStr">
        <is>
          <t>SKINNSKATTEBERG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54657-2022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44883</v>
      </c>
      <c r="E83" s="1" t="n">
        <v>46219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46219</v>
      </c>
      <c r="F84" t="inlineStr">
        <is>
          <t>VÄSTMANLANDS LÄN</t>
        </is>
      </c>
      <c r="G84" t="inlineStr">
        <is>
          <t>SKINNSKATTEBERG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46219</v>
      </c>
      <c r="F85" t="inlineStr">
        <is>
          <t>VÄSTMANLANDS LÄN</t>
        </is>
      </c>
      <c r="G85" t="inlineStr">
        <is>
          <t>SKINNSKATTEBERG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49847-2021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46219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15184-2025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45744</v>
      </c>
      <c r="E87" s="1" t="n">
        <v>46219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46219</v>
      </c>
      <c r="F88" t="inlineStr">
        <is>
          <t>VÄSTMANLANDS LÄN</t>
        </is>
      </c>
      <c r="G88" t="inlineStr">
        <is>
          <t>SKINNSKATTEBERG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46219</v>
      </c>
      <c r="F89" t="inlineStr">
        <is>
          <t>VÄSTMANLANDS LÄN</t>
        </is>
      </c>
      <c r="G89" t="inlineStr">
        <is>
          <t>SKINNSKATTEBERG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20248-2024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45434</v>
      </c>
      <c r="E90" s="1" t="n">
        <v>46219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51475-2024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45604</v>
      </c>
      <c r="E91" s="1" t="n">
        <v>46219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33900-2023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45134</v>
      </c>
      <c r="E92" s="1" t="n">
        <v>46219</v>
      </c>
      <c r="F92" t="inlineStr">
        <is>
          <t>VÄSTMANLANDS LÄN</t>
        </is>
      </c>
      <c r="G92" t="inlineStr">
        <is>
          <t>SKINNSKATTEBERG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15561-2024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45401</v>
      </c>
      <c r="E93" s="1" t="n">
        <v>46219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16393-2024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45407</v>
      </c>
      <c r="E94" s="1" t="n">
        <v>46219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16394-2024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45407</v>
      </c>
      <c r="E95" s="1" t="n">
        <v>46219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31260-2023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45114</v>
      </c>
      <c r="E96" s="1" t="n">
        <v>46219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20379-2024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46219</v>
      </c>
      <c r="F97" t="inlineStr">
        <is>
          <t>VÄSTMANLANDS LÄN</t>
        </is>
      </c>
      <c r="G97" t="inlineStr">
        <is>
          <t>SKINNSKATTEBERG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20430-2024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46219</v>
      </c>
      <c r="F98" t="inlineStr">
        <is>
          <t>VÄSTMANLANDS LÄN</t>
        </is>
      </c>
      <c r="G98" t="inlineStr">
        <is>
          <t>SKINNSKATTEBERG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46219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38521-2023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46219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16729-2024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45410</v>
      </c>
      <c r="E101" s="1" t="n">
        <v>46219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21908-2023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45068</v>
      </c>
      <c r="E102" s="1" t="n">
        <v>46219</v>
      </c>
      <c r="F102" t="inlineStr">
        <is>
          <t>VÄSTMANLANDS LÄN</t>
        </is>
      </c>
      <c r="G102" t="inlineStr">
        <is>
          <t>SKINNSKATTEBERG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52696-2024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46219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46219</v>
      </c>
      <c r="F104" t="inlineStr">
        <is>
          <t>VÄSTMANLANDS LÄN</t>
        </is>
      </c>
      <c r="G104" t="inlineStr">
        <is>
          <t>SKINNSKATTEBERG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22394-2022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46219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22591-2024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46219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48492-2024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45592</v>
      </c>
      <c r="E107" s="1" t="n">
        <v>46219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36597-2024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45537</v>
      </c>
      <c r="E108" s="1" t="n">
        <v>46219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42093-2023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46219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45571</v>
      </c>
      <c r="E110" s="1" t="n">
        <v>46219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43806-2024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45571</v>
      </c>
      <c r="E111" s="1" t="n">
        <v>46219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24777-2022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46219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30988-2022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44768</v>
      </c>
      <c r="E113" s="1" t="n">
        <v>46219</v>
      </c>
      <c r="F113" t="inlineStr">
        <is>
          <t>VÄSTMANLANDS LÄN</t>
        </is>
      </c>
      <c r="G113" t="inlineStr">
        <is>
          <t>SKINNSKATTEBERG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39691-2025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46219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27653-2023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46219</v>
      </c>
      <c r="F115" t="inlineStr">
        <is>
          <t>VÄSTMANLANDS LÄN</t>
        </is>
      </c>
      <c r="G115" t="inlineStr">
        <is>
          <t>SKINNSKATTEBERG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54501-2024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46219</v>
      </c>
      <c r="F116" t="inlineStr">
        <is>
          <t>VÄSTMANLANDS LÄN</t>
        </is>
      </c>
      <c r="G116" t="inlineStr">
        <is>
          <t>SKINNSKATTEBERG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53243-2021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46219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57984-2023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45247</v>
      </c>
      <c r="E118" s="1" t="n">
        <v>46219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46219</v>
      </c>
      <c r="F119" t="inlineStr">
        <is>
          <t>VÄSTMANLANDS LÄN</t>
        </is>
      </c>
      <c r="G119" t="inlineStr">
        <is>
          <t>SKINNSKATTEBERG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40782-2025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46219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40783-2025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45897</v>
      </c>
      <c r="E121" s="1" t="n">
        <v>46219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46219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46219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46219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40776-2025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45897</v>
      </c>
      <c r="E125" s="1" t="n">
        <v>46219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31617-2024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46219</v>
      </c>
      <c r="F126" t="inlineStr">
        <is>
          <t>VÄSTMANLANDS LÄN</t>
        </is>
      </c>
      <c r="G126" t="inlineStr">
        <is>
          <t>SKINNSKATTEBERG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40901-2021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44421</v>
      </c>
      <c r="E127" s="1" t="n">
        <v>46219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16647-2025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46219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44693-2024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46219</v>
      </c>
      <c r="F129" t="inlineStr">
        <is>
          <t>VÄSTMANLANDS LÄN</t>
        </is>
      </c>
      <c r="G129" t="inlineStr">
        <is>
          <t>SKINNSKATTEBERG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45574</v>
      </c>
      <c r="E130" s="1" t="n">
        <v>46219</v>
      </c>
      <c r="F130" t="inlineStr">
        <is>
          <t>VÄSTMANLANDS LÄN</t>
        </is>
      </c>
      <c r="G130" t="inlineStr">
        <is>
          <t>SKINNSKATTEBERG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43190-2025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46219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46219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13676-2022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46219</v>
      </c>
      <c r="F133" t="inlineStr">
        <is>
          <t>VÄSTMANLANDS LÄN</t>
        </is>
      </c>
      <c r="G133" t="inlineStr">
        <is>
          <t>SKINNSKATTEBERG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46219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40545-2023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45170</v>
      </c>
      <c r="E135" s="1" t="n">
        <v>46219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55428-2021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44475</v>
      </c>
      <c r="E136" s="1" t="n">
        <v>46219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44179-2025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46219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44184-2025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45915</v>
      </c>
      <c r="E138" s="1" t="n">
        <v>46219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38738-2021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44410</v>
      </c>
      <c r="E139" s="1" t="n">
        <v>46219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29708-2024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45485</v>
      </c>
      <c r="E140" s="1" t="n">
        <v>46219</v>
      </c>
      <c r="F140" t="inlineStr">
        <is>
          <t>VÄSTMANLANDS LÄN</t>
        </is>
      </c>
      <c r="G140" t="inlineStr">
        <is>
          <t>SKINNSKATTEBERG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41581-2025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45901</v>
      </c>
      <c r="E141" s="1" t="n">
        <v>46219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46219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46219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45115-2025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46219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46219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46219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51472-2024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46219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45686</v>
      </c>
      <c r="E148" s="1" t="n">
        <v>46219</v>
      </c>
      <c r="F148" t="inlineStr">
        <is>
          <t>VÄSTMANLANDS LÄN</t>
        </is>
      </c>
      <c r="G148" t="inlineStr">
        <is>
          <t>SKINNSKATTEBERG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10232-2025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46219</v>
      </c>
      <c r="F149" t="inlineStr">
        <is>
          <t>VÄSTMANLANDS LÄN</t>
        </is>
      </c>
      <c r="G149" t="inlineStr">
        <is>
          <t>SKINNSKATTEBERG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14189-2024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46219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20074-2023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45054</v>
      </c>
      <c r="E151" s="1" t="n">
        <v>46219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47541-2025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46219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47543-2025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46219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16088-2024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45406</v>
      </c>
      <c r="E154" s="1" t="n">
        <v>46219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40179-2024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46219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46219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31629-2024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45506</v>
      </c>
      <c r="E157" s="1" t="n">
        <v>46219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49022-2025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46219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40176-2024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46219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31302-2024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45504</v>
      </c>
      <c r="E160" s="1" t="n">
        <v>46219</v>
      </c>
      <c r="F160" t="inlineStr">
        <is>
          <t>VÄSTMANLANDS LÄN</t>
        </is>
      </c>
      <c r="G160" t="inlineStr">
        <is>
          <t>SKINNSKATTEBERG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53183-2021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44468</v>
      </c>
      <c r="E161" s="1" t="n">
        <v>46219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46219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50672-2025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46219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52600-2021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44466</v>
      </c>
      <c r="E164" s="1" t="n">
        <v>46219</v>
      </c>
      <c r="F164" t="inlineStr">
        <is>
          <t>VÄSTMANLANDS LÄN</t>
        </is>
      </c>
      <c r="G164" t="inlineStr">
        <is>
          <t>SKINNSKATTEBERG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16089-2024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46219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51028-2025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45947</v>
      </c>
      <c r="E166" s="1" t="n">
        <v>46219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51023-2025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46219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51025-2025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46219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51026-2025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45947</v>
      </c>
      <c r="E169" s="1" t="n">
        <v>46219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61424-2023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45264</v>
      </c>
      <c r="E170" s="1" t="n">
        <v>46219</v>
      </c>
      <c r="F170" t="inlineStr">
        <is>
          <t>VÄSTMANLANDS LÄN</t>
        </is>
      </c>
      <c r="G170" t="inlineStr">
        <is>
          <t>SKINNSKATTEBERG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44967</v>
      </c>
      <c r="E171" s="1" t="n">
        <v>46219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21576-2023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46219</v>
      </c>
      <c r="F172" t="inlineStr">
        <is>
          <t>VÄSTMANLANDS LÄN</t>
        </is>
      </c>
      <c r="G172" t="inlineStr">
        <is>
          <t>SKINNSKATTEBERG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52018-2025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46219</v>
      </c>
      <c r="F173" t="inlineStr">
        <is>
          <t>VÄSTMANLANDS LÄN</t>
        </is>
      </c>
      <c r="G173" t="inlineStr">
        <is>
          <t>SKINNSKATTEBERG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46219</v>
      </c>
      <c r="F174" t="inlineStr">
        <is>
          <t>VÄSTMANLANDS LÄN</t>
        </is>
      </c>
      <c r="G174" t="inlineStr">
        <is>
          <t>SKINNSKATTEBERG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46219</v>
      </c>
      <c r="F175" t="inlineStr">
        <is>
          <t>VÄSTMANLANDS LÄN</t>
        </is>
      </c>
      <c r="G175" t="inlineStr">
        <is>
          <t>SKINNSKATTEBERG</t>
        </is>
      </c>
      <c r="I175" t="n">
        <v>10.5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52728-2025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46219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46219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46219</v>
      </c>
      <c r="F178" t="inlineStr">
        <is>
          <t>VÄSTMANLANDS LÄN</t>
        </is>
      </c>
      <c r="G178" t="inlineStr">
        <is>
          <t>SKINNSKATTEBERG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53539-2025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46219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40554-2024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46219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53471-2025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46219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23565-2026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46219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46219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33396-2023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45128</v>
      </c>
      <c r="E184" s="1" t="n">
        <v>46219</v>
      </c>
      <c r="F184" t="inlineStr">
        <is>
          <t>VÄSTMANLANDS LÄN</t>
        </is>
      </c>
      <c r="G184" t="inlineStr">
        <is>
          <t>SKINNSKATTEBERG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54499-2025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46219</v>
      </c>
      <c r="F185" t="inlineStr">
        <is>
          <t>VÄSTMANLANDS LÄN</t>
        </is>
      </c>
      <c r="G185" t="inlineStr">
        <is>
          <t>SKINNSKATTEBERG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23560-2026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46219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23561-2026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46163</v>
      </c>
      <c r="E187" s="1" t="n">
        <v>46219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23567-2026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46219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55007-2025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46219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46219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46219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24199-2026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46168</v>
      </c>
      <c r="E192" s="1" t="n">
        <v>46219</v>
      </c>
      <c r="F192" t="inlineStr">
        <is>
          <t>VÄSTMANLANDS LÄN</t>
        </is>
      </c>
      <c r="G192" t="inlineStr">
        <is>
          <t>SKINNSKATTEBERG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11800-2024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45375</v>
      </c>
      <c r="E193" s="1" t="n">
        <v>46219</v>
      </c>
      <c r="F193" t="inlineStr">
        <is>
          <t>VÄSTMANLANDS LÄN</t>
        </is>
      </c>
      <c r="G193" t="inlineStr">
        <is>
          <t>SKINNSKATTEBERG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44965</v>
      </c>
      <c r="E194" s="1" t="n">
        <v>46219</v>
      </c>
      <c r="F194" t="inlineStr">
        <is>
          <t>VÄSTMANLANDS LÄN</t>
        </is>
      </c>
      <c r="G194" t="inlineStr">
        <is>
          <t>SKINNSKATTEBERG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45568</v>
      </c>
      <c r="E195" s="1" t="n">
        <v>46219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46219</v>
      </c>
      <c r="F196" t="inlineStr">
        <is>
          <t>VÄSTMANLANDS LÄN</t>
        </is>
      </c>
      <c r="G196" t="inlineStr">
        <is>
          <t>SKINNSKATTEBERG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46219</v>
      </c>
      <c r="F197" t="inlineStr">
        <is>
          <t>VÄSTMANLANDS LÄN</t>
        </is>
      </c>
      <c r="G197" t="inlineStr">
        <is>
          <t>SKINNSKATTEBERG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55952-2025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46219</v>
      </c>
      <c r="F198" t="inlineStr">
        <is>
          <t>VÄSTMANLANDS LÄN</t>
        </is>
      </c>
      <c r="G198" t="inlineStr">
        <is>
          <t>SKINNSKATTEBERG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55885-2025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46219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55889-2025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46219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46219</v>
      </c>
      <c r="F201" t="inlineStr">
        <is>
          <t>VÄSTMANLANDS LÄN</t>
        </is>
      </c>
      <c r="G201" t="inlineStr">
        <is>
          <t>SKINNSKATTEBERG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46219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15737-2024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45404</v>
      </c>
      <c r="E203" s="1" t="n">
        <v>46219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56465-2025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45975</v>
      </c>
      <c r="E204" s="1" t="n">
        <v>46219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35059-2024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46219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20243-2024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45434</v>
      </c>
      <c r="E206" s="1" t="n">
        <v>46219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46219</v>
      </c>
      <c r="F207" t="inlineStr">
        <is>
          <t>VÄSTMANLANDS LÄN</t>
        </is>
      </c>
      <c r="G207" t="inlineStr">
        <is>
          <t>SKINNSKATTEBERG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46219</v>
      </c>
      <c r="F208" t="inlineStr">
        <is>
          <t>VÄSTMANLANDS LÄN</t>
        </is>
      </c>
      <c r="G208" t="inlineStr">
        <is>
          <t>SKINNSKATTEBERG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24491-2026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46219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24494-2026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46219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46219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24495-2026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46219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58882-2025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46219</v>
      </c>
      <c r="F213" t="inlineStr">
        <is>
          <t>VÄSTMANLANDS LÄN</t>
        </is>
      </c>
      <c r="G213" t="inlineStr">
        <is>
          <t>SKINNSKATTEBERG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37432-2023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46219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46219</v>
      </c>
      <c r="F215" t="inlineStr">
        <is>
          <t>VÄSTMANLANDS LÄN</t>
        </is>
      </c>
      <c r="G215" t="inlineStr">
        <is>
          <t>SKINNSKATTEBERG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24493-2026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46219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59711-2025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46219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19398-2024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46219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46219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66584-2021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44519</v>
      </c>
      <c r="E220" s="1" t="n">
        <v>46219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44995</v>
      </c>
      <c r="E221" s="1" t="n">
        <v>46219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42425-2023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46219</v>
      </c>
      <c r="F222" t="inlineStr">
        <is>
          <t>VÄSTMANLANDS LÄN</t>
        </is>
      </c>
      <c r="G222" t="inlineStr">
        <is>
          <t>SKINNSKATTEBERG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15540-2024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46219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18161-2024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45420</v>
      </c>
      <c r="E224" s="1" t="n">
        <v>46219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46219</v>
      </c>
      <c r="F225" t="inlineStr">
        <is>
          <t>VÄSTMANLANDS LÄN</t>
        </is>
      </c>
      <c r="G225" t="inlineStr">
        <is>
          <t>SKINNSKATTEBERG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14736-2023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45014</v>
      </c>
      <c r="E226" s="1" t="n">
        <v>46219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61895-2025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46219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12888-2024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45385</v>
      </c>
      <c r="E228" s="1" t="n">
        <v>46219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43807-2024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45571</v>
      </c>
      <c r="E229" s="1" t="n">
        <v>46219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14237-2025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45740</v>
      </c>
      <c r="E230" s="1" t="n">
        <v>46219</v>
      </c>
      <c r="F230" t="inlineStr">
        <is>
          <t>VÄSTMANLANDS LÄN</t>
        </is>
      </c>
      <c r="G230" t="inlineStr">
        <is>
          <t>SKINNSKATTEBERG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60355-2024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46219</v>
      </c>
      <c r="F231" t="inlineStr">
        <is>
          <t>VÄSTMANLANDS LÄN</t>
        </is>
      </c>
      <c r="G231" t="inlineStr">
        <is>
          <t>SKINNSKATTEBERG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46219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47689-2023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46219</v>
      </c>
      <c r="F233" t="inlineStr">
        <is>
          <t>VÄSTMANLANDS LÄN</t>
        </is>
      </c>
      <c r="G233" t="inlineStr">
        <is>
          <t>SKINNSKATTEBERG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62934-2025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46219</v>
      </c>
      <c r="F234" t="inlineStr">
        <is>
          <t>VÄSTMANLANDS LÄN</t>
        </is>
      </c>
      <c r="G234" t="inlineStr">
        <is>
          <t>SKINNSKATTEBERG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62933-2025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46219</v>
      </c>
      <c r="F235" t="inlineStr">
        <is>
          <t>VÄSTMANLANDS LÄN</t>
        </is>
      </c>
      <c r="G235" t="inlineStr">
        <is>
          <t>SKINNSKATTEBERG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27329-2023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46219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40167-2024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46219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46219</v>
      </c>
      <c r="F238" t="inlineStr">
        <is>
          <t>VÄSTMANLANDS LÄN</t>
        </is>
      </c>
      <c r="G238" t="inlineStr">
        <is>
          <t>SKINNSKATTEBERG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16400-2024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46219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40497-2023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45170</v>
      </c>
      <c r="E240" s="1" t="n">
        <v>46219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20947-2025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46219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31268-2023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46219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20949-2025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46219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46219</v>
      </c>
      <c r="F244" t="inlineStr">
        <is>
          <t>VÄSTMANLANDS LÄN</t>
        </is>
      </c>
      <c r="G244" t="inlineStr">
        <is>
          <t>SKINNSKATTEBERG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46219</v>
      </c>
      <c r="F245" t="inlineStr">
        <is>
          <t>VÄSTMANLANDS LÄN</t>
        </is>
      </c>
      <c r="G245" t="inlineStr">
        <is>
          <t>SKINNSKATTEBERG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50980-2022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46219</v>
      </c>
      <c r="F246" t="inlineStr">
        <is>
          <t>VÄSTMANLANDS LÄN</t>
        </is>
      </c>
      <c r="G246" t="inlineStr">
        <is>
          <t>SKINNSKATTEBERG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12158-2024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45377</v>
      </c>
      <c r="E247" s="1" t="n">
        <v>46219</v>
      </c>
      <c r="F247" t="inlineStr">
        <is>
          <t>VÄSTMANLANDS LÄN</t>
        </is>
      </c>
      <c r="G247" t="inlineStr">
        <is>
          <t>SKINNSKATTEBERG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19655-2025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46219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37730-2024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46219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22280-2025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46219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5704-2026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46051</v>
      </c>
      <c r="E251" s="1" t="n">
        <v>46219</v>
      </c>
      <c r="F251" t="inlineStr">
        <is>
          <t>VÄSTMANLANDS LÄN</t>
        </is>
      </c>
      <c r="G251" t="inlineStr">
        <is>
          <t>SKINNSKATTEBERG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5693-2026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46051</v>
      </c>
      <c r="E252" s="1" t="n">
        <v>46219</v>
      </c>
      <c r="F252" t="inlineStr">
        <is>
          <t>VÄSTMANLANDS LÄN</t>
        </is>
      </c>
      <c r="G252" t="inlineStr">
        <is>
          <t>SKINNSKATTEBERG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5675-2026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46051</v>
      </c>
      <c r="E253" s="1" t="n">
        <v>46219</v>
      </c>
      <c r="F253" t="inlineStr">
        <is>
          <t>VÄSTMANLANDS LÄN</t>
        </is>
      </c>
      <c r="G253" t="inlineStr">
        <is>
          <t>SKINNSKATTEBERG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6601-2026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46219</v>
      </c>
      <c r="F254" t="inlineStr">
        <is>
          <t>VÄSTMANLANDS LÄN</t>
        </is>
      </c>
      <c r="G254" t="inlineStr">
        <is>
          <t>SKINNSKATTEBERG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41332-2023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45174</v>
      </c>
      <c r="E255" s="1" t="n">
        <v>46219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24884-2023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46219</v>
      </c>
      <c r="F256" t="inlineStr">
        <is>
          <t>VÄSTMANLANDS LÄN</t>
        </is>
      </c>
      <c r="G256" t="inlineStr">
        <is>
          <t>SKINNSKATTEBERG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57343-2023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46219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24793-2022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44728</v>
      </c>
      <c r="E258" s="1" t="n">
        <v>46219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38783-2024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46219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16397-2024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46219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27328-2023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46219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41333-2023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45174</v>
      </c>
      <c r="E262" s="1" t="n">
        <v>46219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46219</v>
      </c>
      <c r="F263" t="inlineStr">
        <is>
          <t>VÄSTMANLANDS LÄN</t>
        </is>
      </c>
      <c r="G263" t="inlineStr">
        <is>
          <t>SKINNSKATTEBERG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28941-2024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45480</v>
      </c>
      <c r="E264" s="1" t="n">
        <v>46219</v>
      </c>
      <c r="F264" t="inlineStr">
        <is>
          <t>VÄSTMANLANDS LÄN</t>
        </is>
      </c>
      <c r="G264" t="inlineStr">
        <is>
          <t>SKINNSKATTEBERG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18163-2024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45420</v>
      </c>
      <c r="E265" s="1" t="n">
        <v>46219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22285-2025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45786</v>
      </c>
      <c r="E266" s="1" t="n">
        <v>46219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22079-2024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46219</v>
      </c>
      <c r="F267" t="inlineStr">
        <is>
          <t>VÄSTMANLANDS LÄN</t>
        </is>
      </c>
      <c r="G267" t="inlineStr">
        <is>
          <t>SKINNSKATTEBERG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28058-2024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45476</v>
      </c>
      <c r="E268" s="1" t="n">
        <v>46219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35051-2024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46219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40546-2023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46219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46219</v>
      </c>
      <c r="F271" t="inlineStr">
        <is>
          <t>VÄSTMANLANDS LÄN</t>
        </is>
      </c>
      <c r="G271" t="inlineStr">
        <is>
          <t>SKINNSKATTEBERG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46219</v>
      </c>
      <c r="F272" t="inlineStr">
        <is>
          <t>VÄSTMANLANDS LÄN</t>
        </is>
      </c>
      <c r="G272" t="inlineStr">
        <is>
          <t>SKINNSKATTEBERG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46219</v>
      </c>
      <c r="F273" t="inlineStr">
        <is>
          <t>VÄSTMANLANDS LÄN</t>
        </is>
      </c>
      <c r="G273" t="inlineStr">
        <is>
          <t>SKINNSKATTEBERG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55210-2023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46219</v>
      </c>
      <c r="F274" t="inlineStr">
        <is>
          <t>VÄSTMANLANDS LÄN</t>
        </is>
      </c>
      <c r="G274" t="inlineStr">
        <is>
          <t>SKINNSKATTEBERG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8199-2023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44974</v>
      </c>
      <c r="E275" s="1" t="n">
        <v>46219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13353-2026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46219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13355-2026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46219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13350-2026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46219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61181-2021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44498</v>
      </c>
      <c r="E279" s="1" t="n">
        <v>46219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35831-2024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46219</v>
      </c>
      <c r="F280" t="inlineStr">
        <is>
          <t>VÄSTMANLANDS LÄN</t>
        </is>
      </c>
      <c r="G280" t="inlineStr">
        <is>
          <t>SKINNSKATTEBERG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35834-2024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46219</v>
      </c>
      <c r="F281" t="inlineStr">
        <is>
          <t>VÄSTMANLANDS LÄN</t>
        </is>
      </c>
      <c r="G281" t="inlineStr">
        <is>
          <t>SKINNSKATTEBERG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51508-2021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44462</v>
      </c>
      <c r="E282" s="1" t="n">
        <v>46219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15094-2026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46219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21571-2023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45063</v>
      </c>
      <c r="E284" s="1" t="n">
        <v>46219</v>
      </c>
      <c r="F284" t="inlineStr">
        <is>
          <t>VÄSTMANLANDS LÄN</t>
        </is>
      </c>
      <c r="G284" t="inlineStr">
        <is>
          <t>SKINNSKATTEBERG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21579-2023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45063</v>
      </c>
      <c r="E285" s="1" t="n">
        <v>46219</v>
      </c>
      <c r="F285" t="inlineStr">
        <is>
          <t>VÄSTMANLANDS LÄN</t>
        </is>
      </c>
      <c r="G285" t="inlineStr">
        <is>
          <t>SKINNSKATTEBERG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25846-2025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45804</v>
      </c>
      <c r="E286" s="1" t="n">
        <v>46219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46219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46219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15731-2026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46219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16136-2026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46108</v>
      </c>
      <c r="E290" s="1" t="n">
        <v>46219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35683-2024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46219</v>
      </c>
      <c r="F291" t="inlineStr">
        <is>
          <t>VÄSTMANLANDS LÄN</t>
        </is>
      </c>
      <c r="G291" t="inlineStr">
        <is>
          <t>SKINNSKATTEBERG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15955-2026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46108</v>
      </c>
      <c r="E292" s="1" t="n">
        <v>46219</v>
      </c>
      <c r="F292" t="inlineStr">
        <is>
          <t>VÄSTMANLANDS LÄN</t>
        </is>
      </c>
      <c r="G292" t="inlineStr">
        <is>
          <t>SKINNSKATTEBERG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16299-2026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46219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16301-2026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46219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16304-2026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46219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48825-2022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46219</v>
      </c>
      <c r="F296" t="inlineStr">
        <is>
          <t>VÄSTMANLANDS LÄN</t>
        </is>
      </c>
      <c r="G296" t="inlineStr">
        <is>
          <t>SKINNSKATTEBERG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17098-2026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46114</v>
      </c>
      <c r="E297" s="1" t="n">
        <v>46219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17344-2026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46219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53142-2021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44468</v>
      </c>
      <c r="E299" s="1" t="n">
        <v>46219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17933-2026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46219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53145-2021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44468</v>
      </c>
      <c r="E301" s="1" t="n">
        <v>46219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17997-2026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46124</v>
      </c>
      <c r="E302" s="1" t="n">
        <v>46219</v>
      </c>
      <c r="F302" t="inlineStr">
        <is>
          <t>VÄSTMANLANDS LÄN</t>
        </is>
      </c>
      <c r="G302" t="inlineStr">
        <is>
          <t>SKINNSKATTEBERG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45480</v>
      </c>
      <c r="E303" s="1" t="n">
        <v>46219</v>
      </c>
      <c r="F303" t="inlineStr">
        <is>
          <t>VÄSTMANLANDS LÄN</t>
        </is>
      </c>
      <c r="G303" t="inlineStr">
        <is>
          <t>SKINNSKATTEBERG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18109-2023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45040</v>
      </c>
      <c r="E304" s="1" t="n">
        <v>46219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11826-2024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45376</v>
      </c>
      <c r="E305" s="1" t="n">
        <v>46219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20816-2023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46219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18948-2026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46219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19093-2023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45048</v>
      </c>
      <c r="E308" s="1" t="n">
        <v>46219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19582-2026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46134</v>
      </c>
      <c r="E309" s="1" t="n">
        <v>46219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28873-2025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45820</v>
      </c>
      <c r="E310" s="1" t="n">
        <v>46219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45250</v>
      </c>
      <c r="E311" s="1" t="n">
        <v>46219</v>
      </c>
      <c r="F311" t="inlineStr">
        <is>
          <t>VÄSTMANLANDS LÄN</t>
        </is>
      </c>
      <c r="G311" t="inlineStr">
        <is>
          <t>SKINNSKATTEBERG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19541-2026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46134</v>
      </c>
      <c r="E312" s="1" t="n">
        <v>46219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19540-2026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46134</v>
      </c>
      <c r="E313" s="1" t="n">
        <v>46219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57747-2023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45246</v>
      </c>
      <c r="E314" s="1" t="n">
        <v>46219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28831-2025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45820</v>
      </c>
      <c r="E315" s="1" t="n">
        <v>46219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29070-2025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45821</v>
      </c>
      <c r="E316" s="1" t="n">
        <v>46219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25638-2026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46219</v>
      </c>
      <c r="F317" t="inlineStr">
        <is>
          <t>VÄSTMANLANDS LÄN</t>
        </is>
      </c>
      <c r="G317" t="inlineStr">
        <is>
          <t>SKINNSKATTEBERG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25640-2026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46219</v>
      </c>
      <c r="F318" t="inlineStr">
        <is>
          <t>VÄSTMANLANDS LÄN</t>
        </is>
      </c>
      <c r="G318" t="inlineStr">
        <is>
          <t>SKINNSKATTEBERG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19939-2026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46136</v>
      </c>
      <c r="E319" s="1" t="n">
        <v>46219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29808-2025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45825</v>
      </c>
      <c r="E320" s="1" t="n">
        <v>46219</v>
      </c>
      <c r="F320" t="inlineStr">
        <is>
          <t>VÄSTMANLANDS LÄN</t>
        </is>
      </c>
      <c r="G320" t="inlineStr">
        <is>
          <t>SKINNSKATTEBERG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29810-2025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45825</v>
      </c>
      <c r="E321" s="1" t="n">
        <v>46219</v>
      </c>
      <c r="F321" t="inlineStr">
        <is>
          <t>VÄSTMANLANDS LÄN</t>
        </is>
      </c>
      <c r="G321" t="inlineStr">
        <is>
          <t>SKINNSKATTEBERG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19943-2026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46136</v>
      </c>
      <c r="E322" s="1" t="n">
        <v>46219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7103-2022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44603</v>
      </c>
      <c r="E323" s="1" t="n">
        <v>46219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Kyrkan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25753-2026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46219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30436-2025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45827</v>
      </c>
      <c r="E325" s="1" t="n">
        <v>46219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30439-2025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45827</v>
      </c>
      <c r="E326" s="1" t="n">
        <v>46219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45425</v>
      </c>
      <c r="E327" s="1" t="n">
        <v>46219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19928-2026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46219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25750-2026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46219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25748-2026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46219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30873-2025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46219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31011-2025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46219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31234-2025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45832</v>
      </c>
      <c r="E333" s="1" t="n">
        <v>46219</v>
      </c>
      <c r="F333" t="inlineStr">
        <is>
          <t>VÄSTMANLANDS LÄN</t>
        </is>
      </c>
      <c r="G333" t="inlineStr">
        <is>
          <t>SKINNSKATTEBERG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30353-2023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46219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58979-2023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45252</v>
      </c>
      <c r="E335" s="1" t="n">
        <v>46219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13385-2024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46219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36248-2024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45534</v>
      </c>
      <c r="E337" s="1" t="n">
        <v>46219</v>
      </c>
      <c r="F337" t="inlineStr">
        <is>
          <t>VÄSTMANLANDS LÄN</t>
        </is>
      </c>
      <c r="G337" t="inlineStr">
        <is>
          <t>SKINNSKATTEBERG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31262-2023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46219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20556-2026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46219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20563-2026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46140</v>
      </c>
      <c r="E340" s="1" t="n">
        <v>46219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46219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26354-2026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46219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26356-2026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46182</v>
      </c>
      <c r="E343" s="1" t="n">
        <v>46219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22611-2024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45447</v>
      </c>
      <c r="E344" s="1" t="n">
        <v>46219</v>
      </c>
      <c r="F344" t="inlineStr">
        <is>
          <t>VÄSTMANLANDS LÄN</t>
        </is>
      </c>
      <c r="G344" t="inlineStr">
        <is>
          <t>SKINNSKATTEBERG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13713-2024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45390</v>
      </c>
      <c r="E345" s="1" t="n">
        <v>46219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53880-2021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44469</v>
      </c>
      <c r="E346" s="1" t="n">
        <v>46219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25843-2023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45090</v>
      </c>
      <c r="E347" s="1" t="n">
        <v>46219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18409-2025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46219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45686</v>
      </c>
      <c r="E349" s="1" t="n">
        <v>46219</v>
      </c>
      <c r="F349" t="inlineStr">
        <is>
          <t>VÄSTMANLANDS LÄN</t>
        </is>
      </c>
      <c r="G349" t="inlineStr">
        <is>
          <t>SKINNSKATTEBERG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18417-2025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45762</v>
      </c>
      <c r="E350" s="1" t="n">
        <v>46219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34720-2025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45848</v>
      </c>
      <c r="E351" s="1" t="n">
        <v>46219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40174-2024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46219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45853</v>
      </c>
      <c r="E353" s="1" t="n">
        <v>46219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35205-2025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45853</v>
      </c>
      <c r="E354" s="1" t="n">
        <v>46219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54439-2024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46219</v>
      </c>
      <c r="F355" t="inlineStr">
        <is>
          <t>VÄSTMANLANDS LÄN</t>
        </is>
      </c>
      <c r="G355" t="inlineStr">
        <is>
          <t>SKINNSKATTEBERG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20848-2026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46219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20623-2026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46219</v>
      </c>
      <c r="F357" t="inlineStr">
        <is>
          <t>VÄSTMANLANDS LÄN</t>
        </is>
      </c>
      <c r="G357" t="inlineStr">
        <is>
          <t>SKINNSKATTEBERG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47137-2024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45586</v>
      </c>
      <c r="E358" s="1" t="n">
        <v>46219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20850-2026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46219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20852-2026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46219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20853-2026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46219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20854-2026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46219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20856-2026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46219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20840-2026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46219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37763-2025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46219</v>
      </c>
      <c r="F365" t="inlineStr">
        <is>
          <t>VÄSTMANLANDS LÄN</t>
        </is>
      </c>
      <c r="G365" t="inlineStr">
        <is>
          <t>SKINNSKATTEBERG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26862-2026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46219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46219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27637-2026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46219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27639-2026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46219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21848-2026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46219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27919-2026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46219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46219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27921-2026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46219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28161-2026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46219</v>
      </c>
      <c r="F374" t="inlineStr">
        <is>
          <t>VÄSTMANLANDS LÄN</t>
        </is>
      </c>
      <c r="G374" t="inlineStr">
        <is>
          <t>SKINNSKATTEBERG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22260-2026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46219</v>
      </c>
      <c r="F375" t="inlineStr">
        <is>
          <t>VÄSTMANLANDS LÄN</t>
        </is>
      </c>
      <c r="G375" t="inlineStr">
        <is>
          <t>SKINNSKATTEBERG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26865-2026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46219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28458-2026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46219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46219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28456-2026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46197</v>
      </c>
      <c r="E379" s="1" t="n">
        <v>46219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28463-2026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46197</v>
      </c>
      <c r="E380" s="1" t="n">
        <v>46219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29026-2026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46199</v>
      </c>
      <c r="E381" s="1" t="n">
        <v>46219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29091-2026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46200</v>
      </c>
      <c r="E382" s="1" t="n">
        <v>46219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22779-2026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46157</v>
      </c>
      <c r="E383" s="1" t="n">
        <v>46219</v>
      </c>
      <c r="F383" t="inlineStr">
        <is>
          <t>VÄSTMANLANDS LÄN</t>
        </is>
      </c>
      <c r="G383" t="inlineStr">
        <is>
          <t>SKINNSKATTEBERG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29022-2026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46219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29021-2026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46219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29090-2026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46200</v>
      </c>
      <c r="E386" s="1" t="n">
        <v>46219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46219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46219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46219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46219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46219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46219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46219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46219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46219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46219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46219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46219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2026-07-16T01:24:58Z</dcterms:created>
  <dcterms:modified xmlns:dcterms="http://purl.org/dc/terms/" xmlns:xsi="http://www.w3.org/2001/XMLSchema-instance" xsi:type="dcterms:W3CDTF">2026-07-16T01:24:58Z</dcterms:modified>
</cp:coreProperties>
</file>