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46297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46297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46297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46297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46297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46297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46297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46297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46297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46297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46297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46297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46297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46297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46297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46297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46297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46297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46297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46297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46297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36596-2024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45537</v>
      </c>
      <c r="E23" s="1" t="n">
        <v>46297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3</v>
      </c>
      <c r="U23" t="n">
        <v>3</v>
      </c>
      <c r="V23" s="2" t="inlineStr">
        <is>
          <t>Jättemusseron
Lakritsmusseron</t>
        </is>
      </c>
      <c r="W23">
        <f>HYPERLINK("https://klasma.github.io/Logging_1904/artfynd/A 36596-2024 artfynd.xlsx", "A 36596-2024")</f>
        <v/>
      </c>
      <c r="X23">
        <f>HYPERLINK("https://klasma.github.io/Logging_1904/kartor/A 36596-2024 karta.png", "A 36596-2024")</f>
        <v/>
      </c>
      <c r="Y23">
        <f>HYPERLINK("https://klasma.github.io/Logging_1904/kartor_geotiff/A 36596-2024 georefererad karta.tif", "A 36596-2024")</f>
        <v/>
      </c>
      <c r="AA23">
        <f>HYPERLINK("https://klasma.github.io/Logging_1904/klagomål/A 36596-2024 FSC-klagomål.docx", "A 36596-2024")</f>
        <v/>
      </c>
      <c r="AB23">
        <f>HYPERLINK("https://klasma.github.io/Logging_1904/klagomålsmail/A 36596-2024 FSC-klagomål mail.docx", "A 36596-2024")</f>
        <v/>
      </c>
      <c r="AC23">
        <f>HYPERLINK("https://klasma.github.io/Logging_1904/tillsyn/A 36596-2024 tillsynsbegäran.docx", "A 36596-2024")</f>
        <v/>
      </c>
      <c r="AD23">
        <f>HYPERLINK("https://klasma.github.io/Logging_1904/tillsynsmail/A 36596-2024 tillsynsbegäran mail.docx", "A 36596-2024")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46297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18416-2025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45762</v>
      </c>
      <c r="E25" s="1" t="n">
        <v>46297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2.7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Stubbspretmossa
Svart trolldruva</t>
        </is>
      </c>
      <c r="W25">
        <f>HYPERLINK("https://klasma.github.io/Logging_1904/artfynd/A 18416-2025 artfynd.xlsx", "A 18416-2025")</f>
        <v/>
      </c>
      <c r="X25">
        <f>HYPERLINK("https://klasma.github.io/Logging_1904/kartor/A 18416-2025 karta.png", "A 18416-2025")</f>
        <v/>
      </c>
      <c r="Y25">
        <f>HYPERLINK("https://klasma.github.io/Logging_1904/kartor_geotiff/A 18416-2025 georefererad karta.tif", "A 18416-2025")</f>
        <v/>
      </c>
      <c r="AA25">
        <f>HYPERLINK("https://klasma.github.io/Logging_1904/klagomål/A 18416-2025 FSC-klagomål.docx", "A 18416-2025")</f>
        <v/>
      </c>
      <c r="AB25">
        <f>HYPERLINK("https://klasma.github.io/Logging_1904/klagomålsmail/A 18416-2025 FSC-klagomål mail.docx", "A 18416-2025")</f>
        <v/>
      </c>
      <c r="AC25">
        <f>HYPERLINK("https://klasma.github.io/Logging_1904/tillsyn/A 18416-2025 tillsynsbegäran.docx", "A 18416-2025")</f>
        <v/>
      </c>
      <c r="AD25">
        <f>HYPERLINK("https://klasma.github.io/Logging_1904/tillsynsmail/A 18416-2025 tillsynsbegäran mail.docx", "A 18416-2025")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46297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46297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46297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46297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46297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46297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47538-2025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46297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Svinrot</t>
        </is>
      </c>
      <c r="W32">
        <f>HYPERLINK("https://klasma.github.io/Logging_1904/artfynd/A 47538-2025 artfynd.xlsx", "A 47538-2025")</f>
        <v/>
      </c>
      <c r="X32">
        <f>HYPERLINK("https://klasma.github.io/Logging_1904/kartor/A 47538-2025 karta.png", "A 47538-2025")</f>
        <v/>
      </c>
      <c r="Y32">
        <f>HYPERLINK("https://klasma.github.io/Logging_1904/kartor_geotiff/A 47538-2025 georefererad karta.tif", "A 47538-2025")</f>
        <v/>
      </c>
      <c r="AA32">
        <f>HYPERLINK("https://klasma.github.io/Logging_1904/klagomål/A 47538-2025 FSC-klagomål.docx", "A 47538-2025")</f>
        <v/>
      </c>
      <c r="AB32">
        <f>HYPERLINK("https://klasma.github.io/Logging_1904/klagomålsmail/A 47538-2025 FSC-klagomål mail.docx", "A 47538-2025")</f>
        <v/>
      </c>
      <c r="AC32">
        <f>HYPERLINK("https://klasma.github.io/Logging_1904/tillsyn/A 47538-2025 tillsynsbegäran.docx", "A 47538-2025")</f>
        <v/>
      </c>
      <c r="AD32">
        <f>HYPERLINK("https://klasma.github.io/Logging_1904/tillsynsmail/A 47538-2025 tillsynsbegäran mail.docx", "A 47538-2025")</f>
        <v/>
      </c>
    </row>
    <row r="33" ht="15" customHeight="1">
      <c r="A33" t="inlineStr">
        <is>
          <t>A 9490-2024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46297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Nattskärra</t>
        </is>
      </c>
      <c r="W33">
        <f>HYPERLINK("https://klasma.github.io/Logging_1904/artfynd/A 9490-2024 artfynd.xlsx", "A 9490-2024")</f>
        <v/>
      </c>
      <c r="X33">
        <f>HYPERLINK("https://klasma.github.io/Logging_1904/kartor/A 9490-2024 karta.png", "A 9490-2024")</f>
        <v/>
      </c>
      <c r="Y33">
        <f>HYPERLINK("https://klasma.github.io/Logging_1904/kartor_geotiff/A 9490-2024 georefererad karta.tif", "A 9490-2024")</f>
        <v/>
      </c>
      <c r="AA33">
        <f>HYPERLINK("https://klasma.github.io/Logging_1904/klagomål/A 9490-2024 FSC-klagomål.docx", "A 9490-2024")</f>
        <v/>
      </c>
      <c r="AB33">
        <f>HYPERLINK("https://klasma.github.io/Logging_1904/klagomålsmail/A 9490-2024 FSC-klagomål mail.docx", "A 9490-2024")</f>
        <v/>
      </c>
      <c r="AC33">
        <f>HYPERLINK("https://klasma.github.io/Logging_1904/tillsyn/A 9490-2024 tillsynsbegäran.docx", "A 9490-2024")</f>
        <v/>
      </c>
      <c r="AD33">
        <f>HYPERLINK("https://klasma.github.io/Logging_1904/tillsynsmail/A 9490-2024 tillsynsbegäran mail.docx", "A 9490-2024")</f>
        <v/>
      </c>
      <c r="AE33">
        <f>HYPERLINK("https://klasma.github.io/Logging_1904/fåglar/A 9490-2024 prioriterade fågelarter.docx", "A 9490-2024")</f>
        <v/>
      </c>
    </row>
    <row r="34" ht="15" customHeight="1">
      <c r="A34" t="inlineStr">
        <is>
          <t>A 54296-2023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46297</v>
      </c>
      <c r="F34" t="inlineStr">
        <is>
          <t>VÄSTMANLANDS LÄN</t>
        </is>
      </c>
      <c r="G34" t="inlineStr">
        <is>
          <t>SKINNSKATTEBERG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HYPERLINK("https://klasma.github.io/Logging_1904/artfynd/A 54296-2023 artfynd.xlsx", "A 54296-2023")</f>
        <v/>
      </c>
      <c r="X34">
        <f>HYPERLINK("https://klasma.github.io/Logging_1904/kartor/A 54296-2023 karta.png", "A 54296-2023")</f>
        <v/>
      </c>
      <c r="Y34">
        <f>HYPERLINK("https://klasma.github.io/Logging_1904/kartor_geotiff/A 54296-2023 georefererad karta.tif", "A 54296-2023")</f>
        <v/>
      </c>
      <c r="AA34">
        <f>HYPERLINK("https://klasma.github.io/Logging_1904/klagomål/A 54296-2023 FSC-klagomål.docx", "A 54296-2023")</f>
        <v/>
      </c>
      <c r="AB34">
        <f>HYPERLINK("https://klasma.github.io/Logging_1904/klagomålsmail/A 54296-2023 FSC-klagomål mail.docx", "A 54296-2023")</f>
        <v/>
      </c>
      <c r="AC34">
        <f>HYPERLINK("https://klasma.github.io/Logging_1904/tillsyn/A 54296-2023 tillsynsbegäran.docx", "A 54296-2023")</f>
        <v/>
      </c>
      <c r="AD34">
        <f>HYPERLINK("https://klasma.github.io/Logging_1904/tillsynsmail/A 54296-2023 tillsynsbegäran mail.docx", "A 54296-2023")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46297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57395-2025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46297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Vedticka</t>
        </is>
      </c>
      <c r="W36">
        <f>HYPERLINK("https://klasma.github.io/Logging_1904/artfynd/A 57395-2025 artfynd.xlsx", "A 57395-2025")</f>
        <v/>
      </c>
      <c r="X36">
        <f>HYPERLINK("https://klasma.github.io/Logging_1904/kartor/A 57395-2025 karta.png", "A 57395-2025")</f>
        <v/>
      </c>
      <c r="Y36">
        <f>HYPERLINK("https://klasma.github.io/Logging_1904/kartor_geotiff/A 57395-2025 georefererad karta.tif", "A 57395-2025")</f>
        <v/>
      </c>
      <c r="AA36">
        <f>HYPERLINK("https://klasma.github.io/Logging_1904/klagomål/A 57395-2025 FSC-klagomål.docx", "A 57395-2025")</f>
        <v/>
      </c>
      <c r="AB36">
        <f>HYPERLINK("https://klasma.github.io/Logging_1904/klagomålsmail/A 57395-2025 FSC-klagomål mail.docx", "A 57395-2025")</f>
        <v/>
      </c>
      <c r="AC36">
        <f>HYPERLINK("https://klasma.github.io/Logging_1904/tillsyn/A 57395-2025 tillsynsbegäran.docx", "A 57395-2025")</f>
        <v/>
      </c>
      <c r="AD36">
        <f>HYPERLINK("https://klasma.github.io/Logging_1904/tillsynsmail/A 57395-2025 tillsynsbegäran mail.docx", "A 57395-2025")</f>
        <v/>
      </c>
    </row>
    <row r="37" ht="15" customHeight="1">
      <c r="A37" t="inlineStr">
        <is>
          <t>A 31006-2025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45832</v>
      </c>
      <c r="E37" s="1" t="n">
        <v>46297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HYPERLINK("https://klasma.github.io/Logging_1904/artfynd/A 31006-2025 artfynd.xlsx", "A 31006-2025")</f>
        <v/>
      </c>
      <c r="X37">
        <f>HYPERLINK("https://klasma.github.io/Logging_1904/kartor/A 31006-2025 karta.png", "A 31006-2025")</f>
        <v/>
      </c>
      <c r="Y37">
        <f>HYPERLINK("https://klasma.github.io/Logging_1904/kartor_geotiff/A 31006-2025 georefererad karta.tif", "A 31006-2025")</f>
        <v/>
      </c>
      <c r="AA37">
        <f>HYPERLINK("https://klasma.github.io/Logging_1904/klagomål/A 31006-2025 FSC-klagomål.docx", "A 31006-2025")</f>
        <v/>
      </c>
      <c r="AB37">
        <f>HYPERLINK("https://klasma.github.io/Logging_1904/klagomålsmail/A 31006-2025 FSC-klagomål mail.docx", "A 31006-2025")</f>
        <v/>
      </c>
      <c r="AC37">
        <f>HYPERLINK("https://klasma.github.io/Logging_1904/tillsyn/A 31006-2025 tillsynsbegäran.docx", "A 31006-2025")</f>
        <v/>
      </c>
      <c r="AD37">
        <f>HYPERLINK("https://klasma.github.io/Logging_1904/tillsynsmail/A 31006-2025 tillsynsbegäran mail.docx", "A 31006-2025")</f>
        <v/>
      </c>
      <c r="AE37">
        <f>HYPERLINK("https://klasma.github.io/Logging_1904/fåglar/A 31006-2025 prioriterade fågelarter.docx", "A 31006-2025")</f>
        <v/>
      </c>
    </row>
    <row r="38" ht="15" customHeight="1">
      <c r="A38" t="inlineStr">
        <is>
          <t>A 20559-2026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46297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20559-2026 artfynd.xlsx", "A 20559-2026")</f>
        <v/>
      </c>
      <c r="X38">
        <f>HYPERLINK("https://klasma.github.io/Logging_1904/kartor/A 20559-2026 karta.png", "A 20559-2026")</f>
        <v/>
      </c>
      <c r="Y38">
        <f>HYPERLINK("https://klasma.github.io/Logging_1904/kartor_geotiff/A 20559-2026 georefererad karta.tif", "A 20559-2026")</f>
        <v/>
      </c>
      <c r="AA38">
        <f>HYPERLINK("https://klasma.github.io/Logging_1904/klagomål/A 20559-2026 FSC-klagomål.docx", "A 20559-2026")</f>
        <v/>
      </c>
      <c r="AB38">
        <f>HYPERLINK("https://klasma.github.io/Logging_1904/klagomålsmail/A 20559-2026 FSC-klagomål mail.docx", "A 20559-2026")</f>
        <v/>
      </c>
      <c r="AC38">
        <f>HYPERLINK("https://klasma.github.io/Logging_1904/tillsyn/A 20559-2026 tillsynsbegäran.docx", "A 20559-2026")</f>
        <v/>
      </c>
      <c r="AD38">
        <f>HYPERLINK("https://klasma.github.io/Logging_1904/tillsynsmail/A 20559-2026 tillsynsbegäran mail.docx", "A 20559-2026")</f>
        <v/>
      </c>
      <c r="AE38">
        <f>HYPERLINK("https://klasma.github.io/Logging_1904/fåglar/A 20559-2026 prioriterade fågelarter.docx", "A 20559-2026")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46297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HYPERLINK("https://klasma.github.io/Logging_1904/artfynd/A 21849-2026 artfynd.xlsx", "A 21849-2026")</f>
        <v/>
      </c>
      <c r="X39">
        <f>HYPERLINK("https://klasma.github.io/Logging_1904/kartor/A 21849-2026 karta.png", "A 21849-2026")</f>
        <v/>
      </c>
      <c r="Y39">
        <f>HYPERLINK("https://klasma.github.io/Logging_1904/kartor_geotiff/A 21849-2026 georefererad karta.tif", "A 21849-2026")</f>
        <v/>
      </c>
      <c r="Z39">
        <f>HYPERLINK("https://klasma.github.io/Logging_1904/knärot/A 21849-2026 karta knärot.png", "A 21849-2026")</f>
        <v/>
      </c>
      <c r="AA39">
        <f>HYPERLINK("https://klasma.github.io/Logging_1904/klagomål/A 21849-2026 FSC-klagomål.docx", "A 21849-2026")</f>
        <v/>
      </c>
      <c r="AB39">
        <f>HYPERLINK("https://klasma.github.io/Logging_1904/klagomålsmail/A 21849-2026 FSC-klagomål mail.docx", "A 21849-2026")</f>
        <v/>
      </c>
      <c r="AC39">
        <f>HYPERLINK("https://klasma.github.io/Logging_1904/tillsyn/A 21849-2026 tillsynsbegäran.docx", "A 21849-2026")</f>
        <v/>
      </c>
      <c r="AD39">
        <f>HYPERLINK("https://klasma.github.io/Logging_1904/tillsynsmail/A 21849-2026 tillsynsbegäran mail.docx", "A 21849-2026")</f>
        <v/>
      </c>
    </row>
    <row r="40" ht="15" customHeight="1">
      <c r="A40" t="inlineStr">
        <is>
          <t>A 49630-2024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46297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7.3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HYPERLINK("https://klasma.github.io/Logging_1904/artfynd/A 49630-2024 artfynd.xlsx", "A 49630-2024")</f>
        <v/>
      </c>
      <c r="X40">
        <f>HYPERLINK("https://klasma.github.io/Logging_1904/kartor/A 49630-2024 karta.png", "A 49630-2024")</f>
        <v/>
      </c>
      <c r="Y40">
        <f>HYPERLINK("https://klasma.github.io/Logging_1904/kartor_geotiff/A 49630-2024 georefererad karta.tif", "A 49630-2024")</f>
        <v/>
      </c>
      <c r="AA40">
        <f>HYPERLINK("https://klasma.github.io/Logging_1904/klagomål/A 49630-2024 FSC-klagomål.docx", "A 49630-2024")</f>
        <v/>
      </c>
      <c r="AB40">
        <f>HYPERLINK("https://klasma.github.io/Logging_1904/klagomålsmail/A 49630-2024 FSC-klagomål mail.docx", "A 49630-2024")</f>
        <v/>
      </c>
      <c r="AC40">
        <f>HYPERLINK("https://klasma.github.io/Logging_1904/tillsyn/A 49630-2024 tillsynsbegäran.docx", "A 49630-2024")</f>
        <v/>
      </c>
      <c r="AD40">
        <f>HYPERLINK("https://klasma.github.io/Logging_1904/tillsynsmail/A 49630-2024 tillsynsbegäran mail.docx", "A 49630-2024")</f>
        <v/>
      </c>
    </row>
    <row r="41" ht="15" customHeight="1">
      <c r="A41" t="inlineStr">
        <is>
          <t>A 43413-2024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45568</v>
      </c>
      <c r="E41" s="1" t="n">
        <v>46297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Orange taggsvamp</t>
        </is>
      </c>
      <c r="W41">
        <f>HYPERLINK("https://klasma.github.io/Logging_1904/artfynd/A 43413-2024 artfynd.xlsx", "A 43413-2024")</f>
        <v/>
      </c>
      <c r="X41">
        <f>HYPERLINK("https://klasma.github.io/Logging_1904/kartor/A 43413-2024 karta.png", "A 43413-2024")</f>
        <v/>
      </c>
      <c r="Y41">
        <f>HYPERLINK("https://klasma.github.io/Logging_1904/kartor_geotiff/A 43413-2024 georefererad karta.tif", "A 43413-2024")</f>
        <v/>
      </c>
      <c r="AA41">
        <f>HYPERLINK("https://klasma.github.io/Logging_1904/klagomål/A 43413-2024 FSC-klagomål.docx", "A 43413-2024")</f>
        <v/>
      </c>
      <c r="AB41">
        <f>HYPERLINK("https://klasma.github.io/Logging_1904/klagomålsmail/A 43413-2024 FSC-klagomål mail.docx", "A 43413-2024")</f>
        <v/>
      </c>
      <c r="AC41">
        <f>HYPERLINK("https://klasma.github.io/Logging_1904/tillsyn/A 43413-2024 tillsynsbegäran.docx", "A 43413-2024")</f>
        <v/>
      </c>
      <c r="AD41">
        <f>HYPERLINK("https://klasma.github.io/Logging_1904/tillsynsmail/A 43413-2024 tillsynsbegäran mail.docx", "A 43413-2024")</f>
        <v/>
      </c>
    </row>
    <row r="42" ht="15" customHeight="1">
      <c r="A42" t="inlineStr">
        <is>
          <t>A 33435-2024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46297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33435-2024 artfynd.xlsx", "A 33435-2024")</f>
        <v/>
      </c>
      <c r="X42">
        <f>HYPERLINK("https://klasma.github.io/Logging_1904/kartor/A 33435-2024 karta.png", "A 33435-2024")</f>
        <v/>
      </c>
      <c r="Y42">
        <f>HYPERLINK("https://klasma.github.io/Logging_1904/kartor_geotiff/A 33435-2024 georefererad karta.tif", "A 33435-2024")</f>
        <v/>
      </c>
      <c r="AA42">
        <f>HYPERLINK("https://klasma.github.io/Logging_1904/klagomål/A 33435-2024 FSC-klagomål.docx", "A 33435-2024")</f>
        <v/>
      </c>
      <c r="AB42">
        <f>HYPERLINK("https://klasma.github.io/Logging_1904/klagomålsmail/A 33435-2024 FSC-klagomål mail.docx", "A 33435-2024")</f>
        <v/>
      </c>
      <c r="AC42">
        <f>HYPERLINK("https://klasma.github.io/Logging_1904/tillsyn/A 33435-2024 tillsynsbegäran.docx", "A 33435-2024")</f>
        <v/>
      </c>
      <c r="AD42">
        <f>HYPERLINK("https://klasma.github.io/Logging_1904/tillsynsmail/A 33435-2024 tillsynsbegäran mail.docx", "A 33435-2024")</f>
        <v/>
      </c>
      <c r="AE42">
        <f>HYPERLINK("https://klasma.github.io/Logging_1904/fåglar/A 33435-2024 prioriterade fågelarter.docx", "A 33435-2024")</f>
        <v/>
      </c>
    </row>
    <row r="43" ht="15" customHeight="1">
      <c r="A43" t="inlineStr">
        <is>
          <t>A 12024-2023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44995</v>
      </c>
      <c r="E43" s="1" t="n">
        <v>46297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HYPERLINK("https://klasma.github.io/Logging_1904/artfynd/A 12024-2023 artfynd.xlsx", "A 12024-2023")</f>
        <v/>
      </c>
      <c r="X43">
        <f>HYPERLINK("https://klasma.github.io/Logging_1904/kartor/A 12024-2023 karta.png", "A 12024-2023")</f>
        <v/>
      </c>
      <c r="Y43">
        <f>HYPERLINK("https://klasma.github.io/Logging_1904/kartor_geotiff/A 12024-2023 georefererad karta.tif", "A 12024-2023")</f>
        <v/>
      </c>
      <c r="AA43">
        <f>HYPERLINK("https://klasma.github.io/Logging_1904/klagomål/A 12024-2023 FSC-klagomål.docx", "A 12024-2023")</f>
        <v/>
      </c>
      <c r="AB43">
        <f>HYPERLINK("https://klasma.github.io/Logging_1904/klagomålsmail/A 12024-2023 FSC-klagomål mail.docx", "A 12024-2023")</f>
        <v/>
      </c>
      <c r="AC43">
        <f>HYPERLINK("https://klasma.github.io/Logging_1904/tillsyn/A 12024-2023 tillsynsbegäran.docx", "A 12024-2023")</f>
        <v/>
      </c>
      <c r="AD43">
        <f>HYPERLINK("https://klasma.github.io/Logging_1904/tillsynsmail/A 12024-2023 tillsynsbegäran mail.docx", "A 12024-2023")</f>
        <v/>
      </c>
    </row>
    <row r="44" ht="15" customHeight="1">
      <c r="A44" t="inlineStr">
        <is>
          <t>A 24492-2026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46297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24492-2026 artfynd.xlsx", "A 24492-2026")</f>
        <v/>
      </c>
      <c r="X44">
        <f>HYPERLINK("https://klasma.github.io/Logging_1904/kartor/A 24492-2026 karta.png", "A 24492-2026")</f>
        <v/>
      </c>
      <c r="Y44">
        <f>HYPERLINK("https://klasma.github.io/Logging_1904/kartor_geotiff/A 24492-2026 georefererad karta.tif", "A 24492-2026")</f>
        <v/>
      </c>
      <c r="AA44">
        <f>HYPERLINK("https://klasma.github.io/Logging_1904/klagomål/A 24492-2026 FSC-klagomål.docx", "A 24492-2026")</f>
        <v/>
      </c>
      <c r="AB44">
        <f>HYPERLINK("https://klasma.github.io/Logging_1904/klagomålsmail/A 24492-2026 FSC-klagomål mail.docx", "A 24492-2026")</f>
        <v/>
      </c>
      <c r="AC44">
        <f>HYPERLINK("https://klasma.github.io/Logging_1904/tillsyn/A 24492-2026 tillsynsbegäran.docx", "A 24492-2026")</f>
        <v/>
      </c>
      <c r="AD44">
        <f>HYPERLINK("https://klasma.github.io/Logging_1904/tillsynsmail/A 24492-2026 tillsynsbegäran mail.docx", "A 24492-2026")</f>
        <v/>
      </c>
      <c r="AE44">
        <f>HYPERLINK("https://klasma.github.io/Logging_1904/fåglar/A 24492-2026 prioriterade fågelarter.docx", "A 24492-2026")</f>
        <v/>
      </c>
    </row>
    <row r="45" ht="15" customHeight="1">
      <c r="A45" t="inlineStr">
        <is>
          <t>A 24944-2026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46297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8.4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HYPERLINK("https://klasma.github.io/Logging_1904/artfynd/A 24944-2026 artfynd.xlsx", "A 24944-2026")</f>
        <v/>
      </c>
      <c r="X45">
        <f>HYPERLINK("https://klasma.github.io/Logging_1904/kartor/A 24944-2026 karta.png", "A 24944-2026")</f>
        <v/>
      </c>
      <c r="Y45">
        <f>HYPERLINK("https://klasma.github.io/Logging_1904/kartor_geotiff/A 24944-2026 georefererad karta.tif", "A 24944-2026")</f>
        <v/>
      </c>
      <c r="AA45">
        <f>HYPERLINK("https://klasma.github.io/Logging_1904/klagomål/A 24944-2026 FSC-klagomål.docx", "A 24944-2026")</f>
        <v/>
      </c>
      <c r="AB45">
        <f>HYPERLINK("https://klasma.github.io/Logging_1904/klagomålsmail/A 24944-2026 FSC-klagomål mail.docx", "A 24944-2026")</f>
        <v/>
      </c>
      <c r="AC45">
        <f>HYPERLINK("https://klasma.github.io/Logging_1904/tillsyn/A 24944-2026 tillsynsbegäran.docx", "A 24944-2026")</f>
        <v/>
      </c>
      <c r="AD45">
        <f>HYPERLINK("https://klasma.github.io/Logging_1904/tillsynsmail/A 24944-2026 tillsynsbegäran mail.docx", "A 24944-2026")</f>
        <v/>
      </c>
    </row>
    <row r="46" ht="15" customHeight="1">
      <c r="A46" t="inlineStr">
        <is>
          <t>A 19205-2024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46297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Järpe</t>
        </is>
      </c>
      <c r="W46">
        <f>HYPERLINK("https://klasma.github.io/Logging_1904/artfynd/A 19205-2024 artfynd.xlsx", "A 19205-2024")</f>
        <v/>
      </c>
      <c r="X46">
        <f>HYPERLINK("https://klasma.github.io/Logging_1904/kartor/A 19205-2024 karta.png", "A 19205-2024")</f>
        <v/>
      </c>
      <c r="Y46">
        <f>HYPERLINK("https://klasma.github.io/Logging_1904/kartor_geotiff/A 19205-2024 georefererad karta.tif", "A 19205-2024")</f>
        <v/>
      </c>
      <c r="AA46">
        <f>HYPERLINK("https://klasma.github.io/Logging_1904/klagomål/A 19205-2024 FSC-klagomål.docx", "A 19205-2024")</f>
        <v/>
      </c>
      <c r="AB46">
        <f>HYPERLINK("https://klasma.github.io/Logging_1904/klagomålsmail/A 19205-2024 FSC-klagomål mail.docx", "A 19205-2024")</f>
        <v/>
      </c>
      <c r="AC46">
        <f>HYPERLINK("https://klasma.github.io/Logging_1904/tillsyn/A 19205-2024 tillsynsbegäran.docx", "A 19205-2024")</f>
        <v/>
      </c>
      <c r="AD46">
        <f>HYPERLINK("https://klasma.github.io/Logging_1904/tillsynsmail/A 19205-2024 tillsynsbegäran mail.docx", "A 19205-2024")</f>
        <v/>
      </c>
      <c r="AE46">
        <f>HYPERLINK("https://klasma.github.io/Logging_1904/fåglar/A 19205-2024 prioriterade fågelarter.docx", "A 19205-2024")</f>
        <v/>
      </c>
    </row>
    <row r="47" ht="15" customHeight="1">
      <c r="A47" t="inlineStr">
        <is>
          <t>A 26860-2026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46297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10.3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Kungsörn</t>
        </is>
      </c>
      <c r="W47">
        <f>HYPERLINK("https://klasma.github.io/Logging_1904/artfynd/A 26860-2026 artfynd.xlsx", "A 26860-2026")</f>
        <v/>
      </c>
      <c r="X47">
        <f>HYPERLINK("https://klasma.github.io/Logging_1904/kartor/A 26860-2026 karta.png", "A 26860-2026")</f>
        <v/>
      </c>
      <c r="Y47">
        <f>HYPERLINK("https://klasma.github.io/Logging_1904/kartor_geotiff/A 26860-2026 georefererad karta.tif", "A 26860-2026")</f>
        <v/>
      </c>
      <c r="AA47">
        <f>HYPERLINK("https://klasma.github.io/Logging_1904/klagomål/A 26860-2026 FSC-klagomål.docx", "A 26860-2026")</f>
        <v/>
      </c>
      <c r="AB47">
        <f>HYPERLINK("https://klasma.github.io/Logging_1904/klagomålsmail/A 26860-2026 FSC-klagomål mail.docx", "A 26860-2026")</f>
        <v/>
      </c>
      <c r="AC47">
        <f>HYPERLINK("https://klasma.github.io/Logging_1904/tillsyn/A 26860-2026 tillsynsbegäran.docx", "A 26860-2026")</f>
        <v/>
      </c>
      <c r="AD47">
        <f>HYPERLINK("https://klasma.github.io/Logging_1904/tillsynsmail/A 26860-2026 tillsynsbegäran mail.docx", "A 26860-2026")</f>
        <v/>
      </c>
      <c r="AE47">
        <f>HYPERLINK("https://klasma.github.io/Logging_1904/fåglar/A 26860-2026 prioriterade fågelarter.docx", "A 26860-2026")</f>
        <v/>
      </c>
    </row>
    <row r="48" ht="15" customHeight="1">
      <c r="A48" t="inlineStr">
        <is>
          <t>A 30579-2026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46297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HYPERLINK("https://klasma.github.io/Logging_1904/artfynd/A 30579-2026 artfynd.xlsx", "A 30579-2026")</f>
        <v/>
      </c>
      <c r="X48">
        <f>HYPERLINK("https://klasma.github.io/Logging_1904/kartor/A 30579-2026 karta.png", "A 30579-2026")</f>
        <v/>
      </c>
      <c r="Y48">
        <f>HYPERLINK("https://klasma.github.io/Logging_1904/kartor_geotiff/A 30579-2026 georefererad karta.tif", "A 30579-2026")</f>
        <v/>
      </c>
      <c r="AA48">
        <f>HYPERLINK("https://klasma.github.io/Logging_1904/klagomål/A 30579-2026 FSC-klagomål.docx", "A 30579-2026")</f>
        <v/>
      </c>
      <c r="AB48">
        <f>HYPERLINK("https://klasma.github.io/Logging_1904/klagomålsmail/A 30579-2026 FSC-klagomål mail.docx", "A 30579-2026")</f>
        <v/>
      </c>
      <c r="AC48">
        <f>HYPERLINK("https://klasma.github.io/Logging_1904/tillsyn/A 30579-2026 tillsynsbegäran.docx", "A 30579-2026")</f>
        <v/>
      </c>
      <c r="AD48">
        <f>HYPERLINK("https://klasma.github.io/Logging_1904/tillsynsmail/A 30579-2026 tillsynsbegäran mail.docx", "A 30579-2026")</f>
        <v/>
      </c>
    </row>
    <row r="49" ht="15" customHeight="1">
      <c r="A49" t="inlineStr">
        <is>
          <t>A 35371-2026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46297</v>
      </c>
      <c r="F49" t="inlineStr">
        <is>
          <t>VÄSTMANLANDS LÄN</t>
        </is>
      </c>
      <c r="G49" t="inlineStr">
        <is>
          <t>SKINNSKATTEBERG</t>
        </is>
      </c>
      <c r="I49" t="n">
        <v>1.3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HYPERLINK("https://klasma.github.io/Logging_1904/artfynd/A 35371-2026 artfynd.xlsx", "A 35371-2026")</f>
        <v/>
      </c>
      <c r="X49">
        <f>HYPERLINK("https://klasma.github.io/Logging_1904/kartor/A 35371-2026 karta.png", "A 35371-2026")</f>
        <v/>
      </c>
      <c r="Y49">
        <f>HYPERLINK("https://klasma.github.io/Logging_1904/kartor_geotiff/A 35371-2026 georefererad karta.tif", "A 35371-2026")</f>
        <v/>
      </c>
      <c r="AA49">
        <f>HYPERLINK("https://klasma.github.io/Logging_1904/klagomål/A 35371-2026 FSC-klagomål.docx", "A 35371-2026")</f>
        <v/>
      </c>
      <c r="AB49">
        <f>HYPERLINK("https://klasma.github.io/Logging_1904/klagomålsmail/A 35371-2026 FSC-klagomål mail.docx", "A 35371-2026")</f>
        <v/>
      </c>
      <c r="AC49">
        <f>HYPERLINK("https://klasma.github.io/Logging_1904/tillsyn/A 35371-2026 tillsynsbegäran.docx", "A 35371-2026")</f>
        <v/>
      </c>
      <c r="AD49">
        <f>HYPERLINK("https://klasma.github.io/Logging_1904/tillsynsmail/A 35371-2026 tillsynsbegäran mail.docx", "A 35371-2026")</f>
        <v/>
      </c>
      <c r="AE49">
        <f>HYPERLINK("https://klasma.github.io/Logging_1904/fåglar/A 35371-2026 prioriterade fågelarter.docx", "A 35371-2026")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46297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28312-2023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45099</v>
      </c>
      <c r="E51" s="1" t="n">
        <v>46297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Skrovlig taggsvamp</t>
        </is>
      </c>
      <c r="W51">
        <f>HYPERLINK("https://klasma.github.io/Logging_1904/artfynd/A 28312-2023 artfynd.xlsx", "A 28312-2023")</f>
        <v/>
      </c>
      <c r="X51">
        <f>HYPERLINK("https://klasma.github.io/Logging_1904/kartor/A 28312-2023 karta.png", "A 28312-2023")</f>
        <v/>
      </c>
      <c r="Y51">
        <f>HYPERLINK("https://klasma.github.io/Logging_1904/kartor_geotiff/A 28312-2023 georefererad karta.tif", "A 28312-2023")</f>
        <v/>
      </c>
      <c r="AA51">
        <f>HYPERLINK("https://klasma.github.io/Logging_1904/klagomål/A 28312-2023 FSC-klagomål.docx", "A 28312-2023")</f>
        <v/>
      </c>
      <c r="AB51">
        <f>HYPERLINK("https://klasma.github.io/Logging_1904/klagomålsmail/A 28312-2023 FSC-klagomål mail.docx", "A 28312-2023")</f>
        <v/>
      </c>
      <c r="AC51">
        <f>HYPERLINK("https://klasma.github.io/Logging_1904/tillsyn/A 28312-2023 tillsynsbegäran.docx", "A 28312-2023")</f>
        <v/>
      </c>
      <c r="AD51">
        <f>HYPERLINK("https://klasma.github.io/Logging_1904/tillsynsmail/A 28312-2023 tillsynsbegäran mail.docx", "A 28312-2023")</f>
        <v/>
      </c>
    </row>
    <row r="52" ht="15" customHeight="1">
      <c r="A52" t="inlineStr">
        <is>
          <t>A 37900-2026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46279</v>
      </c>
      <c r="E52" s="1" t="n">
        <v>46297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9.199999999999999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HYPERLINK("https://klasma.github.io/Logging_1904/artfynd/A 37900-2026 artfynd.xlsx", "A 37900-2026")</f>
        <v/>
      </c>
      <c r="X52">
        <f>HYPERLINK("https://klasma.github.io/Logging_1904/kartor/A 37900-2026 karta.png", "A 37900-2026")</f>
        <v/>
      </c>
      <c r="Y52">
        <f>HYPERLINK("https://klasma.github.io/Logging_1904/kartor_geotiff/A 37900-2026 georefererad karta.tif", "A 37900-2026")</f>
        <v/>
      </c>
      <c r="AA52">
        <f>HYPERLINK("https://klasma.github.io/Logging_1904/klagomål/A 37900-2026 FSC-klagomål.docx", "A 37900-2026")</f>
        <v/>
      </c>
      <c r="AB52">
        <f>HYPERLINK("https://klasma.github.io/Logging_1904/klagomålsmail/A 37900-2026 FSC-klagomål mail.docx", "A 37900-2026")</f>
        <v/>
      </c>
      <c r="AC52">
        <f>HYPERLINK("https://klasma.github.io/Logging_1904/tillsyn/A 37900-2026 tillsynsbegäran.docx", "A 37900-2026")</f>
        <v/>
      </c>
      <c r="AD52">
        <f>HYPERLINK("https://klasma.github.io/Logging_1904/tillsynsmail/A 37900-2026 tillsynsbegäran mail.docx", "A 37900-2026")</f>
        <v/>
      </c>
      <c r="AE52">
        <f>HYPERLINK("https://klasma.github.io/Logging_1904/fåglar/A 37900-2026 prioriterade fågelarter.docx", "A 37900-2026")</f>
        <v/>
      </c>
    </row>
    <row r="53" ht="15" customHeight="1">
      <c r="A53" t="inlineStr">
        <is>
          <t>A 57747-2023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45246</v>
      </c>
      <c r="E53" s="1" t="n">
        <v>46297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2.3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Myopa fasciata</t>
        </is>
      </c>
      <c r="W53">
        <f>HYPERLINK("https://klasma.github.io/Logging_1904/artfynd/A 57747-2023 artfynd.xlsx", "A 57747-2023")</f>
        <v/>
      </c>
      <c r="X53">
        <f>HYPERLINK("https://klasma.github.io/Logging_1904/kartor/A 57747-2023 karta.png", "A 57747-2023")</f>
        <v/>
      </c>
      <c r="Y53">
        <f>HYPERLINK("https://klasma.github.io/Logging_1904/kartor_geotiff/A 57747-2023 georefererad karta.tif", "A 57747-2023")</f>
        <v/>
      </c>
      <c r="AA53">
        <f>HYPERLINK("https://klasma.github.io/Logging_1904/klagomål/A 57747-2023 FSC-klagomål.docx", "A 57747-2023")</f>
        <v/>
      </c>
      <c r="AB53">
        <f>HYPERLINK("https://klasma.github.io/Logging_1904/klagomålsmail/A 57747-2023 FSC-klagomål mail.docx", "A 57747-2023")</f>
        <v/>
      </c>
      <c r="AC53">
        <f>HYPERLINK("https://klasma.github.io/Logging_1904/tillsyn/A 57747-2023 tillsynsbegäran.docx", "A 57747-2023")</f>
        <v/>
      </c>
      <c r="AD53">
        <f>HYPERLINK("https://klasma.github.io/Logging_1904/tillsynsmail/A 57747-2023 tillsynsbegäran mail.docx", "A 57747-2023")</f>
        <v/>
      </c>
    </row>
    <row r="54" ht="15" customHeight="1">
      <c r="A54" t="inlineStr">
        <is>
          <t>A 38734-2026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46285</v>
      </c>
      <c r="E54" s="1" t="n">
        <v>46297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6.1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HYPERLINK("https://klasma.github.io/Logging_1904/artfynd/A 38734-2026 artfynd.xlsx", "A 38734-2026")</f>
        <v/>
      </c>
      <c r="X54">
        <f>HYPERLINK("https://klasma.github.io/Logging_1904/kartor/A 38734-2026 karta.png", "A 38734-2026")</f>
        <v/>
      </c>
      <c r="Y54">
        <f>HYPERLINK("https://klasma.github.io/Logging_1904/kartor_geotiff/A 38734-2026 georefererad karta.tif", "A 38734-2026")</f>
        <v/>
      </c>
      <c r="AA54">
        <f>HYPERLINK("https://klasma.github.io/Logging_1904/klagomål/A 38734-2026 FSC-klagomål.docx", "A 38734-2026")</f>
        <v/>
      </c>
      <c r="AB54">
        <f>HYPERLINK("https://klasma.github.io/Logging_1904/klagomålsmail/A 38734-2026 FSC-klagomål mail.docx", "A 38734-2026")</f>
        <v/>
      </c>
      <c r="AC54">
        <f>HYPERLINK("https://klasma.github.io/Logging_1904/tillsyn/A 38734-2026 tillsynsbegäran.docx", "A 38734-2026")</f>
        <v/>
      </c>
      <c r="AD54">
        <f>HYPERLINK("https://klasma.github.io/Logging_1904/tillsynsmail/A 38734-2026 tillsynsbegäran mail.docx", "A 38734-2026")</f>
        <v/>
      </c>
    </row>
    <row r="55" ht="15" customHeight="1">
      <c r="A55" t="inlineStr">
        <is>
          <t>A 38733-2026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46285</v>
      </c>
      <c r="E55" s="1" t="n">
        <v>46297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4.2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HYPERLINK("https://klasma.github.io/Logging_1904/artfynd/A 38733-2026 artfynd.xlsx", "A 38733-2026")</f>
        <v/>
      </c>
      <c r="X55">
        <f>HYPERLINK("https://klasma.github.io/Logging_1904/kartor/A 38733-2026 karta.png", "A 38733-2026")</f>
        <v/>
      </c>
      <c r="Y55">
        <f>HYPERLINK("https://klasma.github.io/Logging_1904/kartor_geotiff/A 38733-2026 georefererad karta.tif", "A 38733-2026")</f>
        <v/>
      </c>
      <c r="AA55">
        <f>HYPERLINK("https://klasma.github.io/Logging_1904/klagomål/A 38733-2026 FSC-klagomål.docx", "A 38733-2026")</f>
        <v/>
      </c>
      <c r="AB55">
        <f>HYPERLINK("https://klasma.github.io/Logging_1904/klagomålsmail/A 38733-2026 FSC-klagomål mail.docx", "A 38733-2026")</f>
        <v/>
      </c>
      <c r="AC55">
        <f>HYPERLINK("https://klasma.github.io/Logging_1904/tillsyn/A 38733-2026 tillsynsbegäran.docx", "A 38733-2026")</f>
        <v/>
      </c>
      <c r="AD55">
        <f>HYPERLINK("https://klasma.github.io/Logging_1904/tillsynsmail/A 38733-2026 tillsynsbegäran mail.docx", "A 38733-2026")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46297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46297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46297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46297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46297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46297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46297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46297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46297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46297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46297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46297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46297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46297</v>
      </c>
      <c r="F69" t="inlineStr">
        <is>
          <t>VÄSTMANLANDS LÄN</t>
        </is>
      </c>
      <c r="G69" t="inlineStr">
        <is>
          <t>SKINNSKATTEBERG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46297</v>
      </c>
      <c r="F70" t="inlineStr">
        <is>
          <t>VÄSTMANLANDS LÄN</t>
        </is>
      </c>
      <c r="G70" t="inlineStr">
        <is>
          <t>SKINNSKATTEBERG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46297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46297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46297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46297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46297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46297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46297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Kyrkan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46297</v>
      </c>
      <c r="F78" t="inlineStr">
        <is>
          <t>VÄSTMANLANDS LÄN</t>
        </is>
      </c>
      <c r="G78" t="inlineStr">
        <is>
          <t>SKINNSKATTEBERG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46297</v>
      </c>
      <c r="F79" t="inlineStr">
        <is>
          <t>VÄSTMANLANDS LÄN</t>
        </is>
      </c>
      <c r="G79" t="inlineStr">
        <is>
          <t>SKINNSKATTEBERG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46297</v>
      </c>
      <c r="F80" t="inlineStr">
        <is>
          <t>VÄSTMANLANDS LÄN</t>
        </is>
      </c>
      <c r="G80" t="inlineStr">
        <is>
          <t>SKINNSKATTEBERG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45512</v>
      </c>
      <c r="E81" s="1" t="n">
        <v>46297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45082</v>
      </c>
      <c r="E82" s="1" t="n">
        <v>46297</v>
      </c>
      <c r="F82" t="inlineStr">
        <is>
          <t>VÄSTMANLANDS LÄN</t>
        </is>
      </c>
      <c r="G82" t="inlineStr">
        <is>
          <t>SKINNSKATTEBERG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20248-2024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45434</v>
      </c>
      <c r="E83" s="1" t="n">
        <v>46297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46297</v>
      </c>
      <c r="F84" t="inlineStr">
        <is>
          <t>VÄSTMANLANDS LÄN</t>
        </is>
      </c>
      <c r="G84" t="inlineStr">
        <is>
          <t>SKINNSKATTEBERG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46297</v>
      </c>
      <c r="F85" t="inlineStr">
        <is>
          <t>VÄSTMANLANDS LÄN</t>
        </is>
      </c>
      <c r="G85" t="inlineStr">
        <is>
          <t>SKINNSKATTEBERG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16729-2024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45410</v>
      </c>
      <c r="E86" s="1" t="n">
        <v>46297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45447</v>
      </c>
      <c r="E87" s="1" t="n">
        <v>46297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37210-2022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46297</v>
      </c>
      <c r="F88" t="inlineStr">
        <is>
          <t>VÄSTMANLANDS LÄN</t>
        </is>
      </c>
      <c r="G88" t="inlineStr">
        <is>
          <t>SKINNSKATTEBERG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45480</v>
      </c>
      <c r="E89" s="1" t="n">
        <v>46297</v>
      </c>
      <c r="F89" t="inlineStr">
        <is>
          <t>VÄSTMANLANDS LÄN</t>
        </is>
      </c>
      <c r="G89" t="inlineStr">
        <is>
          <t>SKINNSKATTEBERG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22285-2025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45786</v>
      </c>
      <c r="E90" s="1" t="n">
        <v>46297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46297</v>
      </c>
      <c r="F91" t="inlineStr">
        <is>
          <t>VÄSTMANLANDS LÄN</t>
        </is>
      </c>
      <c r="G91" t="inlineStr">
        <is>
          <t>SKINNSKATTEBERG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45443</v>
      </c>
      <c r="E92" s="1" t="n">
        <v>46297</v>
      </c>
      <c r="F92" t="inlineStr">
        <is>
          <t>VÄSTMANLANDS LÄN</t>
        </is>
      </c>
      <c r="G92" t="inlineStr">
        <is>
          <t>SKINNSKATTEBERG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45247</v>
      </c>
      <c r="E93" s="1" t="n">
        <v>46297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45476</v>
      </c>
      <c r="E94" s="1" t="n">
        <v>46297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45527</v>
      </c>
      <c r="E95" s="1" t="n">
        <v>46297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46297</v>
      </c>
      <c r="F96" t="inlineStr">
        <is>
          <t>VÄSTMANLANDS LÄN</t>
        </is>
      </c>
      <c r="G96" t="inlineStr">
        <is>
          <t>SKINNSKATTEBERG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46037</v>
      </c>
      <c r="E97" s="1" t="n">
        <v>46297</v>
      </c>
      <c r="F97" t="inlineStr">
        <is>
          <t>VÄSTMANLANDS LÄN</t>
        </is>
      </c>
      <c r="G97" t="inlineStr">
        <is>
          <t>SKINNSKATTEBERG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46297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44693-2024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45574</v>
      </c>
      <c r="E99" s="1" t="n">
        <v>46297</v>
      </c>
      <c r="F99" t="inlineStr">
        <is>
          <t>VÄSTMANLANDS LÄN</t>
        </is>
      </c>
      <c r="G99" t="inlineStr">
        <is>
          <t>SKINNSKATTEBERG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44694-2024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45574</v>
      </c>
      <c r="E100" s="1" t="n">
        <v>46297</v>
      </c>
      <c r="F100" t="inlineStr">
        <is>
          <t>VÄSTMANLANDS LÄN</t>
        </is>
      </c>
      <c r="G100" t="inlineStr">
        <is>
          <t>SKINNSKATTEBERG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40782-2025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45897</v>
      </c>
      <c r="E101" s="1" t="n">
        <v>46297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40783-2025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45897</v>
      </c>
      <c r="E102" s="1" t="n">
        <v>46297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46297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46297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46297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40776-2025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45897</v>
      </c>
      <c r="E106" s="1" t="n">
        <v>46297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5704-2026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46051</v>
      </c>
      <c r="E107" s="1" t="n">
        <v>46297</v>
      </c>
      <c r="F107" t="inlineStr">
        <is>
          <t>VÄSTMANLANDS LÄN</t>
        </is>
      </c>
      <c r="G107" t="inlineStr">
        <is>
          <t>SKINNSKATTEBERG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55428-2021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44475</v>
      </c>
      <c r="E108" s="1" t="n">
        <v>46297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5693-2026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46051</v>
      </c>
      <c r="E109" s="1" t="n">
        <v>46297</v>
      </c>
      <c r="F109" t="inlineStr">
        <is>
          <t>VÄSTMANLANDS LÄN</t>
        </is>
      </c>
      <c r="G109" t="inlineStr">
        <is>
          <t>SKINNSKATTEBERG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46051</v>
      </c>
      <c r="E110" s="1" t="n">
        <v>46297</v>
      </c>
      <c r="F110" t="inlineStr">
        <is>
          <t>VÄSTMANLANDS LÄN</t>
        </is>
      </c>
      <c r="G110" t="inlineStr">
        <is>
          <t>SKINNSKATTEBERG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46056</v>
      </c>
      <c r="E111" s="1" t="n">
        <v>46297</v>
      </c>
      <c r="F111" t="inlineStr">
        <is>
          <t>VÄSTMANLANDS LÄN</t>
        </is>
      </c>
      <c r="G111" t="inlineStr">
        <is>
          <t>SKINNSKATTEBERG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46297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46297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46297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46297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44184-2025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45915</v>
      </c>
      <c r="E116" s="1" t="n">
        <v>46297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41581-2025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45901</v>
      </c>
      <c r="E117" s="1" t="n">
        <v>46297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45054</v>
      </c>
      <c r="E118" s="1" t="n">
        <v>46297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46297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46297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46297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46297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16088-2024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45406</v>
      </c>
      <c r="E123" s="1" t="n">
        <v>46297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46297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25846-2025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45804</v>
      </c>
      <c r="E125" s="1" t="n">
        <v>46297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46297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45506</v>
      </c>
      <c r="E127" s="1" t="n">
        <v>46297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40176-2024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45554</v>
      </c>
      <c r="E128" s="1" t="n">
        <v>46297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46297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46297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45504</v>
      </c>
      <c r="E131" s="1" t="n">
        <v>46297</v>
      </c>
      <c r="F131" t="inlineStr">
        <is>
          <t>VÄSTMANLANDS LÄN</t>
        </is>
      </c>
      <c r="G131" t="inlineStr">
        <is>
          <t>SKINNSKATTEBERG</t>
        </is>
      </c>
      <c r="I131" t="n">
        <v>17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45555</v>
      </c>
      <c r="E132" s="1" t="n">
        <v>46297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6943-2023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46297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46297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45252</v>
      </c>
      <c r="E135" s="1" t="n">
        <v>46297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51028-2025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45947</v>
      </c>
      <c r="E136" s="1" t="n">
        <v>46297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46297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46297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45947</v>
      </c>
      <c r="E139" s="1" t="n">
        <v>46297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44974</v>
      </c>
      <c r="E140" s="1" t="n">
        <v>46297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Kyrkan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45952</v>
      </c>
      <c r="E141" s="1" t="n">
        <v>46297</v>
      </c>
      <c r="F141" t="inlineStr">
        <is>
          <t>VÄSTMANLANDS LÄN</t>
        </is>
      </c>
      <c r="G141" t="inlineStr">
        <is>
          <t>SKINNSKATTEBERG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53132-2025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46297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15094-2026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46297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45156</v>
      </c>
      <c r="E144" s="1" t="n">
        <v>46297</v>
      </c>
      <c r="F144" t="inlineStr">
        <is>
          <t>VÄSTMANLANDS LÄN</t>
        </is>
      </c>
      <c r="G144" t="inlineStr">
        <is>
          <t>SKINNSKATTEBERG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53761-2025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45960</v>
      </c>
      <c r="E145" s="1" t="n">
        <v>46297</v>
      </c>
      <c r="F145" t="inlineStr">
        <is>
          <t>VÄSTMANLANDS LÄN</t>
        </is>
      </c>
      <c r="G145" t="inlineStr">
        <is>
          <t>SKINNSKATTEBERG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46297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46107</v>
      </c>
      <c r="E147" s="1" t="n">
        <v>46297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46297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46297</v>
      </c>
      <c r="F149" t="inlineStr">
        <is>
          <t>VÄSTMANLANDS LÄN</t>
        </is>
      </c>
      <c r="G149" t="inlineStr">
        <is>
          <t>SKINNSKATTEBERG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45480</v>
      </c>
      <c r="E150" s="1" t="n">
        <v>46297</v>
      </c>
      <c r="F150" t="inlineStr">
        <is>
          <t>VÄSTMANLANDS LÄN</t>
        </is>
      </c>
      <c r="G150" t="inlineStr">
        <is>
          <t>SKINNSKATTEBERG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16136-2026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46108</v>
      </c>
      <c r="E151" s="1" t="n">
        <v>46297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46297</v>
      </c>
      <c r="F152" t="inlineStr">
        <is>
          <t>VÄSTMANLANDS LÄN</t>
        </is>
      </c>
      <c r="G152" t="inlineStr">
        <is>
          <t>SKINNSKATTEBERG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15955-2026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46108</v>
      </c>
      <c r="E153" s="1" t="n">
        <v>46297</v>
      </c>
      <c r="F153" t="inlineStr">
        <is>
          <t>VÄSTMANLANDS LÄN</t>
        </is>
      </c>
      <c r="G153" t="inlineStr">
        <is>
          <t>SKINNSKATTEBERG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46297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46297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46297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46297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55007-2025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46297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46297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46297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46114</v>
      </c>
      <c r="E161" s="1" t="n">
        <v>46297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46119</v>
      </c>
      <c r="E162" s="1" t="n">
        <v>46297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46297</v>
      </c>
      <c r="F163" t="inlineStr">
        <is>
          <t>VÄSTMANLANDS LÄN</t>
        </is>
      </c>
      <c r="G163" t="inlineStr">
        <is>
          <t>SKINNSKATTEBERG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46297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46297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46297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17933-2026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46122</v>
      </c>
      <c r="E167" s="1" t="n">
        <v>46297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56465-2025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45975</v>
      </c>
      <c r="E168" s="1" t="n">
        <v>46297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15184-2025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45744</v>
      </c>
      <c r="E169" s="1" t="n">
        <v>46297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45609</v>
      </c>
      <c r="E170" s="1" t="n">
        <v>46297</v>
      </c>
      <c r="F170" t="inlineStr">
        <is>
          <t>VÄSTMANLANDS LÄN</t>
        </is>
      </c>
      <c r="G170" t="inlineStr">
        <is>
          <t>SKINNSKATTEBERG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46297</v>
      </c>
      <c r="F171" t="inlineStr">
        <is>
          <t>VÄSTMANLANDS LÄN</t>
        </is>
      </c>
      <c r="G171" t="inlineStr">
        <is>
          <t>SKINNSKATTEBERG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51475-2024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46297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46129</v>
      </c>
      <c r="E173" s="1" t="n">
        <v>46297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28873-2025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45820</v>
      </c>
      <c r="E174" s="1" t="n">
        <v>46297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19582-2026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46134</v>
      </c>
      <c r="E175" s="1" t="n">
        <v>46297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19541-2026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46134</v>
      </c>
      <c r="E176" s="1" t="n">
        <v>46297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19540-2026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46134</v>
      </c>
      <c r="E177" s="1" t="n">
        <v>46297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46297</v>
      </c>
      <c r="F178" t="inlineStr">
        <is>
          <t>VÄSTMANLANDS LÄN</t>
        </is>
      </c>
      <c r="G178" t="inlineStr">
        <is>
          <t>SKINNSKATTEBERG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44993</v>
      </c>
      <c r="E179" s="1" t="n">
        <v>46297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46297</v>
      </c>
      <c r="F180" t="inlineStr">
        <is>
          <t>VÄSTMANLANDS LÄN</t>
        </is>
      </c>
      <c r="G180" t="inlineStr">
        <is>
          <t>SKINNSKATTEBERG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46297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46297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46297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46297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28831-2025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45820</v>
      </c>
      <c r="E185" s="1" t="n">
        <v>46297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46297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45537</v>
      </c>
      <c r="E187" s="1" t="n">
        <v>46297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46297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46297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44768</v>
      </c>
      <c r="E190" s="1" t="n">
        <v>46297</v>
      </c>
      <c r="F190" t="inlineStr">
        <is>
          <t>VÄSTMANLANDS LÄN</t>
        </is>
      </c>
      <c r="G190" t="inlineStr">
        <is>
          <t>SKINNSKATTEBERG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46297</v>
      </c>
      <c r="F191" t="inlineStr">
        <is>
          <t>VÄSTMANLANDS LÄN</t>
        </is>
      </c>
      <c r="G191" t="inlineStr">
        <is>
          <t>SKINNSKATTEBERG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45534</v>
      </c>
      <c r="E192" s="1" t="n">
        <v>46297</v>
      </c>
      <c r="F192" t="inlineStr">
        <is>
          <t>VÄSTMANLANDS LÄN</t>
        </is>
      </c>
      <c r="G192" t="inlineStr">
        <is>
          <t>SKINNSKATTEBERG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46297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20563-2026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46140</v>
      </c>
      <c r="E194" s="1" t="n">
        <v>46297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29808-2025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45825</v>
      </c>
      <c r="E195" s="1" t="n">
        <v>46297</v>
      </c>
      <c r="F195" t="inlineStr">
        <is>
          <t>VÄSTMANLANDS LÄN</t>
        </is>
      </c>
      <c r="G195" t="inlineStr">
        <is>
          <t>SKINNSKATTEBERG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29810-2025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45825</v>
      </c>
      <c r="E196" s="1" t="n">
        <v>46297</v>
      </c>
      <c r="F196" t="inlineStr">
        <is>
          <t>VÄSTMANLANDS LÄN</t>
        </is>
      </c>
      <c r="G196" t="inlineStr">
        <is>
          <t>SKINNSKATTEBERG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46003</v>
      </c>
      <c r="E197" s="1" t="n">
        <v>46297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46297</v>
      </c>
      <c r="F198" t="inlineStr">
        <is>
          <t>VÄSTMANLANDS LÄN</t>
        </is>
      </c>
      <c r="G198" t="inlineStr">
        <is>
          <t>SKINNSKATTEBERG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30439-2025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45827</v>
      </c>
      <c r="E199" s="1" t="n">
        <v>46297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45901</v>
      </c>
      <c r="E200" s="1" t="n">
        <v>46297</v>
      </c>
      <c r="F200" t="inlineStr">
        <is>
          <t>VÄSTMANLANDS LÄN</t>
        </is>
      </c>
      <c r="G200" t="inlineStr">
        <is>
          <t>SKINNSKATTEBERG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45754</v>
      </c>
      <c r="E201" s="1" t="n">
        <v>46297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13676-2022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44648</v>
      </c>
      <c r="E202" s="1" t="n">
        <v>46297</v>
      </c>
      <c r="F202" t="inlineStr">
        <is>
          <t>VÄSTMANLANDS LÄN</t>
        </is>
      </c>
      <c r="G202" t="inlineStr">
        <is>
          <t>SKINNSKATTEBERG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46297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46297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31234-2025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45832</v>
      </c>
      <c r="E205" s="1" t="n">
        <v>46297</v>
      </c>
      <c r="F205" t="inlineStr">
        <is>
          <t>VÄSTMANLANDS LÄN</t>
        </is>
      </c>
      <c r="G205" t="inlineStr">
        <is>
          <t>SKINNSKATTEBERG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46297</v>
      </c>
      <c r="F206" t="inlineStr">
        <is>
          <t>VÄSTMANLANDS LÄN</t>
        </is>
      </c>
      <c r="G206" t="inlineStr">
        <is>
          <t>SKINNSKATTEBERG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46297</v>
      </c>
      <c r="F207" t="inlineStr">
        <is>
          <t>VÄSTMANLANDS LÄN</t>
        </is>
      </c>
      <c r="G207" t="inlineStr">
        <is>
          <t>SKINNSKATTEBERG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45848</v>
      </c>
      <c r="E208" s="1" t="n">
        <v>46297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46297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45485</v>
      </c>
      <c r="E210" s="1" t="n">
        <v>46297</v>
      </c>
      <c r="F210" t="inlineStr">
        <is>
          <t>VÄSTMANLANDS LÄN</t>
        </is>
      </c>
      <c r="G210" t="inlineStr">
        <is>
          <t>SKINNSKATTEBERG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45853</v>
      </c>
      <c r="E211" s="1" t="n">
        <v>46297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35205-2025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45853</v>
      </c>
      <c r="E212" s="1" t="n">
        <v>46297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45686</v>
      </c>
      <c r="E213" s="1" t="n">
        <v>46297</v>
      </c>
      <c r="F213" t="inlineStr">
        <is>
          <t>VÄSTMANLANDS LÄN</t>
        </is>
      </c>
      <c r="G213" t="inlineStr">
        <is>
          <t>SKINNSKATTEBERG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46297</v>
      </c>
      <c r="F214" t="inlineStr">
        <is>
          <t>VÄSTMANLANDS LÄN</t>
        </is>
      </c>
      <c r="G214" t="inlineStr">
        <is>
          <t>SKINNSKATTEBERG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46297</v>
      </c>
      <c r="F215" t="inlineStr">
        <is>
          <t>VÄSTMANLANDS LÄN</t>
        </is>
      </c>
      <c r="G215" t="inlineStr">
        <is>
          <t>SKINNSKATTEBERG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46142</v>
      </c>
      <c r="E216" s="1" t="n">
        <v>46297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46297</v>
      </c>
      <c r="F217" t="inlineStr">
        <is>
          <t>VÄSTMANLANDS LÄN</t>
        </is>
      </c>
      <c r="G217" t="inlineStr">
        <is>
          <t>SKINNSKATTEBERG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46297</v>
      </c>
      <c r="F218" t="inlineStr">
        <is>
          <t>VÄSTMANLANDS LÄN</t>
        </is>
      </c>
      <c r="G218" t="inlineStr">
        <is>
          <t>SKINNSKATTEBERG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46297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46297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46142</v>
      </c>
      <c r="E221" s="1" t="n">
        <v>46297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46297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46297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46142</v>
      </c>
      <c r="E224" s="1" t="n">
        <v>46297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46142</v>
      </c>
      <c r="E225" s="1" t="n">
        <v>46297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46150</v>
      </c>
      <c r="E226" s="1" t="n">
        <v>46297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45406</v>
      </c>
      <c r="E227" s="1" t="n">
        <v>46297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46150</v>
      </c>
      <c r="E228" s="1" t="n">
        <v>46297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45264</v>
      </c>
      <c r="E229" s="1" t="n">
        <v>46297</v>
      </c>
      <c r="F229" t="inlineStr">
        <is>
          <t>VÄSTMANLANDS LÄN</t>
        </is>
      </c>
      <c r="G229" t="inlineStr">
        <is>
          <t>SKINNSKATTEBERG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46297</v>
      </c>
      <c r="F230" t="inlineStr">
        <is>
          <t>VÄSTMANLANDS LÄN</t>
        </is>
      </c>
      <c r="G230" t="inlineStr">
        <is>
          <t>SKINNSKATTEBERG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44903</v>
      </c>
      <c r="E231" s="1" t="n">
        <v>46297</v>
      </c>
      <c r="F231" t="inlineStr">
        <is>
          <t>VÄSTMANLANDS LÄN</t>
        </is>
      </c>
      <c r="G231" t="inlineStr">
        <is>
          <t>SKINNSKATTEBERG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46154</v>
      </c>
      <c r="E232" s="1" t="n">
        <v>46297</v>
      </c>
      <c r="F232" t="inlineStr">
        <is>
          <t>VÄSTMANLANDS LÄN</t>
        </is>
      </c>
      <c r="G232" t="inlineStr">
        <is>
          <t>SKINNSKATTEBERG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45555</v>
      </c>
      <c r="E233" s="1" t="n">
        <v>46297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22779-2026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46157</v>
      </c>
      <c r="E234" s="1" t="n">
        <v>46297</v>
      </c>
      <c r="F234" t="inlineStr">
        <is>
          <t>VÄSTMANLANDS LÄN</t>
        </is>
      </c>
      <c r="G234" t="inlineStr">
        <is>
          <t>SKINNSKATTEBERG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45128</v>
      </c>
      <c r="E235" s="1" t="n">
        <v>46297</v>
      </c>
      <c r="F235" t="inlineStr">
        <is>
          <t>VÄSTMANLANDS LÄN</t>
        </is>
      </c>
      <c r="G235" t="inlineStr">
        <is>
          <t>SKINNSKATTEBERG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45375</v>
      </c>
      <c r="E236" s="1" t="n">
        <v>46297</v>
      </c>
      <c r="F236" t="inlineStr">
        <is>
          <t>VÄSTMANLANDS LÄN</t>
        </is>
      </c>
      <c r="G236" t="inlineStr">
        <is>
          <t>SKINNSKATTEBERG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44965</v>
      </c>
      <c r="E237" s="1" t="n">
        <v>46297</v>
      </c>
      <c r="F237" t="inlineStr">
        <is>
          <t>VÄSTMANLANDS LÄN</t>
        </is>
      </c>
      <c r="G237" t="inlineStr">
        <is>
          <t>SKINNSKATTEBERG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45568</v>
      </c>
      <c r="E238" s="1" t="n">
        <v>46297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46297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46163</v>
      </c>
      <c r="E240" s="1" t="n">
        <v>46297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46297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23561-2026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46297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46297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46297</v>
      </c>
      <c r="F244" t="inlineStr">
        <is>
          <t>VÄSTMANLANDS LÄN</t>
        </is>
      </c>
      <c r="G244" t="inlineStr">
        <is>
          <t>SKINNSKATTEBERG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35059-2024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45527</v>
      </c>
      <c r="E245" s="1" t="n">
        <v>46297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20243-2024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45434</v>
      </c>
      <c r="E246" s="1" t="n">
        <v>46297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46297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46297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46297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46297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46297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45429</v>
      </c>
      <c r="E252" s="1" t="n">
        <v>46297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66584-2021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44519</v>
      </c>
      <c r="E253" s="1" t="n">
        <v>46297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46297</v>
      </c>
      <c r="F254" t="inlineStr">
        <is>
          <t>VÄSTMANLANDS LÄN</t>
        </is>
      </c>
      <c r="G254" t="inlineStr">
        <is>
          <t>SKINNSKATTEBERG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44995</v>
      </c>
      <c r="E255" s="1" t="n">
        <v>46297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46297</v>
      </c>
      <c r="F256" t="inlineStr">
        <is>
          <t>VÄSTMANLANDS LÄN</t>
        </is>
      </c>
      <c r="G256" t="inlineStr">
        <is>
          <t>SKINNSKATTEBERG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42425-2023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46297</v>
      </c>
      <c r="F257" t="inlineStr">
        <is>
          <t>VÄSTMANLANDS LÄN</t>
        </is>
      </c>
      <c r="G257" t="inlineStr">
        <is>
          <t>SKINNSKATTEBERG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15540-2024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45401</v>
      </c>
      <c r="E258" s="1" t="n">
        <v>46297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18161-2024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45420</v>
      </c>
      <c r="E259" s="1" t="n">
        <v>46297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14719-2023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45014</v>
      </c>
      <c r="E260" s="1" t="n">
        <v>46297</v>
      </c>
      <c r="F260" t="inlineStr">
        <is>
          <t>VÄSTMANLANDS LÄN</t>
        </is>
      </c>
      <c r="G260" t="inlineStr">
        <is>
          <t>SKINNSKATTEBERG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14736-2023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45014</v>
      </c>
      <c r="E261" s="1" t="n">
        <v>46297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46297</v>
      </c>
      <c r="F262" t="inlineStr">
        <is>
          <t>VÄSTMANLANDS LÄN</t>
        </is>
      </c>
      <c r="G262" t="inlineStr">
        <is>
          <t>SKINNSKATTEBERG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47689-2023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46297</v>
      </c>
      <c r="F263" t="inlineStr">
        <is>
          <t>VÄSTMANLANDS LÄN</t>
        </is>
      </c>
      <c r="G263" t="inlineStr">
        <is>
          <t>SKINNSKATTEBERG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25750-2026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46297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46297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46297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26356-2026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46182</v>
      </c>
      <c r="E267" s="1" t="n">
        <v>46297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46297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26866-2026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46185</v>
      </c>
      <c r="E269" s="1" t="n">
        <v>46297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46297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26862-2026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46185</v>
      </c>
      <c r="E271" s="1" t="n">
        <v>46297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45407</v>
      </c>
      <c r="E272" s="1" t="n">
        <v>46297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40497-2023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46297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31268-2023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46297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27919-2026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46191</v>
      </c>
      <c r="E275" s="1" t="n">
        <v>46297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46190</v>
      </c>
      <c r="E276" s="1" t="n">
        <v>46297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27639-2026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46297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46297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46297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46297</v>
      </c>
      <c r="F280" t="inlineStr">
        <is>
          <t>VÄSTMANLANDS LÄN</t>
        </is>
      </c>
      <c r="G280" t="inlineStr">
        <is>
          <t>SKINNSKATTEBERG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28456-2026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46197</v>
      </c>
      <c r="E281" s="1" t="n">
        <v>46297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45770</v>
      </c>
      <c r="E282" s="1" t="n">
        <v>46297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46197</v>
      </c>
      <c r="E283" s="1" t="n">
        <v>46297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45686</v>
      </c>
      <c r="E284" s="1" t="n">
        <v>46297</v>
      </c>
      <c r="F284" t="inlineStr">
        <is>
          <t>VÄSTMANLANDS LÄN</t>
        </is>
      </c>
      <c r="G284" t="inlineStr">
        <is>
          <t>SKINNSKATTEBERG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46297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14189-2024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45393</v>
      </c>
      <c r="E286" s="1" t="n">
        <v>46297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46200</v>
      </c>
      <c r="E287" s="1" t="n">
        <v>46297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46297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46200</v>
      </c>
      <c r="E289" s="1" t="n">
        <v>46297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46297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41332-2023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46297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46297</v>
      </c>
      <c r="F292" t="inlineStr">
        <is>
          <t>VÄSTMANLANDS LÄN</t>
        </is>
      </c>
      <c r="G292" t="inlineStr">
        <is>
          <t>SKINNSKATTEBERG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46297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44728</v>
      </c>
      <c r="E294" s="1" t="n">
        <v>46297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46297</v>
      </c>
      <c r="F295" t="inlineStr">
        <is>
          <t>VÄSTMANLANDS LÄN</t>
        </is>
      </c>
      <c r="G295" t="inlineStr">
        <is>
          <t>SKINNSKATTEBERG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16397-2024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45407</v>
      </c>
      <c r="E296" s="1" t="n">
        <v>46297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46297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46297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46297</v>
      </c>
      <c r="F299" t="inlineStr">
        <is>
          <t>VÄSTMANLANDS LÄN</t>
        </is>
      </c>
      <c r="G299" t="inlineStr">
        <is>
          <t>SKINNSKATTEBERG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45420</v>
      </c>
      <c r="E300" s="1" t="n">
        <v>46297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46260</v>
      </c>
      <c r="E301" s="1" t="n">
        <v>46297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35168-2026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46260</v>
      </c>
      <c r="E302" s="1" t="n">
        <v>46297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46297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45306</v>
      </c>
      <c r="E304" s="1" t="n">
        <v>46297</v>
      </c>
      <c r="F304" t="inlineStr">
        <is>
          <t>VÄSTMANLANDS LÄN</t>
        </is>
      </c>
      <c r="G304" t="inlineStr">
        <is>
          <t>SKINNSKATTEBERG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45306</v>
      </c>
      <c r="E305" s="1" t="n">
        <v>46297</v>
      </c>
      <c r="F305" t="inlineStr">
        <is>
          <t>VÄSTMANLANDS LÄN</t>
        </is>
      </c>
      <c r="G305" t="inlineStr">
        <is>
          <t>SKINNSKATTEBERG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45306</v>
      </c>
      <c r="E306" s="1" t="n">
        <v>46297</v>
      </c>
      <c r="F306" t="inlineStr">
        <is>
          <t>VÄSTMANLANDS LÄN</t>
        </is>
      </c>
      <c r="G306" t="inlineStr">
        <is>
          <t>SKINNSKATTEBERG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46262</v>
      </c>
      <c r="E307" s="1" t="n">
        <v>46297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45237</v>
      </c>
      <c r="E308" s="1" t="n">
        <v>46297</v>
      </c>
      <c r="F308" t="inlineStr">
        <is>
          <t>VÄSTMANLANDS LÄN</t>
        </is>
      </c>
      <c r="G308" t="inlineStr">
        <is>
          <t>SKINNSKATTEBERG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46262</v>
      </c>
      <c r="E309" s="1" t="n">
        <v>46297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35582-2026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46262</v>
      </c>
      <c r="E310" s="1" t="n">
        <v>46297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46262</v>
      </c>
      <c r="E311" s="1" t="n">
        <v>46297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8199-2023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46297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Kyrkan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45407</v>
      </c>
      <c r="E313" s="1" t="n">
        <v>46297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35746-2026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46265</v>
      </c>
      <c r="E314" s="1" t="n">
        <v>46297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46268</v>
      </c>
      <c r="E315" s="1" t="n">
        <v>46297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61181-2021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44498</v>
      </c>
      <c r="E316" s="1" t="n">
        <v>46297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35831-2024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46297</v>
      </c>
      <c r="F317" t="inlineStr">
        <is>
          <t>VÄSTMANLANDS LÄN</t>
        </is>
      </c>
      <c r="G317" t="inlineStr">
        <is>
          <t>SKINNSKATTEBERG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45532</v>
      </c>
      <c r="E318" s="1" t="n">
        <v>46297</v>
      </c>
      <c r="F318" t="inlineStr">
        <is>
          <t>VÄSTMANLANDS LÄN</t>
        </is>
      </c>
      <c r="G318" t="inlineStr">
        <is>
          <t>SKINNSKATTEBERG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21571-2023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45063</v>
      </c>
      <c r="E319" s="1" t="n">
        <v>46297</v>
      </c>
      <c r="F319" t="inlineStr">
        <is>
          <t>VÄSTMANLANDS LÄN</t>
        </is>
      </c>
      <c r="G319" t="inlineStr">
        <is>
          <t>SKINNSKATTEBERG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21579-2023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45063</v>
      </c>
      <c r="E320" s="1" t="n">
        <v>46297</v>
      </c>
      <c r="F320" t="inlineStr">
        <is>
          <t>VÄSTMANLANDS LÄN</t>
        </is>
      </c>
      <c r="G320" t="inlineStr">
        <is>
          <t>SKINNSKATTEBERG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35683-2024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45532</v>
      </c>
      <c r="E321" s="1" t="n">
        <v>46297</v>
      </c>
      <c r="F321" t="inlineStr">
        <is>
          <t>VÄSTMANLANDS LÄN</t>
        </is>
      </c>
      <c r="G321" t="inlineStr">
        <is>
          <t>SKINNSKATTEBERG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46274</v>
      </c>
      <c r="E322" s="1" t="n">
        <v>46297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29026-2026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46199</v>
      </c>
      <c r="E323" s="1" t="n">
        <v>46297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48825-2022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44859</v>
      </c>
      <c r="E324" s="1" t="n">
        <v>46297</v>
      </c>
      <c r="F324" t="inlineStr">
        <is>
          <t>VÄSTMANLANDS LÄN</t>
        </is>
      </c>
      <c r="G324" t="inlineStr">
        <is>
          <t>SKINNSKATTEBERG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45040</v>
      </c>
      <c r="E325" s="1" t="n">
        <v>46297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11826-2024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45376</v>
      </c>
      <c r="E326" s="1" t="n">
        <v>46297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20816-2023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45058</v>
      </c>
      <c r="E327" s="1" t="n">
        <v>46297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45048</v>
      </c>
      <c r="E328" s="1" t="n">
        <v>46297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32217-2026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46237</v>
      </c>
      <c r="E329" s="1" t="n">
        <v>46297</v>
      </c>
      <c r="F329" t="inlineStr">
        <is>
          <t>VÄSTMANLANDS LÄN</t>
        </is>
      </c>
      <c r="G329" t="inlineStr">
        <is>
          <t>SKINNSKATTEBERG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58317-2023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45250</v>
      </c>
      <c r="E330" s="1" t="n">
        <v>46297</v>
      </c>
      <c r="F330" t="inlineStr">
        <is>
          <t>VÄSTMANLANDS LÄN</t>
        </is>
      </c>
      <c r="G330" t="inlineStr">
        <is>
          <t>SKINNSKATTEBERG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37899-2026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46279</v>
      </c>
      <c r="E331" s="1" t="n">
        <v>46297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46282</v>
      </c>
      <c r="E332" s="1" t="n">
        <v>46297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7103-2022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44603</v>
      </c>
      <c r="E333" s="1" t="n">
        <v>46297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Kyrkan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45425</v>
      </c>
      <c r="E334" s="1" t="n">
        <v>46297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46262</v>
      </c>
      <c r="E335" s="1" t="n">
        <v>46297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38452-2026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46297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46285</v>
      </c>
      <c r="E337" s="1" t="n">
        <v>46297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46297</v>
      </c>
      <c r="F338" t="inlineStr">
        <is>
          <t>VÄSTMANLANDS LÄN</t>
        </is>
      </c>
      <c r="G338" t="inlineStr">
        <is>
          <t>SKINNSKATTEBERG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58979-2023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45252</v>
      </c>
      <c r="E339" s="1" t="n">
        <v>46297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13385-2024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45387</v>
      </c>
      <c r="E340" s="1" t="n">
        <v>46297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45114</v>
      </c>
      <c r="E341" s="1" t="n">
        <v>46297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46297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46297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46297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32870-2026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46244</v>
      </c>
      <c r="E345" s="1" t="n">
        <v>46297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13713-2024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45390</v>
      </c>
      <c r="E346" s="1" t="n">
        <v>46297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46244</v>
      </c>
      <c r="E347" s="1" t="n">
        <v>46297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46247</v>
      </c>
      <c r="E348" s="1" t="n">
        <v>46297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25843-2023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45090</v>
      </c>
      <c r="E349" s="1" t="n">
        <v>46297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46290</v>
      </c>
      <c r="E350" s="1" t="n">
        <v>46297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46289</v>
      </c>
      <c r="E351" s="1" t="n">
        <v>46297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45762</v>
      </c>
      <c r="E352" s="1" t="n">
        <v>46297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39863-2026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46290</v>
      </c>
      <c r="E353" s="1" t="n">
        <v>46297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45762</v>
      </c>
      <c r="E354" s="1" t="n">
        <v>46297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46290</v>
      </c>
      <c r="E355" s="1" t="n">
        <v>46297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45637</v>
      </c>
      <c r="E356" s="1" t="n">
        <v>46297</v>
      </c>
      <c r="F356" t="inlineStr">
        <is>
          <t>VÄSTMANLANDS LÄN</t>
        </is>
      </c>
      <c r="G356" t="inlineStr">
        <is>
          <t>SKINNSKATTEBERG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45006</v>
      </c>
      <c r="E357" s="1" t="n">
        <v>46297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Allmännings- och besparingsskogar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46290</v>
      </c>
      <c r="E358" s="1" t="n">
        <v>46297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45056</v>
      </c>
      <c r="E359" s="1" t="n">
        <v>46297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33789-2024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45520</v>
      </c>
      <c r="E360" s="1" t="n">
        <v>46297</v>
      </c>
      <c r="F360" t="inlineStr">
        <is>
          <t>VÄSTMANLANDS LÄN</t>
        </is>
      </c>
      <c r="G360" t="inlineStr">
        <is>
          <t>SKINNSKATTEBERG</t>
        </is>
      </c>
      <c r="I360" t="n">
        <v>9.1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54657-2022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44883</v>
      </c>
      <c r="E361" s="1" t="n">
        <v>46297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36288-2022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44803</v>
      </c>
      <c r="E362" s="1" t="n">
        <v>46297</v>
      </c>
      <c r="F362" t="inlineStr">
        <is>
          <t>VÄSTMANLANDS LÄN</t>
        </is>
      </c>
      <c r="G362" t="inlineStr">
        <is>
          <t>SKINNSKATTEBERG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60185-2022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44910</v>
      </c>
      <c r="E363" s="1" t="n">
        <v>46297</v>
      </c>
      <c r="F363" t="inlineStr">
        <is>
          <t>VÄSTMANLANDS LÄN</t>
        </is>
      </c>
      <c r="G363" t="inlineStr">
        <is>
          <t>SKINNSKATTEBERG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45134</v>
      </c>
      <c r="E364" s="1" t="n">
        <v>46297</v>
      </c>
      <c r="F364" t="inlineStr">
        <is>
          <t>VÄSTMANLANDS LÄN</t>
        </is>
      </c>
      <c r="G364" t="inlineStr">
        <is>
          <t>SKINNSKATTEBERG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46297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15561-2024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45401</v>
      </c>
      <c r="E366" s="1" t="n">
        <v>46297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45114</v>
      </c>
      <c r="E367" s="1" t="n">
        <v>46297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46297</v>
      </c>
      <c r="F368" t="inlineStr">
        <is>
          <t>VÄSTMANLANDS LÄN</t>
        </is>
      </c>
      <c r="G368" t="inlineStr">
        <is>
          <t>SKINNSKATTEBERG</t>
        </is>
      </c>
      <c r="I368" t="n">
        <v>12.2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45068</v>
      </c>
      <c r="E369" s="1" t="n">
        <v>46297</v>
      </c>
      <c r="F369" t="inlineStr">
        <is>
          <t>VÄSTMANLANDS LÄN</t>
        </is>
      </c>
      <c r="G369" t="inlineStr">
        <is>
          <t>SKINNSKATTEBERG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22394-2022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44713</v>
      </c>
      <c r="E370" s="1" t="n">
        <v>46297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48492-2024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45592</v>
      </c>
      <c r="E371" s="1" t="n">
        <v>46297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45571</v>
      </c>
      <c r="E372" s="1" t="n">
        <v>46297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43806-2024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45571</v>
      </c>
      <c r="E373" s="1" t="n">
        <v>46297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54501-2024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45617</v>
      </c>
      <c r="E374" s="1" t="n">
        <v>46297</v>
      </c>
      <c r="F374" t="inlineStr">
        <is>
          <t>VÄSTMANLANDS LÄN</t>
        </is>
      </c>
      <c r="G374" t="inlineStr">
        <is>
          <t>SKINNSKATTEBERG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31617-2024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45506</v>
      </c>
      <c r="E375" s="1" t="n">
        <v>46297</v>
      </c>
      <c r="F375" t="inlineStr">
        <is>
          <t>VÄSTMANLANDS LÄN</t>
        </is>
      </c>
      <c r="G375" t="inlineStr">
        <is>
          <t>SKINNSKATTEBERG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40545-2023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45170</v>
      </c>
      <c r="E376" s="1" t="n">
        <v>46297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46297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51472-2024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45604</v>
      </c>
      <c r="E378" s="1" t="n">
        <v>46297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44935</v>
      </c>
      <c r="E379" s="1" t="n">
        <v>46297</v>
      </c>
      <c r="F379" t="inlineStr">
        <is>
          <t>VÄSTMANLANDS LÄN</t>
        </is>
      </c>
      <c r="G379" t="inlineStr">
        <is>
          <t>SKINNSKATTEBERG</t>
        </is>
      </c>
      <c r="I379" t="n">
        <v>10.5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45237</v>
      </c>
      <c r="E380" s="1" t="n">
        <v>46297</v>
      </c>
      <c r="F380" t="inlineStr">
        <is>
          <t>VÄSTMANLANDS LÄN</t>
        </is>
      </c>
      <c r="G380" t="inlineStr">
        <is>
          <t>SKINNSKATTEBERG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37432-2023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45156</v>
      </c>
      <c r="E381" s="1" t="n">
        <v>46297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12888-2024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45385</v>
      </c>
      <c r="E382" s="1" t="n">
        <v>46297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43807-2024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45571</v>
      </c>
      <c r="E383" s="1" t="n">
        <v>46297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46297</v>
      </c>
      <c r="F384" t="inlineStr">
        <is>
          <t>VÄSTMANLANDS LÄN</t>
        </is>
      </c>
      <c r="G384" t="inlineStr">
        <is>
          <t>SKINNSKATTEBERG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45096</v>
      </c>
      <c r="E385" s="1" t="n">
        <v>46297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40167-2024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45554</v>
      </c>
      <c r="E386" s="1" t="n">
        <v>46297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54589-2024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45617</v>
      </c>
      <c r="E387" s="1" t="n">
        <v>46297</v>
      </c>
      <c r="F387" t="inlineStr">
        <is>
          <t>VÄSTMANLANDS LÄN</t>
        </is>
      </c>
      <c r="G387" t="inlineStr">
        <is>
          <t>SKINNSKATTEBERG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45777</v>
      </c>
      <c r="E388" s="1" t="n">
        <v>46297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20949-2025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46297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50980-2022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46297</v>
      </c>
      <c r="F390" t="inlineStr">
        <is>
          <t>VÄSTMANLANDS LÄN</t>
        </is>
      </c>
      <c r="G390" t="inlineStr">
        <is>
          <t>SKINNSKATTEBERG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46297</v>
      </c>
      <c r="F391" t="inlineStr">
        <is>
          <t>VÄSTMANLANDS LÄN</t>
        </is>
      </c>
      <c r="G391" t="inlineStr">
        <is>
          <t>SKINNSKATTEBERG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46297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38783-2024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45547</v>
      </c>
      <c r="E393" s="1" t="n">
        <v>46297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1765-2024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45435</v>
      </c>
      <c r="E394" s="1" t="n">
        <v>46297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1462-2025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45786</v>
      </c>
      <c r="E395" s="1" t="n">
        <v>46297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1931-2025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45827</v>
      </c>
      <c r="E396" s="1" t="n">
        <v>46297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2177-2025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45853</v>
      </c>
      <c r="E397" s="1" t="n">
        <v>46297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2422-2025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45897</v>
      </c>
      <c r="E398" s="1" t="n">
        <v>46297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2421-2025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46297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2420-2025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46297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2456-2025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45901</v>
      </c>
      <c r="E401" s="1" t="n">
        <v>46297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2578-2025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45915</v>
      </c>
      <c r="E402" s="1" t="n">
        <v>46297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1325-2026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46147</v>
      </c>
      <c r="E403" s="1" t="n">
        <v>46297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65.3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1678-2026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46182</v>
      </c>
      <c r="E404" s="1" t="n">
        <v>46297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46297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2239-2026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46260</v>
      </c>
      <c r="E406" s="1" t="n">
        <v>46297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46262</v>
      </c>
      <c r="E407" s="1" t="n">
        <v>46297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2525-2026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46290</v>
      </c>
      <c r="E408" s="1" t="n">
        <v>46297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2026-10-02T02:03:53Z</dcterms:created>
  <dcterms:modified xmlns:dcterms="http://purl.org/dc/terms/" xmlns:xsi="http://www.w3.org/2001/XMLSchema-instance" xsi:type="dcterms:W3CDTF">2026-10-02T02:03:53Z</dcterms:modified>
</cp:coreProperties>
</file>