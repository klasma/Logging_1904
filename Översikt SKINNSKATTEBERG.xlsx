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46302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46302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46302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46302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46302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46302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39621-2026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46289</v>
      </c>
      <c r="E11" s="1" t="n">
        <v>46302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1.6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Motaggsvamp
Orange taggsvamp
Vedskivlav
Zontaggsvamp</t>
        </is>
      </c>
      <c r="W11">
        <f>HYPERLINK("https://klasma.github.io/Logging_1904/artfynd/A 39621-2026 artfynd.xlsx", "A 39621-2026")</f>
        <v/>
      </c>
      <c r="X11">
        <f>HYPERLINK("https://klasma.github.io/Logging_1904/kartor/A 39621-2026 karta.png", "A 39621-2026")</f>
        <v/>
      </c>
      <c r="Y11">
        <f>HYPERLINK("https://klasma.github.io/Logging_1904/kartor_geotiff/A 39621-2026 georefererad karta.tif", "A 39621-2026")</f>
        <v/>
      </c>
      <c r="AA11">
        <f>HYPERLINK("https://klasma.github.io/Logging_1904/klagomål/A 39621-2026 FSC-klagomål.docx", "A 39621-2026")</f>
        <v/>
      </c>
      <c r="AB11">
        <f>HYPERLINK("https://klasma.github.io/Logging_1904/klagomålsmail/A 39621-2026 FSC-klagomål mail.docx", "A 39621-2026")</f>
        <v/>
      </c>
      <c r="AC11">
        <f>HYPERLINK("https://klasma.github.io/Logging_1904/tillsyn/A 39621-2026 tillsynsbegäran.docx", "A 39621-2026")</f>
        <v/>
      </c>
      <c r="AD11">
        <f>HYPERLINK("https://klasma.github.io/Logging_1904/tillsynsmail/A 39621-2026 tillsynsbegäran mail.docx", "A 39621-2026")</f>
        <v/>
      </c>
    </row>
    <row r="12" ht="15" customHeight="1">
      <c r="A12" t="inlineStr">
        <is>
          <t>A 36595-2024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45537</v>
      </c>
      <c r="E12" s="1" t="n">
        <v>46302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</v>
      </c>
      <c r="J12" t="n">
        <v>1</v>
      </c>
      <c r="K12" t="n">
        <v>0</v>
      </c>
      <c r="L12" t="n">
        <v>1</v>
      </c>
      <c r="M12" t="n">
        <v>3</v>
      </c>
      <c r="N12" t="n">
        <v>0</v>
      </c>
      <c r="O12" t="n">
        <v>0</v>
      </c>
      <c r="P12" t="n">
        <v>0</v>
      </c>
      <c r="Q12" t="n">
        <v>4</v>
      </c>
      <c r="R12" t="n">
        <v>3</v>
      </c>
      <c r="S12" t="n">
        <v>4</v>
      </c>
      <c r="T12" t="n">
        <v>4</v>
      </c>
      <c r="U12" t="n">
        <v>4</v>
      </c>
      <c r="V12" s="2" t="inlineStr">
        <is>
          <t>Knärot
Lakritsmusseron
Lammticka
Skarp dropptaggsvamp</t>
        </is>
      </c>
      <c r="W12">
        <f>HYPERLINK("https://klasma.github.io/Logging_1904/artfynd/A 36595-2024 artfynd.xlsx", "A 36595-2024")</f>
        <v/>
      </c>
      <c r="X12">
        <f>HYPERLINK("https://klasma.github.io/Logging_1904/kartor/A 36595-2024 karta.png", "A 36595-2024")</f>
        <v/>
      </c>
      <c r="Y12">
        <f>HYPERLINK("https://klasma.github.io/Logging_1904/kartor_geotiff/A 36595-2024 georefererad karta.tif", "A 36595-2024")</f>
        <v/>
      </c>
      <c r="Z12">
        <f>HYPERLINK("https://klasma.github.io/Logging_1904/knärot/A 36595-2024 karta knärot.png", "A 36595-2024")</f>
        <v/>
      </c>
      <c r="AA12">
        <f>HYPERLINK("https://klasma.github.io/Logging_1904/klagomål/A 36595-2024 FSC-klagomål.docx", "A 36595-2024")</f>
        <v/>
      </c>
      <c r="AB12">
        <f>HYPERLINK("https://klasma.github.io/Logging_1904/klagomålsmail/A 36595-2024 FSC-klagomål mail.docx", "A 36595-2024")</f>
        <v/>
      </c>
      <c r="AC12">
        <f>HYPERLINK("https://klasma.github.io/Logging_1904/tillsyn/A 36595-2024 tillsynsbegäran.docx", "A 36595-2024")</f>
        <v/>
      </c>
      <c r="AD12">
        <f>HYPERLINK("https://klasma.github.io/Logging_1904/tillsynsmail/A 36595-2024 tillsynsbegäran mail.docx", "A 36595-2024")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46302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46302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46302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58355-2025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45985</v>
      </c>
      <c r="E16" s="1" t="n">
        <v>46302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1.9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6</v>
      </c>
      <c r="U16" t="n">
        <v>4</v>
      </c>
      <c r="V16" s="2" t="inlineStr">
        <is>
          <t>Brunpudrad nållav
Vedtrappmossa
Brandticka</t>
        </is>
      </c>
      <c r="W16">
        <f>HYPERLINK("https://klasma.github.io/Logging_1904/artfynd/A 58355-2025 artfynd.xlsx", "A 58355-2025")</f>
        <v/>
      </c>
      <c r="X16">
        <f>HYPERLINK("https://klasma.github.io/Logging_1904/kartor/A 58355-2025 karta.png", "A 58355-2025")</f>
        <v/>
      </c>
      <c r="Y16">
        <f>HYPERLINK("https://klasma.github.io/Logging_1904/kartor_geotiff/A 58355-2025 georefererad karta.tif", "A 58355-2025")</f>
        <v/>
      </c>
      <c r="AA16">
        <f>HYPERLINK("https://klasma.github.io/Logging_1904/klagomål/A 58355-2025 FSC-klagomål.docx", "A 58355-2025")</f>
        <v/>
      </c>
      <c r="AB16">
        <f>HYPERLINK("https://klasma.github.io/Logging_1904/klagomålsmail/A 58355-2025 FSC-klagomål mail.docx", "A 58355-2025")</f>
        <v/>
      </c>
      <c r="AC16">
        <f>HYPERLINK("https://klasma.github.io/Logging_1904/tillsyn/A 58355-2025 tillsynsbegäran.docx", "A 58355-2025")</f>
        <v/>
      </c>
      <c r="AD16">
        <f>HYPERLINK("https://klasma.github.io/Logging_1904/tillsynsmail/A 58355-2025 tillsynsbegäran mail.docx", "A 58355-2025")</f>
        <v/>
      </c>
    </row>
    <row r="17" ht="15" customHeight="1">
      <c r="A17" t="inlineStr">
        <is>
          <t>A 21846-2026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46150</v>
      </c>
      <c r="E17" s="1" t="n">
        <v>46302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Gränsticka
Brunpudrad nållav
Vedtrappmossa</t>
        </is>
      </c>
      <c r="W17">
        <f>HYPERLINK("https://klasma.github.io/Logging_1904/artfynd/A 21846-2026 artfynd.xlsx", "A 21846-2026")</f>
        <v/>
      </c>
      <c r="X17">
        <f>HYPERLINK("https://klasma.github.io/Logging_1904/kartor/A 21846-2026 karta.png", "A 21846-2026")</f>
        <v/>
      </c>
      <c r="Y17">
        <f>HYPERLINK("https://klasma.github.io/Logging_1904/kartor_geotiff/A 21846-2026 georefererad karta.tif", "A 21846-2026")</f>
        <v/>
      </c>
      <c r="AA17">
        <f>HYPERLINK("https://klasma.github.io/Logging_1904/klagomål/A 21846-2026 FSC-klagomål.docx", "A 21846-2026")</f>
        <v/>
      </c>
      <c r="AB17">
        <f>HYPERLINK("https://klasma.github.io/Logging_1904/klagomålsmail/A 21846-2026 FSC-klagomål mail.docx", "A 21846-2026")</f>
        <v/>
      </c>
      <c r="AC17">
        <f>HYPERLINK("https://klasma.github.io/Logging_1904/tillsyn/A 21846-2026 tillsynsbegäran.docx", "A 21846-2026")</f>
        <v/>
      </c>
      <c r="AD17">
        <f>HYPERLINK("https://klasma.github.io/Logging_1904/tillsynsmail/A 21846-2026 tillsynsbegäran mail.docx", "A 21846-2026")</f>
        <v/>
      </c>
    </row>
    <row r="18" ht="15" customHeight="1">
      <c r="A18" t="inlineStr">
        <is>
          <t>A 18515-2024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46302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Plattlummer
Fläcknycklar
Revlummer</t>
        </is>
      </c>
      <c r="W18">
        <f>HYPERLINK("https://klasma.github.io/Logging_1904/artfynd/A 18515-2024 artfynd.xlsx", "A 18515-2024")</f>
        <v/>
      </c>
      <c r="X18">
        <f>HYPERLINK("https://klasma.github.io/Logging_1904/kartor/A 18515-2024 karta.png", "A 18515-2024")</f>
        <v/>
      </c>
      <c r="Y18">
        <f>HYPERLINK("https://klasma.github.io/Logging_1904/kartor_geotiff/A 18515-2024 georefererad karta.tif", "A 18515-2024")</f>
        <v/>
      </c>
      <c r="AA18">
        <f>HYPERLINK("https://klasma.github.io/Logging_1904/klagomål/A 18515-2024 FSC-klagomål.docx", "A 18515-2024")</f>
        <v/>
      </c>
      <c r="AB18">
        <f>HYPERLINK("https://klasma.github.io/Logging_1904/klagomålsmail/A 18515-2024 FSC-klagomål mail.docx", "A 18515-2024")</f>
        <v/>
      </c>
      <c r="AC18">
        <f>HYPERLINK("https://klasma.github.io/Logging_1904/tillsyn/A 18515-2024 tillsynsbegäran.docx", "A 18515-2024")</f>
        <v/>
      </c>
      <c r="AD18">
        <f>HYPERLINK("https://klasma.github.io/Logging_1904/tillsynsmail/A 18515-2024 tillsynsbegäran mail.docx", "A 18515-2024")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46302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46302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46302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46302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39618-2026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46302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4.3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Raggbock
Motaggsvamp</t>
        </is>
      </c>
      <c r="W23">
        <f>HYPERLINK("https://klasma.github.io/Logging_1904/artfynd/A 39618-2026 artfynd.xlsx", "A 39618-2026")</f>
        <v/>
      </c>
      <c r="X23">
        <f>HYPERLINK("https://klasma.github.io/Logging_1904/kartor/A 39618-2026 karta.png", "A 39618-2026")</f>
        <v/>
      </c>
      <c r="Y23">
        <f>HYPERLINK("https://klasma.github.io/Logging_1904/kartor_geotiff/A 39618-2026 georefererad karta.tif", "A 39618-2026")</f>
        <v/>
      </c>
      <c r="AA23">
        <f>HYPERLINK("https://klasma.github.io/Logging_1904/klagomål/A 39618-2026 FSC-klagomål.docx", "A 39618-2026")</f>
        <v/>
      </c>
      <c r="AB23">
        <f>HYPERLINK("https://klasma.github.io/Logging_1904/klagomålsmail/A 39618-2026 FSC-klagomål mail.docx", "A 39618-2026")</f>
        <v/>
      </c>
      <c r="AC23">
        <f>HYPERLINK("https://klasma.github.io/Logging_1904/tillsyn/A 39618-2026 tillsynsbegäran.docx", "A 39618-2026")</f>
        <v/>
      </c>
      <c r="AD23">
        <f>HYPERLINK("https://klasma.github.io/Logging_1904/tillsynsmail/A 39618-2026 tillsynsbegäran mail.docx", "A 39618-2026")</f>
        <v/>
      </c>
    </row>
    <row r="24" ht="15" customHeight="1">
      <c r="A24" t="inlineStr">
        <is>
          <t>A 18416-2025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46302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2.7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Stubbspretmossa
Svart trolldruva</t>
        </is>
      </c>
      <c r="W24">
        <f>HYPERLINK("https://klasma.github.io/Logging_1904/artfynd/A 18416-2025 artfynd.xlsx", "A 18416-2025")</f>
        <v/>
      </c>
      <c r="X24">
        <f>HYPERLINK("https://klasma.github.io/Logging_1904/kartor/A 18416-2025 karta.png", "A 18416-2025")</f>
        <v/>
      </c>
      <c r="Y24">
        <f>HYPERLINK("https://klasma.github.io/Logging_1904/kartor_geotiff/A 18416-2025 georefererad karta.tif", "A 18416-2025")</f>
        <v/>
      </c>
      <c r="AA24">
        <f>HYPERLINK("https://klasma.github.io/Logging_1904/klagomål/A 18416-2025 FSC-klagomål.docx", "A 18416-2025")</f>
        <v/>
      </c>
      <c r="AB24">
        <f>HYPERLINK("https://klasma.github.io/Logging_1904/klagomålsmail/A 18416-2025 FSC-klagomål mail.docx", "A 18416-2025")</f>
        <v/>
      </c>
      <c r="AC24">
        <f>HYPERLINK("https://klasma.github.io/Logging_1904/tillsyn/A 18416-2025 tillsynsbegäran.docx", "A 18416-2025")</f>
        <v/>
      </c>
      <c r="AD24">
        <f>HYPERLINK("https://klasma.github.io/Logging_1904/tillsynsmail/A 18416-2025 tillsynsbegäran mail.docx", "A 18416-2025")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46302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46302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46302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46302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47538-2025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46302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6.6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HYPERLINK("https://klasma.github.io/Logging_1904/artfynd/A 47538-2025 artfynd.xlsx", "A 47538-2025")</f>
        <v/>
      </c>
      <c r="X29">
        <f>HYPERLINK("https://klasma.github.io/Logging_1904/kartor/A 47538-2025 karta.png", "A 47538-2025")</f>
        <v/>
      </c>
      <c r="Y29">
        <f>HYPERLINK("https://klasma.github.io/Logging_1904/kartor_geotiff/A 47538-2025 georefererad karta.tif", "A 47538-2025")</f>
        <v/>
      </c>
      <c r="AA29">
        <f>HYPERLINK("https://klasma.github.io/Logging_1904/klagomål/A 47538-2025 FSC-klagomål.docx", "A 47538-2025")</f>
        <v/>
      </c>
      <c r="AB29">
        <f>HYPERLINK("https://klasma.github.io/Logging_1904/klagomålsmail/A 47538-2025 FSC-klagomål mail.docx", "A 47538-2025")</f>
        <v/>
      </c>
      <c r="AC29">
        <f>HYPERLINK("https://klasma.github.io/Logging_1904/tillsyn/A 47538-2025 tillsynsbegäran.docx", "A 47538-2025")</f>
        <v/>
      </c>
      <c r="AD29">
        <f>HYPERLINK("https://klasma.github.io/Logging_1904/tillsynsmail/A 47538-2025 tillsynsbegäran mail.docx", "A 47538-2025")</f>
        <v/>
      </c>
    </row>
    <row r="30" ht="15" customHeight="1">
      <c r="A30" t="inlineStr">
        <is>
          <t>A 31006-2025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45832</v>
      </c>
      <c r="E30" s="1" t="n">
        <v>46302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HYPERLINK("https://klasma.github.io/Logging_1904/artfynd/A 31006-2025 artfynd.xlsx", "A 31006-2025")</f>
        <v/>
      </c>
      <c r="X30">
        <f>HYPERLINK("https://klasma.github.io/Logging_1904/kartor/A 31006-2025 karta.png", "A 31006-2025")</f>
        <v/>
      </c>
      <c r="Y30">
        <f>HYPERLINK("https://klasma.github.io/Logging_1904/kartor_geotiff/A 31006-2025 georefererad karta.tif", "A 31006-2025")</f>
        <v/>
      </c>
      <c r="AA30">
        <f>HYPERLINK("https://klasma.github.io/Logging_1904/klagomål/A 31006-2025 FSC-klagomål.docx", "A 31006-2025")</f>
        <v/>
      </c>
      <c r="AB30">
        <f>HYPERLINK("https://klasma.github.io/Logging_1904/klagomålsmail/A 31006-2025 FSC-klagomål mail.docx", "A 31006-2025")</f>
        <v/>
      </c>
      <c r="AC30">
        <f>HYPERLINK("https://klasma.github.io/Logging_1904/tillsyn/A 31006-2025 tillsynsbegäran.docx", "A 31006-2025")</f>
        <v/>
      </c>
      <c r="AD30">
        <f>HYPERLINK("https://klasma.github.io/Logging_1904/tillsynsmail/A 31006-2025 tillsynsbegäran mail.docx", "A 31006-2025")</f>
        <v/>
      </c>
      <c r="AE30">
        <f>HYPERLINK("https://klasma.github.io/Logging_1904/fåglar/A 31006-2025 prioriterade fågelarter.docx", "A 31006-2025")</f>
        <v/>
      </c>
    </row>
    <row r="31" ht="15" customHeight="1">
      <c r="A31" t="inlineStr">
        <is>
          <t>A 57747-2023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45246</v>
      </c>
      <c r="E31" s="1" t="n">
        <v>46302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Myopa fasciata</t>
        </is>
      </c>
      <c r="W31">
        <f>HYPERLINK("https://klasma.github.io/Logging_1904/artfynd/A 57747-2023 artfynd.xlsx", "A 57747-2023")</f>
        <v/>
      </c>
      <c r="X31">
        <f>HYPERLINK("https://klasma.github.io/Logging_1904/kartor/A 57747-2023 karta.png", "A 57747-2023")</f>
        <v/>
      </c>
      <c r="Y31">
        <f>HYPERLINK("https://klasma.github.io/Logging_1904/kartor_geotiff/A 57747-2023 georefererad karta.tif", "A 57747-2023")</f>
        <v/>
      </c>
      <c r="AA31">
        <f>HYPERLINK("https://klasma.github.io/Logging_1904/klagomål/A 57747-2023 FSC-klagomål.docx", "A 57747-2023")</f>
        <v/>
      </c>
      <c r="AB31">
        <f>HYPERLINK("https://klasma.github.io/Logging_1904/klagomålsmail/A 57747-2023 FSC-klagomål mail.docx", "A 57747-2023")</f>
        <v/>
      </c>
      <c r="AC31">
        <f>HYPERLINK("https://klasma.github.io/Logging_1904/tillsyn/A 57747-2023 tillsynsbegäran.docx", "A 57747-2023")</f>
        <v/>
      </c>
      <c r="AD31">
        <f>HYPERLINK("https://klasma.github.io/Logging_1904/tillsynsmail/A 57747-2023 tillsynsbegäran mail.docx", "A 57747-2023")</f>
        <v/>
      </c>
    </row>
    <row r="32" ht="15" customHeight="1">
      <c r="A32" t="inlineStr">
        <is>
          <t>A 15734-2026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46107</v>
      </c>
      <c r="E32" s="1" t="n">
        <v>46302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Koppartaggsvamp</t>
        </is>
      </c>
      <c r="W32">
        <f>HYPERLINK("https://klasma.github.io/Logging_1904/artfynd/A 15734-2026 artfynd.xlsx", "A 15734-2026")</f>
        <v/>
      </c>
      <c r="X32">
        <f>HYPERLINK("https://klasma.github.io/Logging_1904/kartor/A 15734-2026 karta.png", "A 15734-2026")</f>
        <v/>
      </c>
      <c r="Y32">
        <f>HYPERLINK("https://klasma.github.io/Logging_1904/kartor_geotiff/A 15734-2026 georefererad karta.tif", "A 15734-2026")</f>
        <v/>
      </c>
      <c r="AA32">
        <f>HYPERLINK("https://klasma.github.io/Logging_1904/klagomål/A 15734-2026 FSC-klagomål.docx", "A 15734-2026")</f>
        <v/>
      </c>
      <c r="AB32">
        <f>HYPERLINK("https://klasma.github.io/Logging_1904/klagomålsmail/A 15734-2026 FSC-klagomål mail.docx", "A 15734-2026")</f>
        <v/>
      </c>
      <c r="AC32">
        <f>HYPERLINK("https://klasma.github.io/Logging_1904/tillsyn/A 15734-2026 tillsynsbegäran.docx", "A 15734-2026")</f>
        <v/>
      </c>
      <c r="AD32">
        <f>HYPERLINK("https://klasma.github.io/Logging_1904/tillsynsmail/A 15734-2026 tillsynsbegäran mail.docx", "A 15734-2026")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46302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46302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20559-2026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46302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20559-2026 artfynd.xlsx", "A 20559-2026")</f>
        <v/>
      </c>
      <c r="X35">
        <f>HYPERLINK("https://klasma.github.io/Logging_1904/kartor/A 20559-2026 karta.png", "A 20559-2026")</f>
        <v/>
      </c>
      <c r="Y35">
        <f>HYPERLINK("https://klasma.github.io/Logging_1904/kartor_geotiff/A 20559-2026 georefererad karta.tif", "A 20559-2026")</f>
        <v/>
      </c>
      <c r="AA35">
        <f>HYPERLINK("https://klasma.github.io/Logging_1904/klagomål/A 20559-2026 FSC-klagomål.docx", "A 20559-2026")</f>
        <v/>
      </c>
      <c r="AB35">
        <f>HYPERLINK("https://klasma.github.io/Logging_1904/klagomålsmail/A 20559-2026 FSC-klagomål mail.docx", "A 20559-2026")</f>
        <v/>
      </c>
      <c r="AC35">
        <f>HYPERLINK("https://klasma.github.io/Logging_1904/tillsyn/A 20559-2026 tillsynsbegäran.docx", "A 20559-2026")</f>
        <v/>
      </c>
      <c r="AD35">
        <f>HYPERLINK("https://klasma.github.io/Logging_1904/tillsynsmail/A 20559-2026 tillsynsbegäran mail.docx", "A 20559-2026")</f>
        <v/>
      </c>
      <c r="AE35">
        <f>HYPERLINK("https://klasma.github.io/Logging_1904/fåglar/A 20559-2026 prioriterade fågelarter.docx", "A 20559-2026")</f>
        <v/>
      </c>
    </row>
    <row r="36" ht="15" customHeight="1">
      <c r="A36" t="inlineStr">
        <is>
          <t>A 19205-2024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46302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Järpe</t>
        </is>
      </c>
      <c r="W36">
        <f>HYPERLINK("https://klasma.github.io/Logging_1904/artfynd/A 19205-2024 artfynd.xlsx", "A 19205-2024")</f>
        <v/>
      </c>
      <c r="X36">
        <f>HYPERLINK("https://klasma.github.io/Logging_1904/kartor/A 19205-2024 karta.png", "A 19205-2024")</f>
        <v/>
      </c>
      <c r="Y36">
        <f>HYPERLINK("https://klasma.github.io/Logging_1904/kartor_geotiff/A 19205-2024 georefererad karta.tif", "A 19205-2024")</f>
        <v/>
      </c>
      <c r="AA36">
        <f>HYPERLINK("https://klasma.github.io/Logging_1904/klagomål/A 19205-2024 FSC-klagomål.docx", "A 19205-2024")</f>
        <v/>
      </c>
      <c r="AB36">
        <f>HYPERLINK("https://klasma.github.io/Logging_1904/klagomålsmail/A 19205-2024 FSC-klagomål mail.docx", "A 19205-2024")</f>
        <v/>
      </c>
      <c r="AC36">
        <f>HYPERLINK("https://klasma.github.io/Logging_1904/tillsyn/A 19205-2024 tillsynsbegäran.docx", "A 19205-2024")</f>
        <v/>
      </c>
      <c r="AD36">
        <f>HYPERLINK("https://klasma.github.io/Logging_1904/tillsynsmail/A 19205-2024 tillsynsbegäran mail.docx", "A 19205-2024")</f>
        <v/>
      </c>
      <c r="AE36">
        <f>HYPERLINK("https://klasma.github.io/Logging_1904/fåglar/A 19205-2024 prioriterade fågelarter.docx", "A 19205-2024")</f>
        <v/>
      </c>
    </row>
    <row r="37" ht="15" customHeight="1">
      <c r="A37" t="inlineStr">
        <is>
          <t>A 21849-2026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46150</v>
      </c>
      <c r="E37" s="1" t="n">
        <v>46302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12.5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HYPERLINK("https://klasma.github.io/Logging_1904/artfynd/A 21849-2026 artfynd.xlsx", "A 21849-2026")</f>
        <v/>
      </c>
      <c r="X37">
        <f>HYPERLINK("https://klasma.github.io/Logging_1904/kartor/A 21849-2026 karta.png", "A 21849-2026")</f>
        <v/>
      </c>
      <c r="Y37">
        <f>HYPERLINK("https://klasma.github.io/Logging_1904/kartor_geotiff/A 21849-2026 georefererad karta.tif", "A 21849-2026")</f>
        <v/>
      </c>
      <c r="Z37">
        <f>HYPERLINK("https://klasma.github.io/Logging_1904/knärot/A 21849-2026 karta knärot.png", "A 21849-2026")</f>
        <v/>
      </c>
      <c r="AA37">
        <f>HYPERLINK("https://klasma.github.io/Logging_1904/klagomål/A 21849-2026 FSC-klagomål.docx", "A 21849-2026")</f>
        <v/>
      </c>
      <c r="AB37">
        <f>HYPERLINK("https://klasma.github.io/Logging_1904/klagomålsmail/A 21849-2026 FSC-klagomål mail.docx", "A 21849-2026")</f>
        <v/>
      </c>
      <c r="AC37">
        <f>HYPERLINK("https://klasma.github.io/Logging_1904/tillsyn/A 21849-2026 tillsynsbegäran.docx", "A 21849-2026")</f>
        <v/>
      </c>
      <c r="AD37">
        <f>HYPERLINK("https://klasma.github.io/Logging_1904/tillsynsmail/A 21849-2026 tillsynsbegäran mail.docx", "A 21849-2026")</f>
        <v/>
      </c>
    </row>
    <row r="38" ht="15" customHeight="1">
      <c r="A38" t="inlineStr">
        <is>
          <t>A 24492-2026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46302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HYPERLINK("https://klasma.github.io/Logging_1904/artfynd/A 24492-2026 artfynd.xlsx", "A 24492-2026")</f>
        <v/>
      </c>
      <c r="X38">
        <f>HYPERLINK("https://klasma.github.io/Logging_1904/kartor/A 24492-2026 karta.png", "A 24492-2026")</f>
        <v/>
      </c>
      <c r="Y38">
        <f>HYPERLINK("https://klasma.github.io/Logging_1904/kartor_geotiff/A 24492-2026 georefererad karta.tif", "A 24492-2026")</f>
        <v/>
      </c>
      <c r="AA38">
        <f>HYPERLINK("https://klasma.github.io/Logging_1904/klagomål/A 24492-2026 FSC-klagomål.docx", "A 24492-2026")</f>
        <v/>
      </c>
      <c r="AB38">
        <f>HYPERLINK("https://klasma.github.io/Logging_1904/klagomålsmail/A 24492-2026 FSC-klagomål mail.docx", "A 24492-2026")</f>
        <v/>
      </c>
      <c r="AC38">
        <f>HYPERLINK("https://klasma.github.io/Logging_1904/tillsyn/A 24492-2026 tillsynsbegäran.docx", "A 24492-2026")</f>
        <v/>
      </c>
      <c r="AD38">
        <f>HYPERLINK("https://klasma.github.io/Logging_1904/tillsynsmail/A 24492-2026 tillsynsbegäran mail.docx", "A 24492-2026")</f>
        <v/>
      </c>
      <c r="AE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46302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8.4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HYPERLINK("https://klasma.github.io/Logging_1904/artfynd/A 24944-2026 artfynd.xlsx", "A 24944-2026")</f>
        <v/>
      </c>
      <c r="X39">
        <f>HYPERLINK("https://klasma.github.io/Logging_1904/kartor/A 24944-2026 karta.png", "A 24944-2026")</f>
        <v/>
      </c>
      <c r="Y39">
        <f>HYPERLINK("https://klasma.github.io/Logging_1904/kartor_geotiff/A 24944-2026 georefererad karta.tif", "A 24944-2026")</f>
        <v/>
      </c>
      <c r="AA39">
        <f>HYPERLINK("https://klasma.github.io/Logging_1904/klagomål/A 24944-2026 FSC-klagomål.docx", "A 24944-2026")</f>
        <v/>
      </c>
      <c r="AB39">
        <f>HYPERLINK("https://klasma.github.io/Logging_1904/klagomålsmail/A 24944-2026 FSC-klagomål mail.docx", "A 24944-2026")</f>
        <v/>
      </c>
      <c r="AC39">
        <f>HYPERLINK("https://klasma.github.io/Logging_1904/tillsyn/A 24944-2026 tillsynsbegäran.docx", "A 24944-2026")</f>
        <v/>
      </c>
      <c r="AD39">
        <f>HYPERLINK("https://klasma.github.io/Logging_1904/tillsynsmail/A 24944-2026 tillsynsbegäran mail.docx", "A 24944-2026")</f>
        <v/>
      </c>
    </row>
    <row r="40" ht="15" customHeight="1">
      <c r="A40" t="inlineStr">
        <is>
          <t>A 26860-2026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46302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10.3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HYPERLINK("https://klasma.github.io/Logging_1904/artfynd/A 26860-2026 artfynd.xlsx", "A 26860-2026")</f>
        <v/>
      </c>
      <c r="X40">
        <f>HYPERLINK("https://klasma.github.io/Logging_1904/kartor/A 26860-2026 karta.png", "A 26860-2026")</f>
        <v/>
      </c>
      <c r="Y40">
        <f>HYPERLINK("https://klasma.github.io/Logging_1904/kartor_geotiff/A 26860-2026 georefererad karta.tif", "A 26860-2026")</f>
        <v/>
      </c>
      <c r="AA40">
        <f>HYPERLINK("https://klasma.github.io/Logging_1904/klagomål/A 26860-2026 FSC-klagomål.docx", "A 26860-2026")</f>
        <v/>
      </c>
      <c r="AB40">
        <f>HYPERLINK("https://klasma.github.io/Logging_1904/klagomålsmail/A 26860-2026 FSC-klagomål mail.docx", "A 26860-2026")</f>
        <v/>
      </c>
      <c r="AC40">
        <f>HYPERLINK("https://klasma.github.io/Logging_1904/tillsyn/A 26860-2026 tillsynsbegäran.docx", "A 26860-2026")</f>
        <v/>
      </c>
      <c r="AD40">
        <f>HYPERLINK("https://klasma.github.io/Logging_1904/tillsynsmail/A 26860-2026 tillsynsbegäran mail.docx", "A 26860-2026")</f>
        <v/>
      </c>
      <c r="AE40">
        <f>HYPERLINK("https://klasma.github.io/Logging_1904/fåglar/A 26860-2026 prioriterade fågelarter.docx", "A 26860-2026")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46302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HYPERLINK("https://klasma.github.io/Logging_1904/artfynd/A 30579-2026 artfynd.xlsx", "A 30579-2026")</f>
        <v/>
      </c>
      <c r="X41">
        <f>HYPERLINK("https://klasma.github.io/Logging_1904/kartor/A 30579-2026 karta.png", "A 30579-2026")</f>
        <v/>
      </c>
      <c r="Y41">
        <f>HYPERLINK("https://klasma.github.io/Logging_1904/kartor_geotiff/A 30579-2026 georefererad karta.tif", "A 30579-2026")</f>
        <v/>
      </c>
      <c r="AA41">
        <f>HYPERLINK("https://klasma.github.io/Logging_1904/klagomål/A 30579-2026 FSC-klagomål.docx", "A 30579-2026")</f>
        <v/>
      </c>
      <c r="AB41">
        <f>HYPERLINK("https://klasma.github.io/Logging_1904/klagomålsmail/A 30579-2026 FSC-klagomål mail.docx", "A 30579-2026")</f>
        <v/>
      </c>
      <c r="AC41">
        <f>HYPERLINK("https://klasma.github.io/Logging_1904/tillsyn/A 30579-2026 tillsynsbegäran.docx", "A 30579-2026")</f>
        <v/>
      </c>
      <c r="AD41">
        <f>HYPERLINK("https://klasma.github.io/Logging_1904/tillsynsmail/A 30579-2026 tillsynsbegäran mail.docx", "A 30579-2026")</f>
        <v/>
      </c>
    </row>
    <row r="42" ht="15" customHeight="1">
      <c r="A42" t="inlineStr">
        <is>
          <t>A 35371-2026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46261</v>
      </c>
      <c r="E42" s="1" t="n">
        <v>46302</v>
      </c>
      <c r="F42" t="inlineStr">
        <is>
          <t>VÄSTMANLANDS LÄN</t>
        </is>
      </c>
      <c r="G42" t="inlineStr">
        <is>
          <t>SKINNSKATTEBERG</t>
        </is>
      </c>
      <c r="I42" t="n">
        <v>1.3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HYPERLINK("https://klasma.github.io/Logging_1904/artfynd/A 35371-2026 artfynd.xlsx", "A 35371-2026")</f>
        <v/>
      </c>
      <c r="X42">
        <f>HYPERLINK("https://klasma.github.io/Logging_1904/kartor/A 35371-2026 karta.png", "A 35371-2026")</f>
        <v/>
      </c>
      <c r="Y42">
        <f>HYPERLINK("https://klasma.github.io/Logging_1904/kartor_geotiff/A 35371-2026 georefererad karta.tif", "A 35371-2026")</f>
        <v/>
      </c>
      <c r="AA42">
        <f>HYPERLINK("https://klasma.github.io/Logging_1904/klagomål/A 35371-2026 FSC-klagomål.docx", "A 35371-2026")</f>
        <v/>
      </c>
      <c r="AB42">
        <f>HYPERLINK("https://klasma.github.io/Logging_1904/klagomålsmail/A 35371-2026 FSC-klagomål mail.docx", "A 35371-2026")</f>
        <v/>
      </c>
      <c r="AC42">
        <f>HYPERLINK("https://klasma.github.io/Logging_1904/tillsyn/A 35371-2026 tillsynsbegäran.docx", "A 35371-2026")</f>
        <v/>
      </c>
      <c r="AD42">
        <f>HYPERLINK("https://klasma.github.io/Logging_1904/tillsynsmail/A 35371-2026 tillsynsbegäran mail.docx", "A 35371-2026")</f>
        <v/>
      </c>
      <c r="AE42">
        <f>HYPERLINK("https://klasma.github.io/Logging_1904/fåglar/A 35371-2026 prioriterade fågelarter.docx", "A 35371-2026")</f>
        <v/>
      </c>
    </row>
    <row r="43" ht="15" customHeight="1">
      <c r="A43" t="inlineStr">
        <is>
          <t>A 36263-2026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46302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Lopplummer (aggregat)</t>
        </is>
      </c>
      <c r="W43">
        <f>HYPERLINK("https://klasma.github.io/Logging_1904/artfynd/A 36263-2026 artfynd.xlsx", "A 36263-2026")</f>
        <v/>
      </c>
      <c r="X43">
        <f>HYPERLINK("https://klasma.github.io/Logging_1904/kartor/A 36263-2026 karta.png", "A 36263-2026")</f>
        <v/>
      </c>
      <c r="Y43">
        <f>HYPERLINK("https://klasma.github.io/Logging_1904/kartor_geotiff/A 36263-2026 georefererad karta.tif", "A 36263-2026")</f>
        <v/>
      </c>
      <c r="AA43">
        <f>HYPERLINK("https://klasma.github.io/Logging_1904/klagomål/A 36263-2026 FSC-klagomål.docx", "A 36263-2026")</f>
        <v/>
      </c>
      <c r="AB43">
        <f>HYPERLINK("https://klasma.github.io/Logging_1904/klagomålsmail/A 36263-2026 FSC-klagomål mail.docx", "A 36263-2026")</f>
        <v/>
      </c>
      <c r="AC43">
        <f>HYPERLINK("https://klasma.github.io/Logging_1904/tillsyn/A 36263-2026 tillsynsbegäran.docx", "A 36263-2026")</f>
        <v/>
      </c>
      <c r="AD43">
        <f>HYPERLINK("https://klasma.github.io/Logging_1904/tillsynsmail/A 36263-2026 tillsynsbegäran mail.docx", "A 36263-2026")</f>
        <v/>
      </c>
    </row>
    <row r="44" ht="15" customHeight="1">
      <c r="A44" t="inlineStr">
        <is>
          <t>A 27565-2024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45474</v>
      </c>
      <c r="E44" s="1" t="n">
        <v>46302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HYPERLINK("https://klasma.github.io/Logging_1904/artfynd/A 27565-2024 artfynd.xlsx", "A 27565-2024")</f>
        <v/>
      </c>
      <c r="X44">
        <f>HYPERLINK("https://klasma.github.io/Logging_1904/kartor/A 27565-2024 karta.png", "A 27565-2024")</f>
        <v/>
      </c>
      <c r="Y44">
        <f>HYPERLINK("https://klasma.github.io/Logging_1904/kartor_geotiff/A 27565-2024 georefererad karta.tif", "A 27565-2024")</f>
        <v/>
      </c>
      <c r="AA44">
        <f>HYPERLINK("https://klasma.github.io/Logging_1904/klagomål/A 27565-2024 FSC-klagomål.docx", "A 27565-2024")</f>
        <v/>
      </c>
      <c r="AB44">
        <f>HYPERLINK("https://klasma.github.io/Logging_1904/klagomålsmail/A 27565-2024 FSC-klagomål mail.docx", "A 27565-2024")</f>
        <v/>
      </c>
      <c r="AC44">
        <f>HYPERLINK("https://klasma.github.io/Logging_1904/tillsyn/A 27565-2024 tillsynsbegäran.docx", "A 27565-2024")</f>
        <v/>
      </c>
      <c r="AD44">
        <f>HYPERLINK("https://klasma.github.io/Logging_1904/tillsynsmail/A 27565-2024 tillsynsbegäran mail.docx", "A 27565-2024")</f>
        <v/>
      </c>
    </row>
    <row r="45" ht="15" customHeight="1">
      <c r="A45" t="inlineStr">
        <is>
          <t>A 37900-2026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9.199999999999999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37900-2026 artfynd.xlsx", "A 37900-2026")</f>
        <v/>
      </c>
      <c r="X45">
        <f>HYPERLINK("https://klasma.github.io/Logging_1904/kartor/A 37900-2026 karta.png", "A 37900-2026")</f>
        <v/>
      </c>
      <c r="Y45">
        <f>HYPERLINK("https://klasma.github.io/Logging_1904/kartor_geotiff/A 37900-2026 georefererad karta.tif", "A 37900-2026")</f>
        <v/>
      </c>
      <c r="AA45">
        <f>HYPERLINK("https://klasma.github.io/Logging_1904/klagomål/A 37900-2026 FSC-klagomål.docx", "A 37900-2026")</f>
        <v/>
      </c>
      <c r="AB45">
        <f>HYPERLINK("https://klasma.github.io/Logging_1904/klagomålsmail/A 37900-2026 FSC-klagomål mail.docx", "A 37900-2026")</f>
        <v/>
      </c>
      <c r="AC45">
        <f>HYPERLINK("https://klasma.github.io/Logging_1904/tillsyn/A 37900-2026 tillsynsbegäran.docx", "A 37900-2026")</f>
        <v/>
      </c>
      <c r="AD45">
        <f>HYPERLINK("https://klasma.github.io/Logging_1904/tillsynsmail/A 37900-2026 tillsynsbegäran mail.docx", "A 37900-2026")</f>
        <v/>
      </c>
      <c r="AE45">
        <f>HYPERLINK("https://klasma.github.io/Logging_1904/fåglar/A 37900-2026 prioriterade fågelarter.docx", "A 37900-2026")</f>
        <v/>
      </c>
    </row>
    <row r="46" ht="15" customHeight="1">
      <c r="A46" t="inlineStr">
        <is>
          <t>A 38733-2026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46285</v>
      </c>
      <c r="E46" s="1" t="n">
        <v>46302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4.2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HYPERLINK("https://klasma.github.io/Logging_1904/artfynd/A 38733-2026 artfynd.xlsx", "A 38733-2026")</f>
        <v/>
      </c>
      <c r="X46">
        <f>HYPERLINK("https://klasma.github.io/Logging_1904/kartor/A 38733-2026 karta.png", "A 38733-2026")</f>
        <v/>
      </c>
      <c r="Y46">
        <f>HYPERLINK("https://klasma.github.io/Logging_1904/kartor_geotiff/A 38733-2026 georefererad karta.tif", "A 38733-2026")</f>
        <v/>
      </c>
      <c r="AA46">
        <f>HYPERLINK("https://klasma.github.io/Logging_1904/klagomål/A 38733-2026 FSC-klagomål.docx", "A 38733-2026")</f>
        <v/>
      </c>
      <c r="AB46">
        <f>HYPERLINK("https://klasma.github.io/Logging_1904/klagomålsmail/A 38733-2026 FSC-klagomål mail.docx", "A 38733-2026")</f>
        <v/>
      </c>
      <c r="AC46">
        <f>HYPERLINK("https://klasma.github.io/Logging_1904/tillsyn/A 38733-2026 tillsynsbegäran.docx", "A 38733-2026")</f>
        <v/>
      </c>
      <c r="AD46">
        <f>HYPERLINK("https://klasma.github.io/Logging_1904/tillsynsmail/A 38733-2026 tillsynsbegäran mail.docx", "A 38733-2026")</f>
        <v/>
      </c>
    </row>
    <row r="47" ht="15" customHeight="1">
      <c r="A47" t="inlineStr">
        <is>
          <t>A 38734-2026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46302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6.1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HYPERLINK("https://klasma.github.io/Logging_1904/artfynd/A 38734-2026 artfynd.xlsx", "A 38734-2026")</f>
        <v/>
      </c>
      <c r="X47">
        <f>HYPERLINK("https://klasma.github.io/Logging_1904/kartor/A 38734-2026 karta.png", "A 38734-2026")</f>
        <v/>
      </c>
      <c r="Y47">
        <f>HYPERLINK("https://klasma.github.io/Logging_1904/kartor_geotiff/A 38734-2026 georefererad karta.tif", "A 38734-2026")</f>
        <v/>
      </c>
      <c r="AA47">
        <f>HYPERLINK("https://klasma.github.io/Logging_1904/klagomål/A 38734-2026 FSC-klagomål.docx", "A 38734-2026")</f>
        <v/>
      </c>
      <c r="AB47">
        <f>HYPERLINK("https://klasma.github.io/Logging_1904/klagomålsmail/A 38734-2026 FSC-klagomål mail.docx", "A 38734-2026")</f>
        <v/>
      </c>
      <c r="AC47">
        <f>HYPERLINK("https://klasma.github.io/Logging_1904/tillsyn/A 38734-2026 tillsynsbegäran.docx", "A 38734-2026")</f>
        <v/>
      </c>
      <c r="AD47">
        <f>HYPERLINK("https://klasma.github.io/Logging_1904/tillsynsmail/A 38734-2026 tillsynsbegäran mail.docx", "A 38734-2026")</f>
        <v/>
      </c>
    </row>
    <row r="48" ht="15" customHeight="1">
      <c r="A48" t="inlineStr">
        <is>
          <t>A 9491-2024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46302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Skogshare</t>
        </is>
      </c>
      <c r="W48">
        <f>HYPERLINK("https://klasma.github.io/Logging_1904/artfynd/A 9491-2024 artfynd.xlsx", "A 9491-2024")</f>
        <v/>
      </c>
      <c r="X48">
        <f>HYPERLINK("https://klasma.github.io/Logging_1904/kartor/A 9491-2024 karta.png", "A 9491-2024")</f>
        <v/>
      </c>
      <c r="Y48">
        <f>HYPERLINK("https://klasma.github.io/Logging_1904/kartor_geotiff/A 9491-2024 georefererad karta.tif", "A 9491-2024")</f>
        <v/>
      </c>
      <c r="AA48">
        <f>HYPERLINK("https://klasma.github.io/Logging_1904/klagomål/A 9491-2024 FSC-klagomål.docx", "A 9491-2024")</f>
        <v/>
      </c>
      <c r="AB48">
        <f>HYPERLINK("https://klasma.github.io/Logging_1904/klagomålsmail/A 9491-2024 FSC-klagomål mail.docx", "A 9491-2024")</f>
        <v/>
      </c>
      <c r="AC48">
        <f>HYPERLINK("https://klasma.github.io/Logging_1904/tillsyn/A 9491-2024 tillsynsbegäran.docx", "A 9491-2024")</f>
        <v/>
      </c>
      <c r="AD48">
        <f>HYPERLINK("https://klasma.github.io/Logging_1904/tillsynsmail/A 9491-2024 tillsynsbegäran mail.docx", "A 9491-2024")</f>
        <v/>
      </c>
    </row>
    <row r="49" ht="15" customHeight="1">
      <c r="A49" t="inlineStr">
        <is>
          <t>A 43413-2024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46302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Orange taggsvamp</t>
        </is>
      </c>
      <c r="W49">
        <f>HYPERLINK("https://klasma.github.io/Logging_1904/artfynd/A 43413-2024 artfynd.xlsx", "A 43413-2024")</f>
        <v/>
      </c>
      <c r="X49">
        <f>HYPERLINK("https://klasma.github.io/Logging_1904/kartor/A 43413-2024 karta.png", "A 43413-2024")</f>
        <v/>
      </c>
      <c r="Y49">
        <f>HYPERLINK("https://klasma.github.io/Logging_1904/kartor_geotiff/A 43413-2024 georefererad karta.tif", "A 43413-2024")</f>
        <v/>
      </c>
      <c r="AA49">
        <f>HYPERLINK("https://klasma.github.io/Logging_1904/klagomål/A 43413-2024 FSC-klagomål.docx", "A 43413-2024")</f>
        <v/>
      </c>
      <c r="AB49">
        <f>HYPERLINK("https://klasma.github.io/Logging_1904/klagomålsmail/A 43413-2024 FSC-klagomål mail.docx", "A 43413-2024")</f>
        <v/>
      </c>
      <c r="AC49">
        <f>HYPERLINK("https://klasma.github.io/Logging_1904/tillsyn/A 43413-2024 tillsynsbegäran.docx", "A 43413-2024")</f>
        <v/>
      </c>
      <c r="AD49">
        <f>HYPERLINK("https://klasma.github.io/Logging_1904/tillsynsmail/A 43413-2024 tillsynsbegäran mail.docx", "A 43413-2024")</f>
        <v/>
      </c>
    </row>
    <row r="50" ht="15" customHeight="1">
      <c r="A50" t="inlineStr">
        <is>
          <t>A 23893-2023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45078</v>
      </c>
      <c r="E50" s="1" t="n">
        <v>46302</v>
      </c>
      <c r="F50" t="inlineStr">
        <is>
          <t>VÄSTMANLANDS LÄN</t>
        </is>
      </c>
      <c r="G50" t="inlineStr">
        <is>
          <t>SKINNSKATTEBERG</t>
        </is>
      </c>
      <c r="I50" t="n">
        <v>1.6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2</v>
      </c>
      <c r="V50" s="2" t="inlineStr">
        <is>
          <t>Knärot</t>
        </is>
      </c>
      <c r="W50">
        <f>HYPERLINK("https://klasma.github.io/Logging_1904/artfynd/A 23893-2023 artfynd.xlsx", "A 23893-2023")</f>
        <v/>
      </c>
      <c r="X50">
        <f>HYPERLINK("https://klasma.github.io/Logging_1904/kartor/A 23893-2023 karta.png", "A 23893-2023")</f>
        <v/>
      </c>
      <c r="Y50">
        <f>HYPERLINK("https://klasma.github.io/Logging_1904/kartor_geotiff/A 23893-2023 georefererad karta.tif", "A 23893-2023")</f>
        <v/>
      </c>
      <c r="Z50">
        <f>HYPERLINK("https://klasma.github.io/Logging_1904/knärot/A 23893-2023 karta knärot.png", "A 23893-2023")</f>
        <v/>
      </c>
      <c r="AA50">
        <f>HYPERLINK("https://klasma.github.io/Logging_1904/klagomål/A 23893-2023 FSC-klagomål.docx", "A 23893-2023")</f>
        <v/>
      </c>
      <c r="AB50">
        <f>HYPERLINK("https://klasma.github.io/Logging_1904/klagomålsmail/A 23893-2023 FSC-klagomål mail.docx", "A 23893-2023")</f>
        <v/>
      </c>
      <c r="AC50">
        <f>HYPERLINK("https://klasma.github.io/Logging_1904/tillsyn/A 23893-2023 tillsynsbegäran.docx", "A 23893-2023")</f>
        <v/>
      </c>
      <c r="AD50">
        <f>HYPERLINK("https://klasma.github.io/Logging_1904/tillsynsmail/A 23893-2023 tillsynsbegäran mail.docx", "A 23893-2023")</f>
        <v/>
      </c>
    </row>
    <row r="51" ht="15" customHeight="1">
      <c r="A51" t="inlineStr">
        <is>
          <t>A 33435-2024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45519</v>
      </c>
      <c r="E51" s="1" t="n">
        <v>46302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HYPERLINK("https://klasma.github.io/Logging_1904/artfynd/A 33435-2024 artfynd.xlsx", "A 33435-2024")</f>
        <v/>
      </c>
      <c r="X51">
        <f>HYPERLINK("https://klasma.github.io/Logging_1904/kartor/A 33435-2024 karta.png", "A 33435-2024")</f>
        <v/>
      </c>
      <c r="Y51">
        <f>HYPERLINK("https://klasma.github.io/Logging_1904/kartor_geotiff/A 33435-2024 georefererad karta.tif", "A 33435-2024")</f>
        <v/>
      </c>
      <c r="AA51">
        <f>HYPERLINK("https://klasma.github.io/Logging_1904/klagomål/A 33435-2024 FSC-klagomål.docx", "A 33435-2024")</f>
        <v/>
      </c>
      <c r="AB51">
        <f>HYPERLINK("https://klasma.github.io/Logging_1904/klagomålsmail/A 33435-2024 FSC-klagomål mail.docx", "A 33435-2024")</f>
        <v/>
      </c>
      <c r="AC51">
        <f>HYPERLINK("https://klasma.github.io/Logging_1904/tillsyn/A 33435-2024 tillsynsbegäran.docx", "A 33435-2024")</f>
        <v/>
      </c>
      <c r="AD51">
        <f>HYPERLINK("https://klasma.github.io/Logging_1904/tillsynsmail/A 33435-2024 tillsynsbegäran mail.docx", "A 33435-2024")</f>
        <v/>
      </c>
      <c r="AE51">
        <f>HYPERLINK("https://klasma.github.io/Logging_1904/fåglar/A 33435-2024 prioriterade fågelarter.docx", "A 33435-2024")</f>
        <v/>
      </c>
    </row>
    <row r="52" ht="15" customHeight="1">
      <c r="A52" t="inlineStr">
        <is>
          <t>A 12024-2023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44995</v>
      </c>
      <c r="E52" s="1" t="n">
        <v>46302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Skogsklocka</t>
        </is>
      </c>
      <c r="W52">
        <f>HYPERLINK("https://klasma.github.io/Logging_1904/artfynd/A 12024-2023 artfynd.xlsx", "A 12024-2023")</f>
        <v/>
      </c>
      <c r="X52">
        <f>HYPERLINK("https://klasma.github.io/Logging_1904/kartor/A 12024-2023 karta.png", "A 12024-2023")</f>
        <v/>
      </c>
      <c r="Y52">
        <f>HYPERLINK("https://klasma.github.io/Logging_1904/kartor_geotiff/A 12024-2023 georefererad karta.tif", "A 12024-2023")</f>
        <v/>
      </c>
      <c r="AA52">
        <f>HYPERLINK("https://klasma.github.io/Logging_1904/klagomål/A 12024-2023 FSC-klagomål.docx", "A 12024-2023")</f>
        <v/>
      </c>
      <c r="AB52">
        <f>HYPERLINK("https://klasma.github.io/Logging_1904/klagomålsmail/A 12024-2023 FSC-klagomål mail.docx", "A 12024-2023")</f>
        <v/>
      </c>
      <c r="AC52">
        <f>HYPERLINK("https://klasma.github.io/Logging_1904/tillsyn/A 12024-2023 tillsynsbegäran.docx", "A 12024-2023")</f>
        <v/>
      </c>
      <c r="AD52">
        <f>HYPERLINK("https://klasma.github.io/Logging_1904/tillsynsmail/A 12024-2023 tillsynsbegäran mail.docx", "A 12024-2023")</f>
        <v/>
      </c>
    </row>
    <row r="53" ht="15" customHeight="1">
      <c r="A53" t="inlineStr">
        <is>
          <t>A 9490-2024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46302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Nattskärra</t>
        </is>
      </c>
      <c r="W53">
        <f>HYPERLINK("https://klasma.github.io/Logging_1904/artfynd/A 9490-2024 artfynd.xlsx", "A 9490-2024")</f>
        <v/>
      </c>
      <c r="X53">
        <f>HYPERLINK("https://klasma.github.io/Logging_1904/kartor/A 9490-2024 karta.png", "A 9490-2024")</f>
        <v/>
      </c>
      <c r="Y53">
        <f>HYPERLINK("https://klasma.github.io/Logging_1904/kartor_geotiff/A 9490-2024 georefererad karta.tif", "A 9490-2024")</f>
        <v/>
      </c>
      <c r="AA53">
        <f>HYPERLINK("https://klasma.github.io/Logging_1904/klagomål/A 9490-2024 FSC-klagomål.docx", "A 9490-2024")</f>
        <v/>
      </c>
      <c r="AB53">
        <f>HYPERLINK("https://klasma.github.io/Logging_1904/klagomålsmail/A 9490-2024 FSC-klagomål mail.docx", "A 9490-2024")</f>
        <v/>
      </c>
      <c r="AC53">
        <f>HYPERLINK("https://klasma.github.io/Logging_1904/tillsyn/A 9490-2024 tillsynsbegäran.docx", "A 9490-2024")</f>
        <v/>
      </c>
      <c r="AD53">
        <f>HYPERLINK("https://klasma.github.io/Logging_1904/tillsynsmail/A 9490-2024 tillsynsbegäran mail.docx", "A 9490-2024")</f>
        <v/>
      </c>
      <c r="AE53">
        <f>HYPERLINK("https://klasma.github.io/Logging_1904/fåglar/A 9490-2024 prioriterade fågelarter.docx", "A 9490-2024")</f>
        <v/>
      </c>
    </row>
    <row r="54" ht="15" customHeight="1">
      <c r="A54" t="inlineStr">
        <is>
          <t>A 4000-2024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46302</v>
      </c>
      <c r="F54" t="inlineStr">
        <is>
          <t>VÄSTMANLANDS LÄN</t>
        </is>
      </c>
      <c r="G54" t="inlineStr">
        <is>
          <t>SKINNSKATTEBERG</t>
        </is>
      </c>
      <c r="I54" t="n">
        <v>14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Klasefibbla</t>
        </is>
      </c>
      <c r="W54">
        <f>HYPERLINK("https://klasma.github.io/Logging_1904/artfynd/A 4000-2024 artfynd.xlsx", "A 4000-2024")</f>
        <v/>
      </c>
      <c r="X54">
        <f>HYPERLINK("https://klasma.github.io/Logging_1904/kartor/A 4000-2024 karta.png", "A 4000-2024")</f>
        <v/>
      </c>
      <c r="Y54">
        <f>HYPERLINK("https://klasma.github.io/Logging_1904/kartor_geotiff/A 4000-2024 georefererad karta.tif", "A 4000-2024")</f>
        <v/>
      </c>
      <c r="AA54">
        <f>HYPERLINK("https://klasma.github.io/Logging_1904/klagomål/A 4000-2024 FSC-klagomål.docx", "A 4000-2024")</f>
        <v/>
      </c>
      <c r="AB54">
        <f>HYPERLINK("https://klasma.github.io/Logging_1904/klagomålsmail/A 4000-2024 FSC-klagomål mail.docx", "A 4000-2024")</f>
        <v/>
      </c>
      <c r="AC54">
        <f>HYPERLINK("https://klasma.github.io/Logging_1904/tillsyn/A 4000-2024 tillsynsbegäran.docx", "A 4000-2024")</f>
        <v/>
      </c>
      <c r="AD54">
        <f>HYPERLINK("https://klasma.github.io/Logging_1904/tillsynsmail/A 4000-2024 tillsynsbegäran mail.docx", "A 4000-2024")</f>
        <v/>
      </c>
    </row>
    <row r="55" ht="15" customHeight="1">
      <c r="A55" t="inlineStr">
        <is>
          <t>A 28312-2023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46302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HYPERLINK("https://klasma.github.io/Logging_1904/artfynd/A 28312-2023 artfynd.xlsx", "A 28312-2023")</f>
        <v/>
      </c>
      <c r="X55">
        <f>HYPERLINK("https://klasma.github.io/Logging_1904/kartor/A 28312-2023 karta.png", "A 28312-2023")</f>
        <v/>
      </c>
      <c r="Y55">
        <f>HYPERLINK("https://klasma.github.io/Logging_1904/kartor_geotiff/A 28312-2023 georefererad karta.tif", "A 28312-2023")</f>
        <v/>
      </c>
      <c r="AA55">
        <f>HYPERLINK("https://klasma.github.io/Logging_1904/klagomål/A 28312-2023 FSC-klagomål.docx", "A 28312-2023")</f>
        <v/>
      </c>
      <c r="AB55">
        <f>HYPERLINK("https://klasma.github.io/Logging_1904/klagomålsmail/A 28312-2023 FSC-klagomål mail.docx", "A 28312-2023")</f>
        <v/>
      </c>
      <c r="AC55">
        <f>HYPERLINK("https://klasma.github.io/Logging_1904/tillsyn/A 28312-2023 tillsynsbegäran.docx", "A 28312-2023")</f>
        <v/>
      </c>
      <c r="AD55">
        <f>HYPERLINK("https://klasma.github.io/Logging_1904/tillsynsmail/A 28312-2023 tillsynsbegäran mail.docx", "A 28312-2023")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46302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46302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46302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46302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46302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46302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46302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46302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46302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46302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46302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46302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46302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46302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46302</v>
      </c>
      <c r="F70" t="inlineStr">
        <is>
          <t>VÄSTMANLANDS LÄN</t>
        </is>
      </c>
      <c r="G70" t="inlineStr">
        <is>
          <t>SKINNSKATTEBERG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46302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46302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46302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46302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46302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46302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46302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46302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46302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46302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45762</v>
      </c>
      <c r="E81" s="1" t="n">
        <v>46302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46302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46302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46302</v>
      </c>
      <c r="F84" t="inlineStr">
        <is>
          <t>VÄSTMANLANDS LÄN</t>
        </is>
      </c>
      <c r="G84" t="inlineStr">
        <is>
          <t>SKINNSKATTEBERG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46302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46302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46302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46302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46302</v>
      </c>
      <c r="F89" t="inlineStr">
        <is>
          <t>VÄSTMANLANDS LÄN</t>
        </is>
      </c>
      <c r="G89" t="inlineStr">
        <is>
          <t>SKINNSKATTEBERG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45244</v>
      </c>
      <c r="E90" s="1" t="n">
        <v>46302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Kyrkan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16088-2024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45406</v>
      </c>
      <c r="E91" s="1" t="n">
        <v>46302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46302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44910</v>
      </c>
      <c r="E93" s="1" t="n">
        <v>46302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18161-2024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45420</v>
      </c>
      <c r="E94" s="1" t="n">
        <v>46302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46302</v>
      </c>
      <c r="F95" t="inlineStr">
        <is>
          <t>VÄSTMANLANDS LÄN</t>
        </is>
      </c>
      <c r="G95" t="inlineStr">
        <is>
          <t>SKINNSKATTEBERG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46302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46302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Kyrkan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45375</v>
      </c>
      <c r="E98" s="1" t="n">
        <v>46302</v>
      </c>
      <c r="F98" t="inlineStr">
        <is>
          <t>VÄSTMANLANDS LÄN</t>
        </is>
      </c>
      <c r="G98" t="inlineStr">
        <is>
          <t>SKINNSKATTEBERG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45250</v>
      </c>
      <c r="E99" s="1" t="n">
        <v>46302</v>
      </c>
      <c r="F99" t="inlineStr">
        <is>
          <t>VÄSTMANLANDS LÄN</t>
        </is>
      </c>
      <c r="G99" t="inlineStr">
        <is>
          <t>SKINNSKATTEBERG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46302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46302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45162</v>
      </c>
      <c r="E102" s="1" t="n">
        <v>46302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46302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25846-2025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45804</v>
      </c>
      <c r="E104" s="1" t="n">
        <v>46302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46037</v>
      </c>
      <c r="E105" s="1" t="n">
        <v>46302</v>
      </c>
      <c r="F105" t="inlineStr">
        <is>
          <t>VÄSTMANLANDS LÄN</t>
        </is>
      </c>
      <c r="G105" t="inlineStr">
        <is>
          <t>SKINNSKATTEBERG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46302</v>
      </c>
      <c r="F106" t="inlineStr">
        <is>
          <t>VÄSTMANLANDS LÄN</t>
        </is>
      </c>
      <c r="G106" t="inlineStr">
        <is>
          <t>SKINNSKATTEBERG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46302</v>
      </c>
      <c r="F107" t="inlineStr">
        <is>
          <t>VÄSTMANLANDS LÄN</t>
        </is>
      </c>
      <c r="G107" t="inlineStr">
        <is>
          <t>SKINNSKATTEBERG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46302</v>
      </c>
      <c r="F108" t="inlineStr">
        <is>
          <t>VÄSTMANLANDS LÄN</t>
        </is>
      </c>
      <c r="G108" t="inlineStr">
        <is>
          <t>SKINNSKATTEBERG</t>
        </is>
      </c>
      <c r="I108" t="n">
        <v>10.5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45770</v>
      </c>
      <c r="E109" s="1" t="n">
        <v>46302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46302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5704-2026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46051</v>
      </c>
      <c r="E111" s="1" t="n">
        <v>46302</v>
      </c>
      <c r="F111" t="inlineStr">
        <is>
          <t>VÄSTMANLANDS LÄN</t>
        </is>
      </c>
      <c r="G111" t="inlineStr">
        <is>
          <t>SKINNSKATTEBERG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45571</v>
      </c>
      <c r="E112" s="1" t="n">
        <v>46302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46051</v>
      </c>
      <c r="E113" s="1" t="n">
        <v>46302</v>
      </c>
      <c r="F113" t="inlineStr">
        <is>
          <t>VÄSTMANLANDS LÄN</t>
        </is>
      </c>
      <c r="G113" t="inlineStr">
        <is>
          <t>SKINNSKATTEBERG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5675-2026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46051</v>
      </c>
      <c r="E114" s="1" t="n">
        <v>46302</v>
      </c>
      <c r="F114" t="inlineStr">
        <is>
          <t>VÄSTMANLANDS LÄN</t>
        </is>
      </c>
      <c r="G114" t="inlineStr">
        <is>
          <t>SKINNSKATTEBERG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46302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40776-2025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45897</v>
      </c>
      <c r="E116" s="1" t="n">
        <v>46302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46302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46302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45897</v>
      </c>
      <c r="E119" s="1" t="n">
        <v>46302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45897</v>
      </c>
      <c r="E120" s="1" t="n">
        <v>46302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35706-2024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46302</v>
      </c>
      <c r="F121" t="inlineStr">
        <is>
          <t>VÄSTMANLANDS LÄN</t>
        </is>
      </c>
      <c r="G121" t="inlineStr">
        <is>
          <t>SKINNSKATTEBERG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45406</v>
      </c>
      <c r="E122" s="1" t="n">
        <v>46302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46302</v>
      </c>
      <c r="F123" t="inlineStr">
        <is>
          <t>VÄSTMANLANDS LÄN</t>
        </is>
      </c>
      <c r="G123" t="inlineStr">
        <is>
          <t>SKINNSKATTEBERG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45480</v>
      </c>
      <c r="E124" s="1" t="n">
        <v>46302</v>
      </c>
      <c r="F124" t="inlineStr">
        <is>
          <t>VÄSTMANLANDS LÄN</t>
        </is>
      </c>
      <c r="G124" t="inlineStr">
        <is>
          <t>SKINNSKATTEBERG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46302</v>
      </c>
      <c r="F125" t="inlineStr">
        <is>
          <t>VÄSTMANLANDS LÄN</t>
        </is>
      </c>
      <c r="G125" t="inlineStr">
        <is>
          <t>SKINNSKATTEBERG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45910</v>
      </c>
      <c r="E126" s="1" t="n">
        <v>46302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46302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46302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46302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44184-2025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45915</v>
      </c>
      <c r="E130" s="1" t="n">
        <v>46302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28831-2025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45820</v>
      </c>
      <c r="E131" s="1" t="n">
        <v>46302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45820</v>
      </c>
      <c r="E132" s="1" t="n">
        <v>46302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41581-2025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45901</v>
      </c>
      <c r="E133" s="1" t="n">
        <v>46302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29808-2025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45825</v>
      </c>
      <c r="E134" s="1" t="n">
        <v>46302</v>
      </c>
      <c r="F134" t="inlineStr">
        <is>
          <t>VÄSTMANLANDS LÄN</t>
        </is>
      </c>
      <c r="G134" t="inlineStr">
        <is>
          <t>SKINNSKATTEBERG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46302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46302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46302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29810-2025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45825</v>
      </c>
      <c r="E139" s="1" t="n">
        <v>46302</v>
      </c>
      <c r="F139" t="inlineStr">
        <is>
          <t>VÄSTMANLANDS LÄN</t>
        </is>
      </c>
      <c r="G139" t="inlineStr">
        <is>
          <t>SKINNSKATTEBERG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45527</v>
      </c>
      <c r="E140" s="1" t="n">
        <v>46302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45245</v>
      </c>
      <c r="E141" s="1" t="n">
        <v>46302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30439-2025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45827</v>
      </c>
      <c r="E142" s="1" t="n">
        <v>46302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45832</v>
      </c>
      <c r="E143" s="1" t="n">
        <v>46302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44603</v>
      </c>
      <c r="E144" s="1" t="n">
        <v>46302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Kyrkan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45832</v>
      </c>
      <c r="E145" s="1" t="n">
        <v>46302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47541-2025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46302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46302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31234-2025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45832</v>
      </c>
      <c r="E148" s="1" t="n">
        <v>46302</v>
      </c>
      <c r="F148" t="inlineStr">
        <is>
          <t>VÄSTMANLANDS LÄN</t>
        </is>
      </c>
      <c r="G148" t="inlineStr">
        <is>
          <t>SKINNSKATTEBERG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47693-2023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46302</v>
      </c>
      <c r="F149" t="inlineStr">
        <is>
          <t>VÄSTMANLANDS LÄN</t>
        </is>
      </c>
      <c r="G149" t="inlineStr">
        <is>
          <t>SKINNSKATTEBERG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46302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44993</v>
      </c>
      <c r="E151" s="1" t="n">
        <v>46302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46302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46302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46302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46302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51026-2025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45947</v>
      </c>
      <c r="E156" s="1" t="n">
        <v>46302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45947</v>
      </c>
      <c r="E157" s="1" t="n">
        <v>46302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15955-2026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46108</v>
      </c>
      <c r="E158" s="1" t="n">
        <v>46302</v>
      </c>
      <c r="F158" t="inlineStr">
        <is>
          <t>VÄSTMANLANDS LÄN</t>
        </is>
      </c>
      <c r="G158" t="inlineStr">
        <is>
          <t>SKINNSKATTEBERG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46302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46302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46302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16136-2026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46108</v>
      </c>
      <c r="E162" s="1" t="n">
        <v>46302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35204-2025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45853</v>
      </c>
      <c r="E163" s="1" t="n">
        <v>46302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7.5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46302</v>
      </c>
      <c r="F164" t="inlineStr">
        <is>
          <t>VÄSTMANLANDS LÄN</t>
        </is>
      </c>
      <c r="G164" t="inlineStr">
        <is>
          <t>SKINNSKATTEBERG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45554</v>
      </c>
      <c r="E165" s="1" t="n">
        <v>46302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46107</v>
      </c>
      <c r="E166" s="1" t="n">
        <v>46302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35205-2025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45853</v>
      </c>
      <c r="E167" s="1" t="n">
        <v>46302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46302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46302</v>
      </c>
      <c r="F169" t="inlineStr">
        <is>
          <t>VÄSTMANLANDS LÄN</t>
        </is>
      </c>
      <c r="G169" t="inlineStr">
        <is>
          <t>SKINNSKATTEBERG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46302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46302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46302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17098-2026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46114</v>
      </c>
      <c r="E173" s="1" t="n">
        <v>46302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46302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46302</v>
      </c>
      <c r="F175" t="inlineStr">
        <is>
          <t>VÄSTMANLANDS LÄN</t>
        </is>
      </c>
      <c r="G175" t="inlineStr">
        <is>
          <t>SKINNSKATTEBERG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46302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46302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46302</v>
      </c>
      <c r="F178" t="inlineStr">
        <is>
          <t>VÄSTMANLANDS LÄN</t>
        </is>
      </c>
      <c r="G178" t="inlineStr">
        <is>
          <t>SKINNSKATTEBERG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46129</v>
      </c>
      <c r="E179" s="1" t="n">
        <v>46302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46302</v>
      </c>
      <c r="F180" t="inlineStr">
        <is>
          <t>VÄSTMANLANDS LÄN</t>
        </is>
      </c>
      <c r="G180" t="inlineStr">
        <is>
          <t>SKINNSKATTEBERG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37763-2025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45880</v>
      </c>
      <c r="E181" s="1" t="n">
        <v>46302</v>
      </c>
      <c r="F181" t="inlineStr">
        <is>
          <t>VÄSTMANLANDS LÄN</t>
        </is>
      </c>
      <c r="G181" t="inlineStr">
        <is>
          <t>SKINNSKATTEBERG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46302</v>
      </c>
      <c r="F182" t="inlineStr">
        <is>
          <t>VÄSTMANLANDS LÄN</t>
        </is>
      </c>
      <c r="G182" t="inlineStr">
        <is>
          <t>SKINNSKATTEBERG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46302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46302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46302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46302</v>
      </c>
      <c r="F186" t="inlineStr">
        <is>
          <t>VÄSTMANLANDS LÄN</t>
        </is>
      </c>
      <c r="G186" t="inlineStr">
        <is>
          <t>SKINNSKATTEBERG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46302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19540-2026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46134</v>
      </c>
      <c r="E188" s="1" t="n">
        <v>46302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45063</v>
      </c>
      <c r="E189" s="1" t="n">
        <v>46302</v>
      </c>
      <c r="F189" t="inlineStr">
        <is>
          <t>VÄSTMANLANDS LÄN</t>
        </is>
      </c>
      <c r="G189" t="inlineStr">
        <is>
          <t>SKINNSKATTEBERG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21579-2023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46302</v>
      </c>
      <c r="F190" t="inlineStr">
        <is>
          <t>VÄSTMANLANDS LÄN</t>
        </is>
      </c>
      <c r="G190" t="inlineStr">
        <is>
          <t>SKINNSKATTEBERG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19541-2026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46134</v>
      </c>
      <c r="E191" s="1" t="n">
        <v>46302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19582-2026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46134</v>
      </c>
      <c r="E192" s="1" t="n">
        <v>46302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45114</v>
      </c>
      <c r="E193" s="1" t="n">
        <v>46302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46302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46302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56465-2025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45975</v>
      </c>
      <c r="E196" s="1" t="n">
        <v>46302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45571</v>
      </c>
      <c r="E197" s="1" t="n">
        <v>46302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45571</v>
      </c>
      <c r="E198" s="1" t="n">
        <v>46302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55210-2023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45237</v>
      </c>
      <c r="E199" s="1" t="n">
        <v>46302</v>
      </c>
      <c r="F199" t="inlineStr">
        <is>
          <t>VÄSTMANLANDS LÄN</t>
        </is>
      </c>
      <c r="G199" t="inlineStr">
        <is>
          <t>SKINNSKATTEBERG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20248-2024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45434</v>
      </c>
      <c r="E200" s="1" t="n">
        <v>46302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46302</v>
      </c>
      <c r="F201" t="inlineStr">
        <is>
          <t>VÄSTMANLANDS LÄN</t>
        </is>
      </c>
      <c r="G201" t="inlineStr">
        <is>
          <t>SKINNSKATTEBERG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46302</v>
      </c>
      <c r="F202" t="inlineStr">
        <is>
          <t>VÄSTMANLANDS LÄN</t>
        </is>
      </c>
      <c r="G202" t="inlineStr">
        <is>
          <t>SKINNSKATTEBERG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46302</v>
      </c>
      <c r="F203" t="inlineStr">
        <is>
          <t>VÄSTMANLANDS LÄN</t>
        </is>
      </c>
      <c r="G203" t="inlineStr">
        <is>
          <t>SKINNSKATTEBERG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58882-2025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45987</v>
      </c>
      <c r="E204" s="1" t="n">
        <v>46302</v>
      </c>
      <c r="F204" t="inlineStr">
        <is>
          <t>VÄSTMANLANDS LÄN</t>
        </is>
      </c>
      <c r="G204" t="inlineStr">
        <is>
          <t>SKINNSKATTEBERG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45534</v>
      </c>
      <c r="E205" s="1" t="n">
        <v>46302</v>
      </c>
      <c r="F205" t="inlineStr">
        <is>
          <t>VÄSTMANLANDS LÄN</t>
        </is>
      </c>
      <c r="G205" t="inlineStr">
        <is>
          <t>SKINNSKATTEBERG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45992</v>
      </c>
      <c r="E206" s="1" t="n">
        <v>46302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46302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46302</v>
      </c>
      <c r="F208" t="inlineStr">
        <is>
          <t>VÄSTMANLANDS LÄN</t>
        </is>
      </c>
      <c r="G208" t="inlineStr">
        <is>
          <t>SKINNSKATTEBERG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46136</v>
      </c>
      <c r="E209" s="1" t="n">
        <v>46302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46302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46003</v>
      </c>
      <c r="E211" s="1" t="n">
        <v>46302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46009</v>
      </c>
      <c r="E212" s="1" t="n">
        <v>46302</v>
      </c>
      <c r="F212" t="inlineStr">
        <is>
          <t>VÄSTMANLANDS LÄN</t>
        </is>
      </c>
      <c r="G212" t="inlineStr">
        <is>
          <t>SKINNSKATTEBERG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46302</v>
      </c>
      <c r="F213" t="inlineStr">
        <is>
          <t>VÄSTMANLANDS LÄN</t>
        </is>
      </c>
      <c r="G213" t="inlineStr">
        <is>
          <t>SKINNSKATTEBERG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46302</v>
      </c>
      <c r="F214" t="inlineStr">
        <is>
          <t>VÄSTMANLANDS LÄN</t>
        </is>
      </c>
      <c r="G214" t="inlineStr">
        <is>
          <t>SKINNSKATTEBERG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46302</v>
      </c>
      <c r="F215" t="inlineStr">
        <is>
          <t>VÄSTMANLANDS LÄN</t>
        </is>
      </c>
      <c r="G215" t="inlineStr">
        <is>
          <t>SKINNSKATTEBERG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20556-2026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46302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20563-2026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46140</v>
      </c>
      <c r="E217" s="1" t="n">
        <v>46302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46302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16729-2024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45410</v>
      </c>
      <c r="E219" s="1" t="n">
        <v>46302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46142</v>
      </c>
      <c r="E220" s="1" t="n">
        <v>46302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20850-2026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46142</v>
      </c>
      <c r="E221" s="1" t="n">
        <v>46302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20852-2026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46142</v>
      </c>
      <c r="E222" s="1" t="n">
        <v>46302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46142</v>
      </c>
      <c r="E223" s="1" t="n">
        <v>46302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46142</v>
      </c>
      <c r="E224" s="1" t="n">
        <v>46302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20853-2026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46142</v>
      </c>
      <c r="E225" s="1" t="n">
        <v>46302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46150</v>
      </c>
      <c r="E226" s="1" t="n">
        <v>46302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46150</v>
      </c>
      <c r="E227" s="1" t="n">
        <v>46302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22260-2026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46302</v>
      </c>
      <c r="F228" t="inlineStr">
        <is>
          <t>VÄSTMANLANDS LÄN</t>
        </is>
      </c>
      <c r="G228" t="inlineStr">
        <is>
          <t>SKINNSKATTEBERG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22779-2026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46157</v>
      </c>
      <c r="E229" s="1" t="n">
        <v>46302</v>
      </c>
      <c r="F229" t="inlineStr">
        <is>
          <t>VÄSTMANLANDS LÄN</t>
        </is>
      </c>
      <c r="G229" t="inlineStr">
        <is>
          <t>SKINNSKATTEBERG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46302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46302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46302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46163</v>
      </c>
      <c r="E233" s="1" t="n">
        <v>46302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46163</v>
      </c>
      <c r="E234" s="1" t="n">
        <v>46302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24491-2026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46302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24494-2026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46170</v>
      </c>
      <c r="E236" s="1" t="n">
        <v>46302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46302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24489-2026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46302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46302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33900-2023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45134</v>
      </c>
      <c r="E240" s="1" t="n">
        <v>46302</v>
      </c>
      <c r="F240" t="inlineStr">
        <is>
          <t>VÄSTMANLANDS LÄN</t>
        </is>
      </c>
      <c r="G240" t="inlineStr">
        <is>
          <t>SKINNSKATTEBERG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27329-2023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46302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46302</v>
      </c>
      <c r="F242" t="inlineStr">
        <is>
          <t>VÄSTMANLANDS LÄN</t>
        </is>
      </c>
      <c r="G242" t="inlineStr">
        <is>
          <t>SKINNSKATTEBERG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46178</v>
      </c>
      <c r="E243" s="1" t="n">
        <v>46302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46302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46302</v>
      </c>
      <c r="F245" t="inlineStr">
        <is>
          <t>VÄSTMANLANDS LÄN</t>
        </is>
      </c>
      <c r="G245" t="inlineStr">
        <is>
          <t>SKINNSKATTEBERG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46302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26356-2026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46182</v>
      </c>
      <c r="E247" s="1" t="n">
        <v>46302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45740</v>
      </c>
      <c r="E248" s="1" t="n">
        <v>46302</v>
      </c>
      <c r="F248" t="inlineStr">
        <is>
          <t>VÄSTMANLANDS LÄN</t>
        </is>
      </c>
      <c r="G248" t="inlineStr">
        <is>
          <t>SKINNSKATTEBERG</t>
        </is>
      </c>
      <c r="I248" t="n">
        <v>10.4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46302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46302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45376</v>
      </c>
      <c r="E251" s="1" t="n">
        <v>46302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46302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Kyrkan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46302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45068</v>
      </c>
      <c r="E254" s="1" t="n">
        <v>46302</v>
      </c>
      <c r="F254" t="inlineStr">
        <is>
          <t>VÄSTMANLANDS LÄN</t>
        </is>
      </c>
      <c r="G254" t="inlineStr">
        <is>
          <t>SKINNSKATTEBERG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46302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46302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46190</v>
      </c>
      <c r="E257" s="1" t="n">
        <v>46302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46190</v>
      </c>
      <c r="E258" s="1" t="n">
        <v>46302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25843-2023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45090</v>
      </c>
      <c r="E259" s="1" t="n">
        <v>46302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45329</v>
      </c>
      <c r="E260" s="1" t="n">
        <v>46302</v>
      </c>
      <c r="F260" t="inlineStr">
        <is>
          <t>VÄSTMANLANDS LÄN</t>
        </is>
      </c>
      <c r="G260" t="inlineStr">
        <is>
          <t>SKINNSKATTEBERG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27634-2026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46190</v>
      </c>
      <c r="E261" s="1" t="n">
        <v>46302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46302</v>
      </c>
      <c r="F262" t="inlineStr">
        <is>
          <t>VÄSTMANLANDS LÄN</t>
        </is>
      </c>
      <c r="G262" t="inlineStr">
        <is>
          <t>SKINNSKATTEBERG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13676-2022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44648</v>
      </c>
      <c r="E263" s="1" t="n">
        <v>46302</v>
      </c>
      <c r="F263" t="inlineStr">
        <is>
          <t>VÄSTMANLANDS LÄN</t>
        </is>
      </c>
      <c r="G263" t="inlineStr">
        <is>
          <t>SKINNSKATTEBERG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46191</v>
      </c>
      <c r="E264" s="1" t="n">
        <v>46302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46302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46302</v>
      </c>
      <c r="F266" t="inlineStr">
        <is>
          <t>VÄSTMANLANDS LÄN</t>
        </is>
      </c>
      <c r="G266" t="inlineStr">
        <is>
          <t>SKINNSKATTEBERG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46195</v>
      </c>
      <c r="E267" s="1" t="n">
        <v>46302</v>
      </c>
      <c r="F267" t="inlineStr">
        <is>
          <t>VÄSTMANLANDS LÄN</t>
        </is>
      </c>
      <c r="G267" t="inlineStr">
        <is>
          <t>SKINNSKATTEBERG</t>
        </is>
      </c>
      <c r="I267" t="n">
        <v>8.5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46197</v>
      </c>
      <c r="E268" s="1" t="n">
        <v>46302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46197</v>
      </c>
      <c r="E269" s="1" t="n">
        <v>46302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45393</v>
      </c>
      <c r="E270" s="1" t="n">
        <v>46302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46302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46302</v>
      </c>
      <c r="F272" t="inlineStr">
        <is>
          <t>VÄSTMANLANDS LÄN</t>
        </is>
      </c>
      <c r="G272" t="inlineStr">
        <is>
          <t>SKINNSKATTEBERG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46302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46199</v>
      </c>
      <c r="E274" s="1" t="n">
        <v>46302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29091-2026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46200</v>
      </c>
      <c r="E275" s="1" t="n">
        <v>46302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46200</v>
      </c>
      <c r="E276" s="1" t="n">
        <v>46302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46302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45177</v>
      </c>
      <c r="E278" s="1" t="n">
        <v>46302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46302</v>
      </c>
      <c r="F279" t="inlineStr">
        <is>
          <t>VÄSTMANLANDS LÄN</t>
        </is>
      </c>
      <c r="G279" t="inlineStr">
        <is>
          <t>SKINNSKATTEBERG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46302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45531</v>
      </c>
      <c r="E281" s="1" t="n">
        <v>46302</v>
      </c>
      <c r="F281" t="inlineStr">
        <is>
          <t>VÄSTMANLANDS LÄN</t>
        </is>
      </c>
      <c r="G281" t="inlineStr">
        <is>
          <t>SKINNSKATTEBERG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32316-2024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45512</v>
      </c>
      <c r="E282" s="1" t="n">
        <v>46302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46302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45604</v>
      </c>
      <c r="E284" s="1" t="n">
        <v>46302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35168-2026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46260</v>
      </c>
      <c r="E285" s="1" t="n">
        <v>46302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46262</v>
      </c>
      <c r="E286" s="1" t="n">
        <v>46302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35582-2026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46262</v>
      </c>
      <c r="E287" s="1" t="n">
        <v>46302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46302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35589-2026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46262</v>
      </c>
      <c r="E289" s="1" t="n">
        <v>46302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35587-2026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46262</v>
      </c>
      <c r="E290" s="1" t="n">
        <v>46302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46302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35746-2026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46265</v>
      </c>
      <c r="E292" s="1" t="n">
        <v>46302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36288-2022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44803</v>
      </c>
      <c r="E293" s="1" t="n">
        <v>46302</v>
      </c>
      <c r="F293" t="inlineStr">
        <is>
          <t>VÄSTMANLANDS LÄN</t>
        </is>
      </c>
      <c r="G293" t="inlineStr">
        <is>
          <t>SKINNSKATTEBERG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36262-2026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46268</v>
      </c>
      <c r="E294" s="1" t="n">
        <v>46302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19398-2024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45429</v>
      </c>
      <c r="E295" s="1" t="n">
        <v>46302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45054</v>
      </c>
      <c r="E296" s="1" t="n">
        <v>46302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20430-2023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45056</v>
      </c>
      <c r="E297" s="1" t="n">
        <v>46302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13713-2024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45390</v>
      </c>
      <c r="E298" s="1" t="n">
        <v>46302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45447</v>
      </c>
      <c r="E299" s="1" t="n">
        <v>46302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29026-2026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46199</v>
      </c>
      <c r="E300" s="1" t="n">
        <v>46302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45485</v>
      </c>
      <c r="E301" s="1" t="n">
        <v>46302</v>
      </c>
      <c r="F301" t="inlineStr">
        <is>
          <t>VÄSTMANLANDS LÄN</t>
        </is>
      </c>
      <c r="G301" t="inlineStr">
        <is>
          <t>SKINNSKATTEBERG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40554-2024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45555</v>
      </c>
      <c r="E302" s="1" t="n">
        <v>46302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13385-2024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45387</v>
      </c>
      <c r="E303" s="1" t="n">
        <v>46302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46274</v>
      </c>
      <c r="E304" s="1" t="n">
        <v>46302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46302</v>
      </c>
      <c r="F305" t="inlineStr">
        <is>
          <t>VÄSTMANLANDS LÄN</t>
        </is>
      </c>
      <c r="G305" t="inlineStr">
        <is>
          <t>SKINNSKATTEBERG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46302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37432-2023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45156</v>
      </c>
      <c r="E307" s="1" t="n">
        <v>46302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46279</v>
      </c>
      <c r="E308" s="1" t="n">
        <v>46302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46237</v>
      </c>
      <c r="E309" s="1" t="n">
        <v>46302</v>
      </c>
      <c r="F309" t="inlineStr">
        <is>
          <t>VÄSTMANLANDS LÄN</t>
        </is>
      </c>
      <c r="G309" t="inlineStr">
        <is>
          <t>SKINNSKATTEBERG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46262</v>
      </c>
      <c r="E310" s="1" t="n">
        <v>46302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46302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38401-2026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46282</v>
      </c>
      <c r="E312" s="1" t="n">
        <v>46302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40545-2023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45170</v>
      </c>
      <c r="E313" s="1" t="n">
        <v>46302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46282</v>
      </c>
      <c r="E314" s="1" t="n">
        <v>46302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40998-2024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45558</v>
      </c>
      <c r="E315" s="1" t="n">
        <v>46302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46244</v>
      </c>
      <c r="E316" s="1" t="n">
        <v>46302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46244</v>
      </c>
      <c r="E317" s="1" t="n">
        <v>46302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46244</v>
      </c>
      <c r="E318" s="1" t="n">
        <v>46302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46302</v>
      </c>
      <c r="F319" t="inlineStr">
        <is>
          <t>VÄSTMANLANDS LÄN</t>
        </is>
      </c>
      <c r="G319" t="inlineStr">
        <is>
          <t>SKINNSKATTEBERG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46244</v>
      </c>
      <c r="E320" s="1" t="n">
        <v>46302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38735-2026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46285</v>
      </c>
      <c r="E321" s="1" t="n">
        <v>46302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45574</v>
      </c>
      <c r="E322" s="1" t="n">
        <v>46302</v>
      </c>
      <c r="F322" t="inlineStr">
        <is>
          <t>VÄSTMANLANDS LÄN</t>
        </is>
      </c>
      <c r="G322" t="inlineStr">
        <is>
          <t>SKINNSKATTEBERG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44694-2024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46302</v>
      </c>
      <c r="F323" t="inlineStr">
        <is>
          <t>VÄSTMANLANDS LÄN</t>
        </is>
      </c>
      <c r="G323" t="inlineStr">
        <is>
          <t>SKINNSKATTEBERG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39620-2026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46289</v>
      </c>
      <c r="E324" s="1" t="n">
        <v>46302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24427-2023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45082</v>
      </c>
      <c r="E325" s="1" t="n">
        <v>46302</v>
      </c>
      <c r="F325" t="inlineStr">
        <is>
          <t>VÄSTMANLANDS LÄN</t>
        </is>
      </c>
      <c r="G325" t="inlineStr">
        <is>
          <t>SKINNSKATTEBERG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61181-2021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46302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45128</v>
      </c>
      <c r="E327" s="1" t="n">
        <v>46302</v>
      </c>
      <c r="F327" t="inlineStr">
        <is>
          <t>VÄSTMANLANDS LÄN</t>
        </is>
      </c>
      <c r="G327" t="inlineStr">
        <is>
          <t>SKINNSKATTEBERG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46302</v>
      </c>
      <c r="F328" t="inlineStr">
        <is>
          <t>VÄSTMANLANDS LÄN</t>
        </is>
      </c>
      <c r="G328" t="inlineStr">
        <is>
          <t>SKINNSKATTEBERG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39863-2026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46290</v>
      </c>
      <c r="E329" s="1" t="n">
        <v>46302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46290</v>
      </c>
      <c r="E330" s="1" t="n">
        <v>46302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39869-2026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46302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40179-2024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46302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33454-2026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46247</v>
      </c>
      <c r="E333" s="1" t="n">
        <v>46302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24884-2023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45085</v>
      </c>
      <c r="E334" s="1" t="n">
        <v>46302</v>
      </c>
      <c r="F334" t="inlineStr">
        <is>
          <t>VÄSTMANLANDS LÄN</t>
        </is>
      </c>
      <c r="G334" t="inlineStr">
        <is>
          <t>SKINNSKATTEBERG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45617</v>
      </c>
      <c r="E335" s="1" t="n">
        <v>46302</v>
      </c>
      <c r="F335" t="inlineStr">
        <is>
          <t>VÄSTMANLANDS LÄN</t>
        </is>
      </c>
      <c r="G335" t="inlineStr">
        <is>
          <t>SKINNSKATTEBERG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46290</v>
      </c>
      <c r="E336" s="1" t="n">
        <v>46302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46248</v>
      </c>
      <c r="E337" s="1" t="n">
        <v>46302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44965</v>
      </c>
      <c r="E338" s="1" t="n">
        <v>46302</v>
      </c>
      <c r="F338" t="inlineStr">
        <is>
          <t>VÄSTMANLANDS LÄN</t>
        </is>
      </c>
      <c r="G338" t="inlineStr">
        <is>
          <t>SKINNSKATTEBERG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31260-2023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45114</v>
      </c>
      <c r="E339" s="1" t="n">
        <v>46302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46302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Allmännings- och besparingsskogar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45385</v>
      </c>
      <c r="E341" s="1" t="n">
        <v>46302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15561-2024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45401</v>
      </c>
      <c r="E342" s="1" t="n">
        <v>46302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44967</v>
      </c>
      <c r="E343" s="1" t="n">
        <v>46302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43400-2024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45568</v>
      </c>
      <c r="E344" s="1" t="n">
        <v>46302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45643</v>
      </c>
      <c r="E345" s="1" t="n">
        <v>46302</v>
      </c>
      <c r="F345" t="inlineStr">
        <is>
          <t>VÄSTMANLANDS LÄN</t>
        </is>
      </c>
      <c r="G345" t="inlineStr">
        <is>
          <t>SKINNSKATTEBERG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20379-2024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46302</v>
      </c>
      <c r="F346" t="inlineStr">
        <is>
          <t>VÄSTMANLANDS LÄN</t>
        </is>
      </c>
      <c r="G346" t="inlineStr">
        <is>
          <t>SKINNSKATTEBERG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11992-2023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44995</v>
      </c>
      <c r="E347" s="1" t="n">
        <v>46302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44806</v>
      </c>
      <c r="E348" s="1" t="n">
        <v>46302</v>
      </c>
      <c r="F348" t="inlineStr">
        <is>
          <t>VÄSTMANLANDS LÄN</t>
        </is>
      </c>
      <c r="G348" t="inlineStr">
        <is>
          <t>SKINNSKATTEBERG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54657-2022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44883</v>
      </c>
      <c r="E349" s="1" t="n">
        <v>46302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46237</v>
      </c>
      <c r="E350" s="1" t="n">
        <v>46302</v>
      </c>
      <c r="F350" t="inlineStr">
        <is>
          <t>VÄSTMANLANDS LÄN</t>
        </is>
      </c>
      <c r="G350" t="inlineStr">
        <is>
          <t>SKINNSKATTEBERG</t>
        </is>
      </c>
      <c r="I350" t="n">
        <v>12.2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46302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40167-2024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45554</v>
      </c>
      <c r="E352" s="1" t="n">
        <v>46302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66584-2021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44519</v>
      </c>
      <c r="E353" s="1" t="n">
        <v>46302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37342-2023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46302</v>
      </c>
      <c r="F354" t="inlineStr">
        <is>
          <t>VÄSTMANLANDS LÄN</t>
        </is>
      </c>
      <c r="G354" t="inlineStr">
        <is>
          <t>SKINNSKATTEBERG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45252</v>
      </c>
      <c r="E355" s="1" t="n">
        <v>46302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31302-2024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45504</v>
      </c>
      <c r="E356" s="1" t="n">
        <v>46302</v>
      </c>
      <c r="F356" t="inlineStr">
        <is>
          <t>VÄSTMANLANDS LÄN</t>
        </is>
      </c>
      <c r="G356" t="inlineStr">
        <is>
          <t>SKINNSKATTEBERG</t>
        </is>
      </c>
      <c r="I356" t="n">
        <v>17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46302</v>
      </c>
      <c r="F357" t="inlineStr">
        <is>
          <t>VÄSTMANLANDS LÄN</t>
        </is>
      </c>
      <c r="G357" t="inlineStr">
        <is>
          <t>SKINNSKATTEBERG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45306</v>
      </c>
      <c r="E358" s="1" t="n">
        <v>46302</v>
      </c>
      <c r="F358" t="inlineStr">
        <is>
          <t>VÄSTMANLANDS LÄN</t>
        </is>
      </c>
      <c r="G358" t="inlineStr">
        <is>
          <t>SKINNSKATTEBERG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45306</v>
      </c>
      <c r="E359" s="1" t="n">
        <v>46302</v>
      </c>
      <c r="F359" t="inlineStr">
        <is>
          <t>VÄSTMANLANDS LÄN</t>
        </is>
      </c>
      <c r="G359" t="inlineStr">
        <is>
          <t>SKINNSKATTEBERG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46300</v>
      </c>
      <c r="E360" s="1" t="n">
        <v>46302</v>
      </c>
      <c r="F360" t="inlineStr">
        <is>
          <t>VÄSTMANLANDS LÄN</t>
        </is>
      </c>
      <c r="G360" t="inlineStr">
        <is>
          <t>SKINNSKATTEBERG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46302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15184-2025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45744</v>
      </c>
      <c r="E362" s="1" t="n">
        <v>46302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41332-2023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46302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45555</v>
      </c>
      <c r="E364" s="1" t="n">
        <v>46302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42425-2023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45180</v>
      </c>
      <c r="E365" s="1" t="n">
        <v>46302</v>
      </c>
      <c r="F365" t="inlineStr">
        <is>
          <t>VÄSTMANLANDS LÄN</t>
        </is>
      </c>
      <c r="G365" t="inlineStr">
        <is>
          <t>SKINNSKATTEBERG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61424-2023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45264</v>
      </c>
      <c r="E366" s="1" t="n">
        <v>46302</v>
      </c>
      <c r="F366" t="inlineStr">
        <is>
          <t>VÄSTMANLANDS LÄN</t>
        </is>
      </c>
      <c r="G366" t="inlineStr">
        <is>
          <t>SKINNSKATTEBERG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33789-2024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45520</v>
      </c>
      <c r="E367" s="1" t="n">
        <v>46302</v>
      </c>
      <c r="F367" t="inlineStr">
        <is>
          <t>VÄSTMANLANDS LÄN</t>
        </is>
      </c>
      <c r="G367" t="inlineStr">
        <is>
          <t>SKINNSKATTEBERG</t>
        </is>
      </c>
      <c r="I367" t="n">
        <v>9.1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22394-2022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44713</v>
      </c>
      <c r="E368" s="1" t="n">
        <v>46302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35831-2024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45532</v>
      </c>
      <c r="E369" s="1" t="n">
        <v>46302</v>
      </c>
      <c r="F369" t="inlineStr">
        <is>
          <t>VÄSTMANLANDS LÄN</t>
        </is>
      </c>
      <c r="G369" t="inlineStr">
        <is>
          <t>SKINNSKATTEBERG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35834-2024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45532</v>
      </c>
      <c r="E370" s="1" t="n">
        <v>46302</v>
      </c>
      <c r="F370" t="inlineStr">
        <is>
          <t>VÄSTMANLANDS LÄN</t>
        </is>
      </c>
      <c r="G370" t="inlineStr">
        <is>
          <t>SKINNSKATTEBERG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45554</v>
      </c>
      <c r="E371" s="1" t="n">
        <v>46302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19093-2023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45048</v>
      </c>
      <c r="E372" s="1" t="n">
        <v>46302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35683-2024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45532</v>
      </c>
      <c r="E373" s="1" t="n">
        <v>46302</v>
      </c>
      <c r="F373" t="inlineStr">
        <is>
          <t>VÄSTMANLANDS LÄN</t>
        </is>
      </c>
      <c r="G373" t="inlineStr">
        <is>
          <t>SKINNSKATTEBERG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46302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31617-2024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45506</v>
      </c>
      <c r="E375" s="1" t="n">
        <v>46302</v>
      </c>
      <c r="F375" t="inlineStr">
        <is>
          <t>VÄSTMANLANDS LÄN</t>
        </is>
      </c>
      <c r="G375" t="inlineStr">
        <is>
          <t>SKINNSKATTEBERG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40546-2023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45170</v>
      </c>
      <c r="E376" s="1" t="n">
        <v>46302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58979-2023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45252</v>
      </c>
      <c r="E377" s="1" t="n">
        <v>46302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45014</v>
      </c>
      <c r="E378" s="1" t="n">
        <v>46302</v>
      </c>
      <c r="F378" t="inlineStr">
        <is>
          <t>VÄSTMANLANDS LÄN</t>
        </is>
      </c>
      <c r="G378" t="inlineStr">
        <is>
          <t>SKINNSKATTEBERG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14736-2023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45014</v>
      </c>
      <c r="E379" s="1" t="n">
        <v>46302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45762</v>
      </c>
      <c r="E380" s="1" t="n">
        <v>46302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18109-2023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45040</v>
      </c>
      <c r="E381" s="1" t="n">
        <v>46302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48492-2024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45592</v>
      </c>
      <c r="E382" s="1" t="n">
        <v>46302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45777</v>
      </c>
      <c r="E383" s="1" t="n">
        <v>46302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20949-2025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45777</v>
      </c>
      <c r="E384" s="1" t="n">
        <v>46302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45377</v>
      </c>
      <c r="E385" s="1" t="n">
        <v>46302</v>
      </c>
      <c r="F385" t="inlineStr">
        <is>
          <t>VÄSTMANLANDS LÄN</t>
        </is>
      </c>
      <c r="G385" t="inlineStr">
        <is>
          <t>SKINNSKATTEBERG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37730-2024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45541</v>
      </c>
      <c r="E386" s="1" t="n">
        <v>46302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50980-2022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44867</v>
      </c>
      <c r="E387" s="1" t="n">
        <v>46302</v>
      </c>
      <c r="F387" t="inlineStr">
        <is>
          <t>VÄSTMANLANDS LÄN</t>
        </is>
      </c>
      <c r="G387" t="inlineStr">
        <is>
          <t>SKINNSKATTEBERG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38783-2024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46302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28941-2024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45480</v>
      </c>
      <c r="E389" s="1" t="n">
        <v>46302</v>
      </c>
      <c r="F389" t="inlineStr">
        <is>
          <t>VÄSTMANLANDS LÄN</t>
        </is>
      </c>
      <c r="G389" t="inlineStr">
        <is>
          <t>SKINNSKATTEBERG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22285-2025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45786</v>
      </c>
      <c r="E390" s="1" t="n">
        <v>46302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22079-2024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45443</v>
      </c>
      <c r="E391" s="1" t="n">
        <v>46302</v>
      </c>
      <c r="F391" t="inlineStr">
        <is>
          <t>VÄSTMANLANDS LÄN</t>
        </is>
      </c>
      <c r="G391" t="inlineStr">
        <is>
          <t>SKINNSKATTEBERG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35051-2024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45527</v>
      </c>
      <c r="E392" s="1" t="n">
        <v>46302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45476</v>
      </c>
      <c r="E393" s="1" t="n">
        <v>46302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1765-2024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45435</v>
      </c>
      <c r="E394" s="1" t="n">
        <v>46302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1462-2025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45786</v>
      </c>
      <c r="E395" s="1" t="n">
        <v>46302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1931-2025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45827</v>
      </c>
      <c r="E396" s="1" t="n">
        <v>46302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2177-2025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45853</v>
      </c>
      <c r="E397" s="1" t="n">
        <v>46302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46302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2421-2025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46302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2420-2025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46302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2456-2025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45901</v>
      </c>
      <c r="E401" s="1" t="n">
        <v>46302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2578-2025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45915</v>
      </c>
      <c r="E402" s="1" t="n">
        <v>46302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1325-2026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46147</v>
      </c>
      <c r="E403" s="1" t="n">
        <v>46302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65.3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46182</v>
      </c>
      <c r="E404" s="1" t="n">
        <v>46302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46302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2239-2026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46260</v>
      </c>
      <c r="E406" s="1" t="n">
        <v>46302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46262</v>
      </c>
      <c r="E407" s="1" t="n">
        <v>46302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2525-2026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46290</v>
      </c>
      <c r="E408" s="1" t="n">
        <v>46302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2026-10-07T02:07:30Z</dcterms:created>
  <dcterms:modified xmlns:dcterms="http://purl.org/dc/terms/" xmlns:xsi="http://www.w3.org/2001/XMLSchema-instance" xsi:type="dcterms:W3CDTF">2026-10-07T02:07:30Z</dcterms:modified>
</cp:coreProperties>
</file>