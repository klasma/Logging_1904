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46326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8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28</v>
      </c>
      <c r="U2" t="n">
        <v>12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Tjäder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46326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46326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8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13</v>
      </c>
      <c r="T4" t="n">
        <v>19</v>
      </c>
      <c r="U4" t="n">
        <v>5</v>
      </c>
      <c r="V4" s="2" t="inlineStr">
        <is>
          <t>Garnlav
Vedtrappmossa
Gräsull
Klippfrullania
Korallrot
Mörk husmossa
Nästlav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46326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6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11</v>
      </c>
      <c r="T5" t="n">
        <v>18</v>
      </c>
      <c r="U5" t="n">
        <v>6</v>
      </c>
      <c r="V5" s="2" t="inlineStr">
        <is>
          <t>Skogsalm
Kandelabersvamp
Mindre hackspett
Tallticka
Grovticka
Svart trolldruva
Blåsippa
Hårklomossa
Spillkråka
Sävsparv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46326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2606-2026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46037</v>
      </c>
      <c r="E7" s="1" t="n">
        <v>46326</v>
      </c>
      <c r="F7" t="inlineStr">
        <is>
          <t>VÄSTMANLANDS LÄN</t>
        </is>
      </c>
      <c r="G7" t="inlineStr">
        <is>
          <t>SKINNSKATTEBERG</t>
        </is>
      </c>
      <c r="I7" t="n">
        <v>4.9</v>
      </c>
      <c r="J7" t="n">
        <v>1</v>
      </c>
      <c r="K7" t="n">
        <v>4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Garnlav
Violettgrå tagellav
Bronshjon
Bågpraktmossa
Mörk husmossa
Rostfläck
Kärrfibbla
Mattlummer</t>
        </is>
      </c>
      <c r="W7">
        <f>HYPERLINK("https://klasma.github.io/Logging_1904/artfynd/A 2606-2026 artfynd.xlsx", "A 2606-2026")</f>
        <v/>
      </c>
      <c r="X7">
        <f>HYPERLINK("https://klasma.github.io/Logging_1904/kartor/A 2606-2026 karta.png", "A 2606-2026")</f>
        <v/>
      </c>
      <c r="Y7">
        <f>HYPERLINK("https://klasma.github.io/Logging_1904/kartor_geotiff/A 2606-2026 georefererad karta.tif", "A 2606-2026")</f>
        <v/>
      </c>
      <c r="AA7">
        <f>HYPERLINK("https://klasma.github.io/Logging_1904/klagomål/A 2606-2026 FSC-klagomål.docx", "A 2606-2026")</f>
        <v/>
      </c>
      <c r="AB7">
        <f>HYPERLINK("https://klasma.github.io/Logging_1904/klagomålsmail/A 2606-2026 FSC-klagomål mail.docx", "A 2606-2026")</f>
        <v/>
      </c>
      <c r="AC7">
        <f>HYPERLINK("https://klasma.github.io/Logging_1904/tillsyn/A 2606-2026 tillsynsbegäran.docx", "A 2606-2026")</f>
        <v/>
      </c>
      <c r="AD7">
        <f>HYPERLINK("https://klasma.github.io/Logging_1904/tillsynsmail/A 2606-2026 tillsynsbegäran mail.docx", "A 2606-2026")</f>
        <v/>
      </c>
    </row>
    <row r="8" ht="15" customHeight="1">
      <c r="A8" t="inlineStr">
        <is>
          <t>A 62933-2025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46009</v>
      </c>
      <c r="E8" s="1" t="n">
        <v>46326</v>
      </c>
      <c r="F8" t="inlineStr">
        <is>
          <t>VÄSTMANLANDS LÄN</t>
        </is>
      </c>
      <c r="G8" t="inlineStr">
        <is>
          <t>SKINNSKATTEBERG</t>
        </is>
      </c>
      <c r="I8" t="n">
        <v>4.9</v>
      </c>
      <c r="J8" t="n">
        <v>1</v>
      </c>
      <c r="K8" t="n">
        <v>4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8</v>
      </c>
      <c r="T8" t="n">
        <v>12</v>
      </c>
      <c r="U8" t="n">
        <v>12</v>
      </c>
      <c r="V8" s="2" t="inlineStr">
        <is>
          <t>Garnlav
Violettgrå tagellav
Bronshjon
Bågpraktmossa
Mörk husmossa
Rostfläck
Kärrfibbla
Mattlummer</t>
        </is>
      </c>
      <c r="W8">
        <f>HYPERLINK("https://klasma.github.io/Logging_1904/artfynd/A 62933-2025 artfynd.xlsx", "A 62933-2025")</f>
        <v/>
      </c>
      <c r="X8">
        <f>HYPERLINK("https://klasma.github.io/Logging_1904/kartor/A 62933-2025 karta.png", "A 62933-2025")</f>
        <v/>
      </c>
      <c r="Y8">
        <f>HYPERLINK("https://klasma.github.io/Logging_1904/kartor_geotiff/A 62933-2025 georefererad karta.tif", "A 62933-2025")</f>
        <v/>
      </c>
      <c r="AA8">
        <f>HYPERLINK("https://klasma.github.io/Logging_1904/klagomål/A 62933-2025 FSC-klagomål.docx", "A 62933-2025")</f>
        <v/>
      </c>
      <c r="AB8">
        <f>HYPERLINK("https://klasma.github.io/Logging_1904/klagomålsmail/A 62933-2025 FSC-klagomål mail.docx", "A 62933-2025")</f>
        <v/>
      </c>
      <c r="AC8">
        <f>HYPERLINK("https://klasma.github.io/Logging_1904/tillsyn/A 62933-2025 tillsynsbegäran.docx", "A 62933-2025")</f>
        <v/>
      </c>
      <c r="AD8">
        <f>HYPERLINK("https://klasma.github.io/Logging_1904/tillsynsmail/A 62933-2025 tillsynsbegäran mail.docx", "A 62933-2025")</f>
        <v/>
      </c>
    </row>
    <row r="9" ht="15" customHeight="1">
      <c r="A9" t="inlineStr">
        <is>
          <t>A 65300-2021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46326</v>
      </c>
      <c r="F9" t="inlineStr">
        <is>
          <t>VÄSTMANLANDS LÄN</t>
        </is>
      </c>
      <c r="G9" t="inlineStr">
        <is>
          <t>SKINNSKATTEBERG</t>
        </is>
      </c>
      <c r="I9" t="n">
        <v>30.2</v>
      </c>
      <c r="J9" t="n">
        <v>1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8</v>
      </c>
      <c r="U9" t="n">
        <v>3</v>
      </c>
      <c r="V9" s="2" t="inlineStr">
        <is>
          <t>Aspgelélav
Lunglav
Ullticka
Bollvitmossa
Jättesvampmal
Platt fjädermossa
Blåsippa</t>
        </is>
      </c>
      <c r="W9">
        <f>HYPERLINK("https://klasma.github.io/Logging_1904/artfynd/A 65300-2021 artfynd.xlsx", "A 65300-2021")</f>
        <v/>
      </c>
      <c r="X9">
        <f>HYPERLINK("https://klasma.github.io/Logging_1904/kartor/A 65300-2021 karta.png", "A 65300-2021")</f>
        <v/>
      </c>
      <c r="Y9">
        <f>HYPERLINK("https://klasma.github.io/Logging_1904/kartor_geotiff/A 65300-2021 georefererad karta.tif", "A 65300-2021")</f>
        <v/>
      </c>
      <c r="AA9">
        <f>HYPERLINK("https://klasma.github.io/Logging_1904/klagomål/A 65300-2021 FSC-klagomål.docx", "A 65300-2021")</f>
        <v/>
      </c>
      <c r="AB9">
        <f>HYPERLINK("https://klasma.github.io/Logging_1904/klagomålsmail/A 65300-2021 FSC-klagomål mail.docx", "A 65300-2021")</f>
        <v/>
      </c>
      <c r="AC9">
        <f>HYPERLINK("https://klasma.github.io/Logging_1904/tillsyn/A 65300-2021 tillsynsbegäran.docx", "A 65300-2021")</f>
        <v/>
      </c>
      <c r="AD9">
        <f>HYPERLINK("https://klasma.github.io/Logging_1904/tillsynsmail/A 65300-2021 tillsynsbegäran mail.docx", "A 65300-2021")</f>
        <v/>
      </c>
    </row>
    <row r="10" ht="15" customHeight="1">
      <c r="A10" t="inlineStr">
        <is>
          <t>A 32205-2026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46237</v>
      </c>
      <c r="E10" s="1" t="n">
        <v>46326</v>
      </c>
      <c r="F10" t="inlineStr">
        <is>
          <t>VÄSTMANLANDS LÄN</t>
        </is>
      </c>
      <c r="G10" t="inlineStr">
        <is>
          <t>SKINNSKATTEBERG</t>
        </is>
      </c>
      <c r="I10" t="n">
        <v>12.2</v>
      </c>
      <c r="J10" t="n">
        <v>0</v>
      </c>
      <c r="K10" t="n">
        <v>5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8</v>
      </c>
      <c r="V10" s="2" t="inlineStr">
        <is>
          <t>Ullticka
Vedtrappmossa
Blåmossa
Blåsfliksmossa
Bronshjon
Gulnål
Kornig nållav</t>
        </is>
      </c>
      <c r="W10">
        <f>HYPERLINK("https://klasma.github.io/Logging_1904/artfynd/A 32205-2026 artfynd.xlsx", "A 32205-2026")</f>
        <v/>
      </c>
      <c r="X10">
        <f>HYPERLINK("https://klasma.github.io/Logging_1904/kartor/A 32205-2026 karta.png", "A 32205-2026")</f>
        <v/>
      </c>
      <c r="Y10">
        <f>HYPERLINK("https://klasma.github.io/Logging_1904/kartor_geotiff/A 32205-2026 georefererad karta.tif", "A 32205-2026")</f>
        <v/>
      </c>
      <c r="AA10">
        <f>HYPERLINK("https://klasma.github.io/Logging_1904/klagomål/A 32205-2026 FSC-klagomål.docx", "A 32205-2026")</f>
        <v/>
      </c>
      <c r="AB10">
        <f>HYPERLINK("https://klasma.github.io/Logging_1904/klagomålsmail/A 32205-2026 FSC-klagomål mail.docx", "A 32205-2026")</f>
        <v/>
      </c>
      <c r="AC10">
        <f>HYPERLINK("https://klasma.github.io/Logging_1904/tillsyn/A 32205-2026 tillsynsbegäran.docx", "A 32205-2026")</f>
        <v/>
      </c>
      <c r="AD10">
        <f>HYPERLINK("https://klasma.github.io/Logging_1904/tillsynsmail/A 32205-2026 tillsynsbegäran mail.docx", "A 32205-2026")</f>
        <v/>
      </c>
    </row>
    <row r="11" ht="15" customHeight="1">
      <c r="A11" t="inlineStr">
        <is>
          <t>A 2609-2026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46037</v>
      </c>
      <c r="E11" s="1" t="n">
        <v>46326</v>
      </c>
      <c r="F11" t="inlineStr">
        <is>
          <t>VÄSTMANLANDS LÄN</t>
        </is>
      </c>
      <c r="G11" t="inlineStr">
        <is>
          <t>SKINNSKATTEBERG</t>
        </is>
      </c>
      <c r="I11" t="n">
        <v>1.7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7</v>
      </c>
      <c r="U11" t="n">
        <v>7</v>
      </c>
      <c r="V11" s="2" t="inlineStr">
        <is>
          <t>Grönkulla
Mörk husmossa
Stubbspretmossa
Bäckbräsma
Kärrfibbla
Ormbär</t>
        </is>
      </c>
      <c r="W11">
        <f>HYPERLINK("https://klasma.github.io/Logging_1904/artfynd/A 2609-2026 artfynd.xlsx", "A 2609-2026")</f>
        <v/>
      </c>
      <c r="X11">
        <f>HYPERLINK("https://klasma.github.io/Logging_1904/kartor/A 2609-2026 karta.png", "A 2609-2026")</f>
        <v/>
      </c>
      <c r="Y11">
        <f>HYPERLINK("https://klasma.github.io/Logging_1904/kartor_geotiff/A 2609-2026 georefererad karta.tif", "A 2609-2026")</f>
        <v/>
      </c>
      <c r="AA11">
        <f>HYPERLINK("https://klasma.github.io/Logging_1904/klagomål/A 2609-2026 FSC-klagomål.docx", "A 2609-2026")</f>
        <v/>
      </c>
      <c r="AB11">
        <f>HYPERLINK("https://klasma.github.io/Logging_1904/klagomålsmail/A 2609-2026 FSC-klagomål mail.docx", "A 2609-2026")</f>
        <v/>
      </c>
      <c r="AC11">
        <f>HYPERLINK("https://klasma.github.io/Logging_1904/tillsyn/A 2609-2026 tillsynsbegäran.docx", "A 2609-2026")</f>
        <v/>
      </c>
      <c r="AD11">
        <f>HYPERLINK("https://klasma.github.io/Logging_1904/tillsynsmail/A 2609-2026 tillsynsbegäran mail.docx", "A 2609-2026")</f>
        <v/>
      </c>
    </row>
    <row r="12" ht="15" customHeight="1">
      <c r="A12" t="inlineStr">
        <is>
          <t>A 62934-2025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46326</v>
      </c>
      <c r="F12" t="inlineStr">
        <is>
          <t>VÄSTMANLANDS LÄN</t>
        </is>
      </c>
      <c r="G12" t="inlineStr">
        <is>
          <t>SKINNSKATTEBERG</t>
        </is>
      </c>
      <c r="I12" t="n">
        <v>1.7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7</v>
      </c>
      <c r="U12" t="n">
        <v>7</v>
      </c>
      <c r="V12" s="2" t="inlineStr">
        <is>
          <t>Grönkulla
Mörk husmossa
Stubbspretmossa
Bäckbräsma
Kärrfibbla
Ormbär</t>
        </is>
      </c>
      <c r="W12">
        <f>HYPERLINK("https://klasma.github.io/Logging_1904/artfynd/A 62934-2025 artfynd.xlsx", "A 62934-2025")</f>
        <v/>
      </c>
      <c r="X12">
        <f>HYPERLINK("https://klasma.github.io/Logging_1904/kartor/A 62934-2025 karta.png", "A 62934-2025")</f>
        <v/>
      </c>
      <c r="Y12">
        <f>HYPERLINK("https://klasma.github.io/Logging_1904/kartor_geotiff/A 62934-2025 georefererad karta.tif", "A 62934-2025")</f>
        <v/>
      </c>
      <c r="AA12">
        <f>HYPERLINK("https://klasma.github.io/Logging_1904/klagomål/A 62934-2025 FSC-klagomål.docx", "A 62934-2025")</f>
        <v/>
      </c>
      <c r="AB12">
        <f>HYPERLINK("https://klasma.github.io/Logging_1904/klagomålsmail/A 62934-2025 FSC-klagomål mail.docx", "A 62934-2025")</f>
        <v/>
      </c>
      <c r="AC12">
        <f>HYPERLINK("https://klasma.github.io/Logging_1904/tillsyn/A 62934-2025 tillsynsbegäran.docx", "A 62934-2025")</f>
        <v/>
      </c>
      <c r="AD12">
        <f>HYPERLINK("https://klasma.github.io/Logging_1904/tillsynsmail/A 62934-2025 tillsynsbegäran mail.docx", "A 62934-2025")</f>
        <v/>
      </c>
    </row>
    <row r="13" ht="15" customHeight="1">
      <c r="A13" t="inlineStr">
        <is>
          <t>A 61212-2022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44908</v>
      </c>
      <c r="E13" s="1" t="n">
        <v>46326</v>
      </c>
      <c r="F13" t="inlineStr">
        <is>
          <t>VÄSTMANLANDS LÄN</t>
        </is>
      </c>
      <c r="G13" t="inlineStr">
        <is>
          <t>SKINNSKATTEBERG</t>
        </is>
      </c>
      <c r="I13" t="n">
        <v>17.4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10</v>
      </c>
      <c r="U13" t="n">
        <v>9</v>
      </c>
      <c r="V13" s="2" t="inlineStr">
        <is>
          <t>Grangråticka
Dofttaggsvamp
Tallticka
Blåsippa
Kråka</t>
        </is>
      </c>
      <c r="W13">
        <f>HYPERLINK("https://klasma.github.io/Logging_1904/artfynd/A 61212-2022 artfynd.xlsx", "A 61212-2022")</f>
        <v/>
      </c>
      <c r="X13">
        <f>HYPERLINK("https://klasma.github.io/Logging_1904/kartor/A 61212-2022 karta.png", "A 61212-2022")</f>
        <v/>
      </c>
      <c r="Y13">
        <f>HYPERLINK("https://klasma.github.io/Logging_1904/kartor_geotiff/A 61212-2022 georefererad karta.tif", "A 61212-2022")</f>
        <v/>
      </c>
      <c r="AA13">
        <f>HYPERLINK("https://klasma.github.io/Logging_1904/klagomål/A 61212-2022 FSC-klagomål.docx", "A 61212-2022")</f>
        <v/>
      </c>
      <c r="AB13">
        <f>HYPERLINK("https://klasma.github.io/Logging_1904/klagomålsmail/A 61212-2022 FSC-klagomål mail.docx", "A 61212-2022")</f>
        <v/>
      </c>
      <c r="AC13">
        <f>HYPERLINK("https://klasma.github.io/Logging_1904/tillsyn/A 61212-2022 tillsynsbegäran.docx", "A 61212-2022")</f>
        <v/>
      </c>
      <c r="AD13">
        <f>HYPERLINK("https://klasma.github.io/Logging_1904/tillsynsmail/A 61212-2022 tillsynsbegäran mail.docx", "A 61212-2022")</f>
        <v/>
      </c>
    </row>
    <row r="14" ht="15" customHeight="1">
      <c r="A14" t="inlineStr">
        <is>
          <t>A 21845-2026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46326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Brunpudrad nållav
Vedtrappmossa
Gullgröppa
Vanlig flatbagge
Timmerticka</t>
        </is>
      </c>
      <c r="W14">
        <f>HYPERLINK("https://klasma.github.io/Logging_1904/artfynd/A 21845-2026 artfynd.xlsx", "A 21845-2026")</f>
        <v/>
      </c>
      <c r="X14">
        <f>HYPERLINK("https://klasma.github.io/Logging_1904/kartor/A 21845-2026 karta.png", "A 21845-2026")</f>
        <v/>
      </c>
      <c r="Y14">
        <f>HYPERLINK("https://klasma.github.io/Logging_1904/kartor_geotiff/A 21845-2026 georefererad karta.tif", "A 21845-2026")</f>
        <v/>
      </c>
      <c r="AA14">
        <f>HYPERLINK("https://klasma.github.io/Logging_1904/klagomål/A 21845-2026 FSC-klagomål.docx", "A 21845-2026")</f>
        <v/>
      </c>
      <c r="AB14">
        <f>HYPERLINK("https://klasma.github.io/Logging_1904/klagomålsmail/A 21845-2026 FSC-klagomål mail.docx", "A 21845-2026")</f>
        <v/>
      </c>
      <c r="AC14">
        <f>HYPERLINK("https://klasma.github.io/Logging_1904/tillsyn/A 21845-2026 tillsynsbegäran.docx", "A 21845-2026")</f>
        <v/>
      </c>
      <c r="AD14">
        <f>HYPERLINK("https://klasma.github.io/Logging_1904/tillsynsmail/A 21845-2026 tillsynsbegäran mail.docx", "A 21845-2026")</f>
        <v/>
      </c>
    </row>
    <row r="15" ht="15" customHeight="1">
      <c r="A15" t="inlineStr">
        <is>
          <t>A 34303-2026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46254</v>
      </c>
      <c r="E15" s="1" t="n">
        <v>46326</v>
      </c>
      <c r="F15" t="inlineStr">
        <is>
          <t>VÄSTMANLANDS LÄN</t>
        </is>
      </c>
      <c r="G15" t="inlineStr">
        <is>
          <t>SKINNSKATTEBERG</t>
        </is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2</v>
      </c>
      <c r="O15" t="n">
        <v>0</v>
      </c>
      <c r="P15" t="n">
        <v>0</v>
      </c>
      <c r="Q15" t="n">
        <v>2</v>
      </c>
      <c r="R15" t="n">
        <v>2</v>
      </c>
      <c r="S15" t="n">
        <v>5</v>
      </c>
      <c r="T15" t="n">
        <v>6</v>
      </c>
      <c r="U15" t="n">
        <v>5</v>
      </c>
      <c r="V15" s="2" t="inlineStr">
        <is>
          <t>Ask
Skogsalm
Svart trolldruva
Tibast
Brudborste</t>
        </is>
      </c>
      <c r="W15">
        <f>HYPERLINK("https://klasma.github.io/Logging_1904/artfynd/A 34303-2026 artfynd.xlsx", "A 34303-2026")</f>
        <v/>
      </c>
      <c r="X15">
        <f>HYPERLINK("https://klasma.github.io/Logging_1904/kartor/A 34303-2026 karta.png", "A 34303-2026")</f>
        <v/>
      </c>
      <c r="Y15">
        <f>HYPERLINK("https://klasma.github.io/Logging_1904/kartor_geotiff/A 34303-2026 georefererad karta.tif", "A 34303-2026")</f>
        <v/>
      </c>
      <c r="AA15">
        <f>HYPERLINK("https://klasma.github.io/Logging_1904/klagomål/A 34303-2026 FSC-klagomål.docx", "A 34303-2026")</f>
        <v/>
      </c>
      <c r="AB15">
        <f>HYPERLINK("https://klasma.github.io/Logging_1904/klagomålsmail/A 34303-2026 FSC-klagomål mail.docx", "A 34303-2026")</f>
        <v/>
      </c>
      <c r="AC15">
        <f>HYPERLINK("https://klasma.github.io/Logging_1904/tillsyn/A 34303-2026 tillsynsbegäran.docx", "A 34303-2026")</f>
        <v/>
      </c>
      <c r="AD15">
        <f>HYPERLINK("https://klasma.github.io/Logging_1904/tillsynsmail/A 34303-2026 tillsynsbegäran mail.docx", "A 34303-2026")</f>
        <v/>
      </c>
    </row>
    <row r="16" ht="15" customHeight="1">
      <c r="A16" t="inlineStr">
        <is>
          <t>A 56183-2025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46326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Vedtrappmossa
Björksplintborre
Gulnål
Vedticka</t>
        </is>
      </c>
      <c r="W16">
        <f>HYPERLINK("https://klasma.github.io/Logging_1904/artfynd/A 56183-2025 artfynd.xlsx", "A 56183-2025")</f>
        <v/>
      </c>
      <c r="X16">
        <f>HYPERLINK("https://klasma.github.io/Logging_1904/kartor/A 56183-2025 karta.png", "A 56183-2025")</f>
        <v/>
      </c>
      <c r="Y16">
        <f>HYPERLINK("https://klasma.github.io/Logging_1904/kartor_geotiff/A 56183-2025 georefererad karta.tif", "A 56183-2025")</f>
        <v/>
      </c>
      <c r="AA16">
        <f>HYPERLINK("https://klasma.github.io/Logging_1904/klagomål/A 56183-2025 FSC-klagomål.docx", "A 56183-2025")</f>
        <v/>
      </c>
      <c r="AB16">
        <f>HYPERLINK("https://klasma.github.io/Logging_1904/klagomålsmail/A 56183-2025 FSC-klagomål mail.docx", "A 56183-2025")</f>
        <v/>
      </c>
      <c r="AC16">
        <f>HYPERLINK("https://klasma.github.io/Logging_1904/tillsyn/A 56183-2025 tillsynsbegäran.docx", "A 56183-2025")</f>
        <v/>
      </c>
      <c r="AD16">
        <f>HYPERLINK("https://klasma.github.io/Logging_1904/tillsynsmail/A 56183-2025 tillsynsbegäran mail.docx", "A 56183-2025")</f>
        <v/>
      </c>
    </row>
    <row r="17" ht="15" customHeight="1">
      <c r="A17" t="inlineStr">
        <is>
          <t>A 36595-2024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46326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</v>
      </c>
      <c r="J17" t="n">
        <v>1</v>
      </c>
      <c r="K17" t="n">
        <v>0</v>
      </c>
      <c r="L17" t="n">
        <v>1</v>
      </c>
      <c r="M17" t="n">
        <v>3</v>
      </c>
      <c r="N17" t="n">
        <v>0</v>
      </c>
      <c r="O17" t="n">
        <v>0</v>
      </c>
      <c r="P17" t="n">
        <v>0</v>
      </c>
      <c r="Q17" t="n">
        <v>4</v>
      </c>
      <c r="R17" t="n">
        <v>3</v>
      </c>
      <c r="S17" t="n">
        <v>4</v>
      </c>
      <c r="T17" t="n">
        <v>4</v>
      </c>
      <c r="U17" t="n">
        <v>4</v>
      </c>
      <c r="V17" s="2" t="inlineStr">
        <is>
          <t>Knärot
Lakritsmusseron
Lammticka
Skarp dropptaggsvamp</t>
        </is>
      </c>
      <c r="W17">
        <f>HYPERLINK("https://klasma.github.io/Logging_1904/artfynd/A 36595-2024 artfynd.xlsx", "A 36595-2024")</f>
        <v/>
      </c>
      <c r="X17">
        <f>HYPERLINK("https://klasma.github.io/Logging_1904/kartor/A 36595-2024 karta.png", "A 36595-2024")</f>
        <v/>
      </c>
      <c r="Y17">
        <f>HYPERLINK("https://klasma.github.io/Logging_1904/kartor_geotiff/A 36595-2024 georefererad karta.tif", "A 36595-2024")</f>
        <v/>
      </c>
      <c r="Z17">
        <f>HYPERLINK("https://klasma.github.io/Logging_1904/knärot/A 36595-2024 karta knärot.png", "A 36595-2024")</f>
        <v/>
      </c>
      <c r="AA17">
        <f>HYPERLINK("https://klasma.github.io/Logging_1904/klagomål/A 36595-2024 FSC-klagomål.docx", "A 36595-2024")</f>
        <v/>
      </c>
      <c r="AB17">
        <f>HYPERLINK("https://klasma.github.io/Logging_1904/klagomålsmail/A 36595-2024 FSC-klagomål mail.docx", "A 36595-2024")</f>
        <v/>
      </c>
      <c r="AC17">
        <f>HYPERLINK("https://klasma.github.io/Logging_1904/tillsyn/A 36595-2024 tillsynsbegäran.docx", "A 36595-2024")</f>
        <v/>
      </c>
      <c r="AD17">
        <f>HYPERLINK("https://klasma.github.io/Logging_1904/tillsynsmail/A 36595-2024 tillsynsbegäran mail.docx", "A 36595-2024")</f>
        <v/>
      </c>
    </row>
    <row r="18" ht="15" customHeight="1">
      <c r="A18" t="inlineStr">
        <is>
          <t>A 39621-2026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46289</v>
      </c>
      <c r="E18" s="1" t="n">
        <v>46326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1.6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Motaggsvamp
Orange taggsvamp
Vedskivlav
Zontaggsvamp</t>
        </is>
      </c>
      <c r="W18">
        <f>HYPERLINK("https://klasma.github.io/Logging_1904/artfynd/A 39621-2026 artfynd.xlsx", "A 39621-2026")</f>
        <v/>
      </c>
      <c r="X18">
        <f>HYPERLINK("https://klasma.github.io/Logging_1904/kartor/A 39621-2026 karta.png", "A 39621-2026")</f>
        <v/>
      </c>
      <c r="Y18">
        <f>HYPERLINK("https://klasma.github.io/Logging_1904/kartor_geotiff/A 39621-2026 georefererad karta.tif", "A 39621-2026")</f>
        <v/>
      </c>
      <c r="AA18">
        <f>HYPERLINK("https://klasma.github.io/Logging_1904/klagomål/A 39621-2026 FSC-klagomål.docx", "A 39621-2026")</f>
        <v/>
      </c>
      <c r="AB18">
        <f>HYPERLINK("https://klasma.github.io/Logging_1904/klagomålsmail/A 39621-2026 FSC-klagomål mail.docx", "A 39621-2026")</f>
        <v/>
      </c>
      <c r="AC18">
        <f>HYPERLINK("https://klasma.github.io/Logging_1904/tillsyn/A 39621-2026 tillsynsbegäran.docx", "A 39621-2026")</f>
        <v/>
      </c>
      <c r="AD18">
        <f>HYPERLINK("https://klasma.github.io/Logging_1904/tillsynsmail/A 39621-2026 tillsynsbegäran mail.docx", "A 39621-2026")</f>
        <v/>
      </c>
    </row>
    <row r="19" ht="15" customHeight="1">
      <c r="A19" t="inlineStr">
        <is>
          <t>A 39619-2026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46289</v>
      </c>
      <c r="E19" s="1" t="n">
        <v>46326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6.3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1</v>
      </c>
      <c r="V19" s="2" t="inlineStr">
        <is>
          <t>Skrovlig taggsvamp
Mjölsvärting
Motaggsvamp
Plattlummer</t>
        </is>
      </c>
      <c r="W19">
        <f>HYPERLINK("https://klasma.github.io/Logging_1904/artfynd/A 39619-2026 artfynd.xlsx", "A 39619-2026")</f>
        <v/>
      </c>
      <c r="X19">
        <f>HYPERLINK("https://klasma.github.io/Logging_1904/kartor/A 39619-2026 karta.png", "A 39619-2026")</f>
        <v/>
      </c>
      <c r="Y19">
        <f>HYPERLINK("https://klasma.github.io/Logging_1904/kartor_geotiff/A 39619-2026 georefererad karta.tif", "A 39619-2026")</f>
        <v/>
      </c>
      <c r="AA19">
        <f>HYPERLINK("https://klasma.github.io/Logging_1904/klagomål/A 39619-2026 FSC-klagomål.docx", "A 39619-2026")</f>
        <v/>
      </c>
      <c r="AB19">
        <f>HYPERLINK("https://klasma.github.io/Logging_1904/klagomålsmail/A 39619-2026 FSC-klagomål mail.docx", "A 39619-2026")</f>
        <v/>
      </c>
      <c r="AC19">
        <f>HYPERLINK("https://klasma.github.io/Logging_1904/tillsyn/A 39619-2026 tillsynsbegäran.docx", "A 39619-2026")</f>
        <v/>
      </c>
      <c r="AD19">
        <f>HYPERLINK("https://klasma.github.io/Logging_1904/tillsynsmail/A 39619-2026 tillsynsbegäran mail.docx", "A 39619-2026")</f>
        <v/>
      </c>
    </row>
    <row r="20" ht="15" customHeight="1">
      <c r="A20" t="inlineStr">
        <is>
          <t>A 19656-2025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45770</v>
      </c>
      <c r="E20" s="1" t="n">
        <v>46326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3.8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Rynkskinn
Ullticka
Brandticka</t>
        </is>
      </c>
      <c r="W20">
        <f>HYPERLINK("https://klasma.github.io/Logging_1904/artfynd/A 19656-2025 artfynd.xlsx", "A 19656-2025")</f>
        <v/>
      </c>
      <c r="X20">
        <f>HYPERLINK("https://klasma.github.io/Logging_1904/kartor/A 19656-2025 karta.png", "A 19656-2025")</f>
        <v/>
      </c>
      <c r="Y20">
        <f>HYPERLINK("https://klasma.github.io/Logging_1904/kartor_geotiff/A 19656-2025 georefererad karta.tif", "A 19656-2025")</f>
        <v/>
      </c>
      <c r="AA20">
        <f>HYPERLINK("https://klasma.github.io/Logging_1904/klagomål/A 19656-2025 FSC-klagomål.docx", "A 19656-2025")</f>
        <v/>
      </c>
      <c r="AB20">
        <f>HYPERLINK("https://klasma.github.io/Logging_1904/klagomålsmail/A 19656-2025 FSC-klagomål mail.docx", "A 19656-2025")</f>
        <v/>
      </c>
      <c r="AC20">
        <f>HYPERLINK("https://klasma.github.io/Logging_1904/tillsyn/A 19656-2025 tillsynsbegäran.docx", "A 19656-2025")</f>
        <v/>
      </c>
      <c r="AD20">
        <f>HYPERLINK("https://klasma.github.io/Logging_1904/tillsynsmail/A 19656-2025 tillsynsbegäran mail.docx", "A 19656-2025")</f>
        <v/>
      </c>
    </row>
    <row r="21" ht="15" customHeight="1">
      <c r="A21" t="inlineStr">
        <is>
          <t>A 13715-2024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45390</v>
      </c>
      <c r="E21" s="1" t="n">
        <v>46326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2.2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4</v>
      </c>
      <c r="V21" s="2" t="inlineStr">
        <is>
          <t>Krusfrö
Järpe
Tjäder</t>
        </is>
      </c>
      <c r="W21">
        <f>HYPERLINK("https://klasma.github.io/Logging_1904/artfynd/A 13715-2024 artfynd.xlsx", "A 13715-2024")</f>
        <v/>
      </c>
      <c r="X21">
        <f>HYPERLINK("https://klasma.github.io/Logging_1904/kartor/A 13715-2024 karta.png", "A 13715-2024")</f>
        <v/>
      </c>
      <c r="Y21">
        <f>HYPERLINK("https://klasma.github.io/Logging_1904/kartor_geotiff/A 13715-2024 georefererad karta.tif", "A 13715-2024")</f>
        <v/>
      </c>
      <c r="AA21">
        <f>HYPERLINK("https://klasma.github.io/Logging_1904/klagomål/A 13715-2024 FSC-klagomål.docx", "A 13715-2024")</f>
        <v/>
      </c>
      <c r="AB21">
        <f>HYPERLINK("https://klasma.github.io/Logging_1904/klagomålsmail/A 13715-2024 FSC-klagomål mail.docx", "A 13715-2024")</f>
        <v/>
      </c>
      <c r="AC21">
        <f>HYPERLINK("https://klasma.github.io/Logging_1904/tillsyn/A 13715-2024 tillsynsbegäran.docx", "A 13715-2024")</f>
        <v/>
      </c>
      <c r="AD21">
        <f>HYPERLINK("https://klasma.github.io/Logging_1904/tillsynsmail/A 13715-2024 tillsynsbegäran mail.docx", "A 13715-2024")</f>
        <v/>
      </c>
      <c r="AE21">
        <f>HYPERLINK("https://klasma.github.io/Logging_1904/fåglar/A 13715-2024 prioriterade fågelarter.docx", "A 13715-2024")</f>
        <v/>
      </c>
    </row>
    <row r="22" ht="15" customHeight="1">
      <c r="A22" t="inlineStr">
        <is>
          <t>A 58355-2025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45985</v>
      </c>
      <c r="E22" s="1" t="n">
        <v>46326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1.9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t="n">
        <v>4</v>
      </c>
      <c r="V22" s="2" t="inlineStr">
        <is>
          <t>Brunpudrad nållav
Vedtrappmossa
Brandticka</t>
        </is>
      </c>
      <c r="W22">
        <f>HYPERLINK("https://klasma.github.io/Logging_1904/artfynd/A 58355-2025 artfynd.xlsx", "A 58355-2025")</f>
        <v/>
      </c>
      <c r="X22">
        <f>HYPERLINK("https://klasma.github.io/Logging_1904/kartor/A 58355-2025 karta.png", "A 58355-2025")</f>
        <v/>
      </c>
      <c r="Y22">
        <f>HYPERLINK("https://klasma.github.io/Logging_1904/kartor_geotiff/A 58355-2025 georefererad karta.tif", "A 58355-2025")</f>
        <v/>
      </c>
      <c r="AA22">
        <f>HYPERLINK("https://klasma.github.io/Logging_1904/klagomål/A 58355-2025 FSC-klagomål.docx", "A 58355-2025")</f>
        <v/>
      </c>
      <c r="AB22">
        <f>HYPERLINK("https://klasma.github.io/Logging_1904/klagomålsmail/A 58355-2025 FSC-klagomål mail.docx", "A 58355-2025")</f>
        <v/>
      </c>
      <c r="AC22">
        <f>HYPERLINK("https://klasma.github.io/Logging_1904/tillsyn/A 58355-2025 tillsynsbegäran.docx", "A 58355-2025")</f>
        <v/>
      </c>
      <c r="AD22">
        <f>HYPERLINK("https://klasma.github.io/Logging_1904/tillsynsmail/A 58355-2025 tillsynsbegäran mail.docx", "A 58355-2025")</f>
        <v/>
      </c>
    </row>
    <row r="23" ht="15" customHeight="1">
      <c r="A23" t="inlineStr">
        <is>
          <t>A 18515-2024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46326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Plattlummer
Fläcknycklar
Revlummer</t>
        </is>
      </c>
      <c r="W23">
        <f>HYPERLINK("https://klasma.github.io/Logging_1904/artfynd/A 18515-2024 artfynd.xlsx", "A 18515-2024")</f>
        <v/>
      </c>
      <c r="X23">
        <f>HYPERLINK("https://klasma.github.io/Logging_1904/kartor/A 18515-2024 karta.png", "A 18515-2024")</f>
        <v/>
      </c>
      <c r="Y23">
        <f>HYPERLINK("https://klasma.github.io/Logging_1904/kartor_geotiff/A 18515-2024 georefererad karta.tif", "A 18515-2024")</f>
        <v/>
      </c>
      <c r="AA23">
        <f>HYPERLINK("https://klasma.github.io/Logging_1904/klagomål/A 18515-2024 FSC-klagomål.docx", "A 18515-2024")</f>
        <v/>
      </c>
      <c r="AB23">
        <f>HYPERLINK("https://klasma.github.io/Logging_1904/klagomålsmail/A 18515-2024 FSC-klagomål mail.docx", "A 18515-2024")</f>
        <v/>
      </c>
      <c r="AC23">
        <f>HYPERLINK("https://klasma.github.io/Logging_1904/tillsyn/A 18515-2024 tillsynsbegäran.docx", "A 18515-2024")</f>
        <v/>
      </c>
      <c r="AD23">
        <f>HYPERLINK("https://klasma.github.io/Logging_1904/tillsynsmail/A 18515-2024 tillsynsbegäran mail.docx", "A 18515-2024")</f>
        <v/>
      </c>
    </row>
    <row r="24" ht="15" customHeight="1">
      <c r="A24" t="inlineStr">
        <is>
          <t>A 21846-2026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46150</v>
      </c>
      <c r="E24" s="1" t="n">
        <v>46326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Gränsticka
Brunpudrad nållav
Vedtrappmossa</t>
        </is>
      </c>
      <c r="W24">
        <f>HYPERLINK("https://klasma.github.io/Logging_1904/artfynd/A 21846-2026 artfynd.xlsx", "A 21846-2026")</f>
        <v/>
      </c>
      <c r="X24">
        <f>HYPERLINK("https://klasma.github.io/Logging_1904/kartor/A 21846-2026 karta.png", "A 21846-2026")</f>
        <v/>
      </c>
      <c r="Y24">
        <f>HYPERLINK("https://klasma.github.io/Logging_1904/kartor_geotiff/A 21846-2026 georefererad karta.tif", "A 21846-2026")</f>
        <v/>
      </c>
      <c r="AA24">
        <f>HYPERLINK("https://klasma.github.io/Logging_1904/klagomål/A 21846-2026 FSC-klagomål.docx", "A 21846-2026")</f>
        <v/>
      </c>
      <c r="AB24">
        <f>HYPERLINK("https://klasma.github.io/Logging_1904/klagomålsmail/A 21846-2026 FSC-klagomål mail.docx", "A 21846-2026")</f>
        <v/>
      </c>
      <c r="AC24">
        <f>HYPERLINK("https://klasma.github.io/Logging_1904/tillsyn/A 21846-2026 tillsynsbegäran.docx", "A 21846-2026")</f>
        <v/>
      </c>
      <c r="AD24">
        <f>HYPERLINK("https://klasma.github.io/Logging_1904/tillsynsmail/A 21846-2026 tillsynsbegäran mail.docx", "A 21846-2026")</f>
        <v/>
      </c>
    </row>
    <row r="25" ht="15" customHeight="1">
      <c r="A25" t="inlineStr">
        <is>
          <t>A 44698-2024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45574</v>
      </c>
      <c r="E25" s="1" t="n">
        <v>46326</v>
      </c>
      <c r="F25" t="inlineStr">
        <is>
          <t>VÄSTMANLANDS LÄN</t>
        </is>
      </c>
      <c r="G25" t="inlineStr">
        <is>
          <t>SKINNSKATTEBERG</t>
        </is>
      </c>
      <c r="I25" t="n">
        <v>1.3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Hässleklocka
Tibast
Gullviva</t>
        </is>
      </c>
      <c r="W25">
        <f>HYPERLINK("https://klasma.github.io/Logging_1904/artfynd/A 44698-2024 artfynd.xlsx", "A 44698-2024")</f>
        <v/>
      </c>
      <c r="X25">
        <f>HYPERLINK("https://klasma.github.io/Logging_1904/kartor/A 44698-2024 karta.png", "A 44698-2024")</f>
        <v/>
      </c>
      <c r="Y25">
        <f>HYPERLINK("https://klasma.github.io/Logging_1904/kartor_geotiff/A 44698-2024 georefererad karta.tif", "A 44698-2024")</f>
        <v/>
      </c>
      <c r="AA25">
        <f>HYPERLINK("https://klasma.github.io/Logging_1904/klagomål/A 44698-2024 FSC-klagomål.docx", "A 44698-2024")</f>
        <v/>
      </c>
      <c r="AB25">
        <f>HYPERLINK("https://klasma.github.io/Logging_1904/klagomålsmail/A 44698-2024 FSC-klagomål mail.docx", "A 44698-2024")</f>
        <v/>
      </c>
      <c r="AC25">
        <f>HYPERLINK("https://klasma.github.io/Logging_1904/tillsyn/A 44698-2024 tillsynsbegäran.docx", "A 44698-2024")</f>
        <v/>
      </c>
      <c r="AD25">
        <f>HYPERLINK("https://klasma.github.io/Logging_1904/tillsynsmail/A 44698-2024 tillsynsbegäran mail.docx", "A 44698-2024")</f>
        <v/>
      </c>
    </row>
    <row r="26" ht="15" customHeight="1">
      <c r="A26" t="inlineStr">
        <is>
          <t>A 39622-2026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46326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1.5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Motaggsvamp
Orange taggsvamp
Zontaggsvamp</t>
        </is>
      </c>
      <c r="W26">
        <f>HYPERLINK("https://klasma.github.io/Logging_1904/artfynd/A 39622-2026 artfynd.xlsx", "A 39622-2026")</f>
        <v/>
      </c>
      <c r="X26">
        <f>HYPERLINK("https://klasma.github.io/Logging_1904/kartor/A 39622-2026 karta.png", "A 39622-2026")</f>
        <v/>
      </c>
      <c r="Y26">
        <f>HYPERLINK("https://klasma.github.io/Logging_1904/kartor_geotiff/A 39622-2026 georefererad karta.tif", "A 39622-2026")</f>
        <v/>
      </c>
      <c r="AA26">
        <f>HYPERLINK("https://klasma.github.io/Logging_1904/klagomål/A 39622-2026 FSC-klagomål.docx", "A 39622-2026")</f>
        <v/>
      </c>
      <c r="AB26">
        <f>HYPERLINK("https://klasma.github.io/Logging_1904/klagomålsmail/A 39622-2026 FSC-klagomål mail.docx", "A 39622-2026")</f>
        <v/>
      </c>
      <c r="AC26">
        <f>HYPERLINK("https://klasma.github.io/Logging_1904/tillsyn/A 39622-2026 tillsynsbegäran.docx", "A 39622-2026")</f>
        <v/>
      </c>
      <c r="AD26">
        <f>HYPERLINK("https://klasma.github.io/Logging_1904/tillsynsmail/A 39622-2026 tillsynsbegäran mail.docx", "A 39622-2026")</f>
        <v/>
      </c>
    </row>
    <row r="27" ht="15" customHeight="1">
      <c r="A27" t="inlineStr">
        <is>
          <t>A 44409-2026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46321</v>
      </c>
      <c r="E27" s="1" t="n">
        <v>46326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2.7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Motaggsvamp
Svartvit taggsvamp
Rökmusseron</t>
        </is>
      </c>
      <c r="W27">
        <f>HYPERLINK("https://klasma.github.io/Logging_1904/artfynd/A 44409-2026 artfynd.xlsx", "A 44409-2026")</f>
        <v/>
      </c>
      <c r="X27">
        <f>HYPERLINK("https://klasma.github.io/Logging_1904/kartor/A 44409-2026 karta.png", "A 44409-2026")</f>
        <v/>
      </c>
      <c r="Y27">
        <f>HYPERLINK("https://klasma.github.io/Logging_1904/kartor_geotiff/A 44409-2026 georefererad karta.tif", "A 44409-2026")</f>
        <v/>
      </c>
      <c r="AA27">
        <f>HYPERLINK("https://klasma.github.io/Logging_1904/klagomål/A 44409-2026 FSC-klagomål.docx", "A 44409-2026")</f>
        <v/>
      </c>
      <c r="AB27">
        <f>HYPERLINK("https://klasma.github.io/Logging_1904/klagomålsmail/A 44409-2026 FSC-klagomål mail.docx", "A 44409-2026")</f>
        <v/>
      </c>
      <c r="AC27">
        <f>HYPERLINK("https://klasma.github.io/Logging_1904/tillsyn/A 44409-2026 tillsynsbegäran.docx", "A 44409-2026")</f>
        <v/>
      </c>
      <c r="AD27">
        <f>HYPERLINK("https://klasma.github.io/Logging_1904/tillsynsmail/A 44409-2026 tillsynsbegäran mail.docx", "A 44409-2026")</f>
        <v/>
      </c>
    </row>
    <row r="28" ht="15" customHeight="1">
      <c r="A28" t="inlineStr">
        <is>
          <t>A 36596-2024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45537</v>
      </c>
      <c r="E28" s="1" t="n">
        <v>46326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0.8</v>
      </c>
      <c r="J28" t="n">
        <v>0</v>
      </c>
      <c r="K28" t="n">
        <v>0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3</v>
      </c>
      <c r="U28" t="n">
        <v>3</v>
      </c>
      <c r="V28" s="2" t="inlineStr">
        <is>
          <t>Jättemusseron
Lakritsmusseron</t>
        </is>
      </c>
      <c r="W28">
        <f>HYPERLINK("https://klasma.github.io/Logging_1904/artfynd/A 36596-2024 artfynd.xlsx", "A 36596-2024")</f>
        <v/>
      </c>
      <c r="X28">
        <f>HYPERLINK("https://klasma.github.io/Logging_1904/kartor/A 36596-2024 karta.png", "A 36596-2024")</f>
        <v/>
      </c>
      <c r="Y28">
        <f>HYPERLINK("https://klasma.github.io/Logging_1904/kartor_geotiff/A 36596-2024 georefererad karta.tif", "A 36596-2024")</f>
        <v/>
      </c>
      <c r="AA28">
        <f>HYPERLINK("https://klasma.github.io/Logging_1904/klagomål/A 36596-2024 FSC-klagomål.docx", "A 36596-2024")</f>
        <v/>
      </c>
      <c r="AB28">
        <f>HYPERLINK("https://klasma.github.io/Logging_1904/klagomålsmail/A 36596-2024 FSC-klagomål mail.docx", "A 36596-2024")</f>
        <v/>
      </c>
      <c r="AC28">
        <f>HYPERLINK("https://klasma.github.io/Logging_1904/tillsyn/A 36596-2024 tillsynsbegäran.docx", "A 36596-2024")</f>
        <v/>
      </c>
      <c r="AD28">
        <f>HYPERLINK("https://klasma.github.io/Logging_1904/tillsynsmail/A 36596-2024 tillsynsbegäran mail.docx", "A 36596-2024")</f>
        <v/>
      </c>
    </row>
    <row r="29" ht="15" customHeight="1">
      <c r="A29" t="inlineStr">
        <is>
          <t>A 18416-2025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45762</v>
      </c>
      <c r="E29" s="1" t="n">
        <v>46326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2.7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Stubbspretmossa
Svart trolldruva</t>
        </is>
      </c>
      <c r="W29">
        <f>HYPERLINK("https://klasma.github.io/Logging_1904/artfynd/A 18416-2025 artfynd.xlsx", "A 18416-2025")</f>
        <v/>
      </c>
      <c r="X29">
        <f>HYPERLINK("https://klasma.github.io/Logging_1904/kartor/A 18416-2025 karta.png", "A 18416-2025")</f>
        <v/>
      </c>
      <c r="Y29">
        <f>HYPERLINK("https://klasma.github.io/Logging_1904/kartor_geotiff/A 18416-2025 georefererad karta.tif", "A 18416-2025")</f>
        <v/>
      </c>
      <c r="AA29">
        <f>HYPERLINK("https://klasma.github.io/Logging_1904/klagomål/A 18416-2025 FSC-klagomål.docx", "A 18416-2025")</f>
        <v/>
      </c>
      <c r="AB29">
        <f>HYPERLINK("https://klasma.github.io/Logging_1904/klagomålsmail/A 18416-2025 FSC-klagomål mail.docx", "A 18416-2025")</f>
        <v/>
      </c>
      <c r="AC29">
        <f>HYPERLINK("https://klasma.github.io/Logging_1904/tillsyn/A 18416-2025 tillsynsbegäran.docx", "A 18416-2025")</f>
        <v/>
      </c>
      <c r="AD29">
        <f>HYPERLINK("https://klasma.github.io/Logging_1904/tillsynsmail/A 18416-2025 tillsynsbegäran mail.docx", "A 18416-2025")</f>
        <v/>
      </c>
    </row>
    <row r="30" ht="15" customHeight="1">
      <c r="A30" t="inlineStr">
        <is>
          <t>A 39618-2026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46326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4.3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Raggbock
Motaggsvamp</t>
        </is>
      </c>
      <c r="W30">
        <f>HYPERLINK("https://klasma.github.io/Logging_1904/artfynd/A 39618-2026 artfynd.xlsx", "A 39618-2026")</f>
        <v/>
      </c>
      <c r="X30">
        <f>HYPERLINK("https://klasma.github.io/Logging_1904/kartor/A 39618-2026 karta.png", "A 39618-2026")</f>
        <v/>
      </c>
      <c r="Y30">
        <f>HYPERLINK("https://klasma.github.io/Logging_1904/kartor_geotiff/A 39618-2026 georefererad karta.tif", "A 39618-2026")</f>
        <v/>
      </c>
      <c r="AA30">
        <f>HYPERLINK("https://klasma.github.io/Logging_1904/klagomål/A 39618-2026 FSC-klagomål.docx", "A 39618-2026")</f>
        <v/>
      </c>
      <c r="AB30">
        <f>HYPERLINK("https://klasma.github.io/Logging_1904/klagomålsmail/A 39618-2026 FSC-klagomål mail.docx", "A 39618-2026")</f>
        <v/>
      </c>
      <c r="AC30">
        <f>HYPERLINK("https://klasma.github.io/Logging_1904/tillsyn/A 39618-2026 tillsynsbegäran.docx", "A 39618-2026")</f>
        <v/>
      </c>
      <c r="AD30">
        <f>HYPERLINK("https://klasma.github.io/Logging_1904/tillsynsmail/A 39618-2026 tillsynsbegäran mail.docx", "A 39618-2026")</f>
        <v/>
      </c>
    </row>
    <row r="31" ht="15" customHeight="1">
      <c r="A31" t="inlineStr">
        <is>
          <t>A 16910-2025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45755</v>
      </c>
      <c r="E31" s="1" t="n">
        <v>46326</v>
      </c>
      <c r="F31" t="inlineStr">
        <is>
          <t>VÄSTMANLANDS LÄN</t>
        </is>
      </c>
      <c r="G31" t="inlineStr">
        <is>
          <t>SKINNSKATTEBERG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Vedtrappmossa
Fläcknycklar</t>
        </is>
      </c>
      <c r="W31">
        <f>HYPERLINK("https://klasma.github.io/Logging_1904/artfynd/A 16910-2025 artfynd.xlsx", "A 16910-2025")</f>
        <v/>
      </c>
      <c r="X31">
        <f>HYPERLINK("https://klasma.github.io/Logging_1904/kartor/A 16910-2025 karta.png", "A 16910-2025")</f>
        <v/>
      </c>
      <c r="Y31">
        <f>HYPERLINK("https://klasma.github.io/Logging_1904/kartor_geotiff/A 16910-2025 georefererad karta.tif", "A 16910-2025")</f>
        <v/>
      </c>
      <c r="AA31">
        <f>HYPERLINK("https://klasma.github.io/Logging_1904/klagomål/A 16910-2025 FSC-klagomål.docx", "A 16910-2025")</f>
        <v/>
      </c>
      <c r="AB31">
        <f>HYPERLINK("https://klasma.github.io/Logging_1904/klagomålsmail/A 16910-2025 FSC-klagomål mail.docx", "A 16910-2025")</f>
        <v/>
      </c>
      <c r="AC31">
        <f>HYPERLINK("https://klasma.github.io/Logging_1904/tillsyn/A 16910-2025 tillsynsbegäran.docx", "A 16910-2025")</f>
        <v/>
      </c>
      <c r="AD31">
        <f>HYPERLINK("https://klasma.github.io/Logging_1904/tillsynsmail/A 16910-2025 tillsynsbegäran mail.docx", "A 16910-2025")</f>
        <v/>
      </c>
    </row>
    <row r="32" ht="15" customHeight="1">
      <c r="A32" t="inlineStr">
        <is>
          <t>A 44412-2026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46321</v>
      </c>
      <c r="E32" s="1" t="n">
        <v>46326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4.1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Vätteros
Revlummer</t>
        </is>
      </c>
      <c r="W32">
        <f>HYPERLINK("https://klasma.github.io/Logging_1904/artfynd/A 44412-2026 artfynd.xlsx", "A 44412-2026")</f>
        <v/>
      </c>
      <c r="X32">
        <f>HYPERLINK("https://klasma.github.io/Logging_1904/kartor/A 44412-2026 karta.png", "A 44412-2026")</f>
        <v/>
      </c>
      <c r="Y32">
        <f>HYPERLINK("https://klasma.github.io/Logging_1904/kartor_geotiff/A 44412-2026 georefererad karta.tif", "A 44412-2026")</f>
        <v/>
      </c>
      <c r="AA32">
        <f>HYPERLINK("https://klasma.github.io/Logging_1904/klagomål/A 44412-2026 FSC-klagomål.docx", "A 44412-2026")</f>
        <v/>
      </c>
      <c r="AB32">
        <f>HYPERLINK("https://klasma.github.io/Logging_1904/klagomålsmail/A 44412-2026 FSC-klagomål mail.docx", "A 44412-2026")</f>
        <v/>
      </c>
      <c r="AC32">
        <f>HYPERLINK("https://klasma.github.io/Logging_1904/tillsyn/A 44412-2026 tillsynsbegäran.docx", "A 44412-2026")</f>
        <v/>
      </c>
      <c r="AD32">
        <f>HYPERLINK("https://klasma.github.io/Logging_1904/tillsynsmail/A 44412-2026 tillsynsbegäran mail.docx", "A 44412-2026")</f>
        <v/>
      </c>
    </row>
    <row r="33" ht="15" customHeight="1">
      <c r="A33" t="inlineStr">
        <is>
          <t>A 41868-2022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44829</v>
      </c>
      <c r="E33" s="1" t="n">
        <v>46326</v>
      </c>
      <c r="F33" t="inlineStr">
        <is>
          <t>VÄSTMANLANDS LÄN</t>
        </is>
      </c>
      <c r="G33" t="inlineStr">
        <is>
          <t>SKINNSKATTEBERG</t>
        </is>
      </c>
      <c r="I33" t="n">
        <v>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HYPERLINK("https://klasma.github.io/Logging_1904/artfynd/A 41868-2022 artfynd.xlsx", "A 41868-2022")</f>
        <v/>
      </c>
      <c r="X33">
        <f>HYPERLINK("https://klasma.github.io/Logging_1904/kartor/A 41868-2022 karta.png", "A 41868-2022")</f>
        <v/>
      </c>
      <c r="Y33">
        <f>HYPERLINK("https://klasma.github.io/Logging_1904/kartor_geotiff/A 41868-2022 georefererad karta.tif", "A 41868-2022")</f>
        <v/>
      </c>
      <c r="AA33">
        <f>HYPERLINK("https://klasma.github.io/Logging_1904/klagomål/A 41868-2022 FSC-klagomål.docx", "A 41868-2022")</f>
        <v/>
      </c>
      <c r="AB33">
        <f>HYPERLINK("https://klasma.github.io/Logging_1904/klagomålsmail/A 41868-2022 FSC-klagomål mail.docx", "A 41868-2022")</f>
        <v/>
      </c>
      <c r="AC33">
        <f>HYPERLINK("https://klasma.github.io/Logging_1904/tillsyn/A 41868-2022 tillsynsbegäran.docx", "A 41868-2022")</f>
        <v/>
      </c>
      <c r="AD33">
        <f>HYPERLINK("https://klasma.github.io/Logging_1904/tillsynsmail/A 41868-2022 tillsynsbegäran mail.docx", "A 41868-2022")</f>
        <v/>
      </c>
    </row>
    <row r="34" ht="15" customHeight="1">
      <c r="A34" t="inlineStr">
        <is>
          <t>A 12887-2024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45385</v>
      </c>
      <c r="E34" s="1" t="n">
        <v>46326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Sparvuggla</t>
        </is>
      </c>
      <c r="W34">
        <f>HYPERLINK("https://klasma.github.io/Logging_1904/artfynd/A 12887-2024 artfynd.xlsx", "A 12887-2024")</f>
        <v/>
      </c>
      <c r="X34">
        <f>HYPERLINK("https://klasma.github.io/Logging_1904/kartor/A 12887-2024 karta.png", "A 12887-2024")</f>
        <v/>
      </c>
      <c r="Y34">
        <f>HYPERLINK("https://klasma.github.io/Logging_1904/kartor_geotiff/A 12887-2024 georefererad karta.tif", "A 12887-2024")</f>
        <v/>
      </c>
      <c r="AA34">
        <f>HYPERLINK("https://klasma.github.io/Logging_1904/klagomål/A 12887-2024 FSC-klagomål.docx", "A 12887-2024")</f>
        <v/>
      </c>
      <c r="AB34">
        <f>HYPERLINK("https://klasma.github.io/Logging_1904/klagomålsmail/A 12887-2024 FSC-klagomål mail.docx", "A 12887-2024")</f>
        <v/>
      </c>
      <c r="AC34">
        <f>HYPERLINK("https://klasma.github.io/Logging_1904/tillsyn/A 12887-2024 tillsynsbegäran.docx", "A 12887-2024")</f>
        <v/>
      </c>
      <c r="AD34">
        <f>HYPERLINK("https://klasma.github.io/Logging_1904/tillsynsmail/A 12887-2024 tillsynsbegäran mail.docx", "A 12887-2024")</f>
        <v/>
      </c>
      <c r="AE34">
        <f>HYPERLINK("https://klasma.github.io/Logging_1904/fåglar/A 12887-2024 prioriterade fågelarter.docx", "A 12887-2024")</f>
        <v/>
      </c>
    </row>
    <row r="35" ht="15" customHeight="1">
      <c r="A35" t="inlineStr">
        <is>
          <t>A 54296-2023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46326</v>
      </c>
      <c r="F35" t="inlineStr">
        <is>
          <t>VÄSTMANLANDS LÄN</t>
        </is>
      </c>
      <c r="G35" t="inlineStr">
        <is>
          <t>SKINNSKATTEBERG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HYPERLINK("https://klasma.github.io/Logging_1904/artfynd/A 54296-2023 artfynd.xlsx", "A 54296-2023")</f>
        <v/>
      </c>
      <c r="X35">
        <f>HYPERLINK("https://klasma.github.io/Logging_1904/kartor/A 54296-2023 karta.png", "A 54296-2023")</f>
        <v/>
      </c>
      <c r="Y35">
        <f>HYPERLINK("https://klasma.github.io/Logging_1904/kartor_geotiff/A 54296-2023 georefererad karta.tif", "A 54296-2023")</f>
        <v/>
      </c>
      <c r="AA35">
        <f>HYPERLINK("https://klasma.github.io/Logging_1904/klagomål/A 54296-2023 FSC-klagomål.docx", "A 54296-2023")</f>
        <v/>
      </c>
      <c r="AB35">
        <f>HYPERLINK("https://klasma.github.io/Logging_1904/klagomålsmail/A 54296-2023 FSC-klagomål mail.docx", "A 54296-2023")</f>
        <v/>
      </c>
      <c r="AC35">
        <f>HYPERLINK("https://klasma.github.io/Logging_1904/tillsyn/A 54296-2023 tillsynsbegäran.docx", "A 54296-2023")</f>
        <v/>
      </c>
      <c r="AD35">
        <f>HYPERLINK("https://klasma.github.io/Logging_1904/tillsynsmail/A 54296-2023 tillsynsbegäran mail.docx", "A 54296-2023")</f>
        <v/>
      </c>
    </row>
    <row r="36" ht="15" customHeight="1">
      <c r="A36" t="inlineStr">
        <is>
          <t>A 31006-2025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45832</v>
      </c>
      <c r="E36" s="1" t="n">
        <v>46326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HYPERLINK("https://klasma.github.io/Logging_1904/artfynd/A 31006-2025 artfynd.xlsx", "A 31006-2025")</f>
        <v/>
      </c>
      <c r="X36">
        <f>HYPERLINK("https://klasma.github.io/Logging_1904/kartor/A 31006-2025 karta.png", "A 31006-2025")</f>
        <v/>
      </c>
      <c r="Y36">
        <f>HYPERLINK("https://klasma.github.io/Logging_1904/kartor_geotiff/A 31006-2025 georefererad karta.tif", "A 31006-2025")</f>
        <v/>
      </c>
      <c r="AA36">
        <f>HYPERLINK("https://klasma.github.io/Logging_1904/klagomål/A 31006-2025 FSC-klagomål.docx", "A 31006-2025")</f>
        <v/>
      </c>
      <c r="AB36">
        <f>HYPERLINK("https://klasma.github.io/Logging_1904/klagomålsmail/A 31006-2025 FSC-klagomål mail.docx", "A 31006-2025")</f>
        <v/>
      </c>
      <c r="AC36">
        <f>HYPERLINK("https://klasma.github.io/Logging_1904/tillsyn/A 31006-2025 tillsynsbegäran.docx", "A 31006-2025")</f>
        <v/>
      </c>
      <c r="AD36">
        <f>HYPERLINK("https://klasma.github.io/Logging_1904/tillsynsmail/A 31006-2025 tillsynsbegäran mail.docx", "A 31006-2025")</f>
        <v/>
      </c>
      <c r="AE36">
        <f>HYPERLINK("https://klasma.github.io/Logging_1904/fåglar/A 31006-2025 prioriterade fågelarter.docx", "A 31006-2025")</f>
        <v/>
      </c>
    </row>
    <row r="37" ht="15" customHeight="1">
      <c r="A37" t="inlineStr">
        <is>
          <t>A 57747-2023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45246</v>
      </c>
      <c r="E37" s="1" t="n">
        <v>46326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Myopa fasciata</t>
        </is>
      </c>
      <c r="W37">
        <f>HYPERLINK("https://klasma.github.io/Logging_1904/artfynd/A 57747-2023 artfynd.xlsx", "A 57747-2023")</f>
        <v/>
      </c>
      <c r="X37">
        <f>HYPERLINK("https://klasma.github.io/Logging_1904/kartor/A 57747-2023 karta.png", "A 57747-2023")</f>
        <v/>
      </c>
      <c r="Y37">
        <f>HYPERLINK("https://klasma.github.io/Logging_1904/kartor_geotiff/A 57747-2023 georefererad karta.tif", "A 57747-2023")</f>
        <v/>
      </c>
      <c r="AA37">
        <f>HYPERLINK("https://klasma.github.io/Logging_1904/klagomål/A 57747-2023 FSC-klagomål.docx", "A 57747-2023")</f>
        <v/>
      </c>
      <c r="AB37">
        <f>HYPERLINK("https://klasma.github.io/Logging_1904/klagomålsmail/A 57747-2023 FSC-klagomål mail.docx", "A 57747-2023")</f>
        <v/>
      </c>
      <c r="AC37">
        <f>HYPERLINK("https://klasma.github.io/Logging_1904/tillsyn/A 57747-2023 tillsynsbegäran.docx", "A 57747-2023")</f>
        <v/>
      </c>
      <c r="AD37">
        <f>HYPERLINK("https://klasma.github.io/Logging_1904/tillsynsmail/A 57747-2023 tillsynsbegäran mail.docx", "A 57747-2023")</f>
        <v/>
      </c>
    </row>
    <row r="38" ht="15" customHeight="1">
      <c r="A38" t="inlineStr">
        <is>
          <t>A 49630-2024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46326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7.3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HYPERLINK("https://klasma.github.io/Logging_1904/artfynd/A 49630-2024 artfynd.xlsx", "A 49630-2024")</f>
        <v/>
      </c>
      <c r="X38">
        <f>HYPERLINK("https://klasma.github.io/Logging_1904/kartor/A 49630-2024 karta.png", "A 49630-2024")</f>
        <v/>
      </c>
      <c r="Y38">
        <f>HYPERLINK("https://klasma.github.io/Logging_1904/kartor_geotiff/A 49630-2024 georefererad karta.tif", "A 49630-2024")</f>
        <v/>
      </c>
      <c r="AA38">
        <f>HYPERLINK("https://klasma.github.io/Logging_1904/klagomål/A 49630-2024 FSC-klagomål.docx", "A 49630-2024")</f>
        <v/>
      </c>
      <c r="AB38">
        <f>HYPERLINK("https://klasma.github.io/Logging_1904/klagomålsmail/A 49630-2024 FSC-klagomål mail.docx", "A 49630-2024")</f>
        <v/>
      </c>
      <c r="AC38">
        <f>HYPERLINK("https://klasma.github.io/Logging_1904/tillsyn/A 49630-2024 tillsynsbegäran.docx", "A 49630-2024")</f>
        <v/>
      </c>
      <c r="AD38">
        <f>HYPERLINK("https://klasma.github.io/Logging_1904/tillsynsmail/A 49630-2024 tillsynsbegäran mail.docx", "A 49630-2024")</f>
        <v/>
      </c>
    </row>
    <row r="39" ht="15" customHeight="1">
      <c r="A39" t="inlineStr">
        <is>
          <t>A 19205-2024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46326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Järpe</t>
        </is>
      </c>
      <c r="W39">
        <f>HYPERLINK("https://klasma.github.io/Logging_1904/artfynd/A 19205-2024 artfynd.xlsx", "A 19205-2024")</f>
        <v/>
      </c>
      <c r="X39">
        <f>HYPERLINK("https://klasma.github.io/Logging_1904/kartor/A 19205-2024 karta.png", "A 19205-2024")</f>
        <v/>
      </c>
      <c r="Y39">
        <f>HYPERLINK("https://klasma.github.io/Logging_1904/kartor_geotiff/A 19205-2024 georefererad karta.tif", "A 19205-2024")</f>
        <v/>
      </c>
      <c r="AA39">
        <f>HYPERLINK("https://klasma.github.io/Logging_1904/klagomål/A 19205-2024 FSC-klagomål.docx", "A 19205-2024")</f>
        <v/>
      </c>
      <c r="AB39">
        <f>HYPERLINK("https://klasma.github.io/Logging_1904/klagomålsmail/A 19205-2024 FSC-klagomål mail.docx", "A 19205-2024")</f>
        <v/>
      </c>
      <c r="AC39">
        <f>HYPERLINK("https://klasma.github.io/Logging_1904/tillsyn/A 19205-2024 tillsynsbegäran.docx", "A 19205-2024")</f>
        <v/>
      </c>
      <c r="AD39">
        <f>HYPERLINK("https://klasma.github.io/Logging_1904/tillsynsmail/A 19205-2024 tillsynsbegäran mail.docx", "A 19205-2024")</f>
        <v/>
      </c>
      <c r="AE39">
        <f>HYPERLINK("https://klasma.github.io/Logging_1904/fåglar/A 19205-2024 prioriterade fågelarter.docx", "A 19205-2024")</f>
        <v/>
      </c>
    </row>
    <row r="40" ht="15" customHeight="1">
      <c r="A40" t="inlineStr">
        <is>
          <t>A 15734-2026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46107</v>
      </c>
      <c r="E40" s="1" t="n">
        <v>46326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Koppartaggsvamp</t>
        </is>
      </c>
      <c r="W40">
        <f>HYPERLINK("https://klasma.github.io/Logging_1904/artfynd/A 15734-2026 artfynd.xlsx", "A 15734-2026")</f>
        <v/>
      </c>
      <c r="X40">
        <f>HYPERLINK("https://klasma.github.io/Logging_1904/kartor/A 15734-2026 karta.png", "A 15734-2026")</f>
        <v/>
      </c>
      <c r="Y40">
        <f>HYPERLINK("https://klasma.github.io/Logging_1904/kartor_geotiff/A 15734-2026 georefererad karta.tif", "A 15734-2026")</f>
        <v/>
      </c>
      <c r="AA40">
        <f>HYPERLINK("https://klasma.github.io/Logging_1904/klagomål/A 15734-2026 FSC-klagomål.docx", "A 15734-2026")</f>
        <v/>
      </c>
      <c r="AB40">
        <f>HYPERLINK("https://klasma.github.io/Logging_1904/klagomålsmail/A 15734-2026 FSC-klagomål mail.docx", "A 15734-2026")</f>
        <v/>
      </c>
      <c r="AC40">
        <f>HYPERLINK("https://klasma.github.io/Logging_1904/tillsyn/A 15734-2026 tillsynsbegäran.docx", "A 15734-2026")</f>
        <v/>
      </c>
      <c r="AD40">
        <f>HYPERLINK("https://klasma.github.io/Logging_1904/tillsynsmail/A 15734-2026 tillsynsbegäran mail.docx", "A 15734-2026")</f>
        <v/>
      </c>
    </row>
    <row r="41" ht="15" customHeight="1">
      <c r="A41" t="inlineStr">
        <is>
          <t>A 27565-2024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45474</v>
      </c>
      <c r="E41" s="1" t="n">
        <v>46326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husmossa</t>
        </is>
      </c>
      <c r="W41">
        <f>HYPERLINK("https://klasma.github.io/Logging_1904/artfynd/A 27565-2024 artfynd.xlsx", "A 27565-2024")</f>
        <v/>
      </c>
      <c r="X41">
        <f>HYPERLINK("https://klasma.github.io/Logging_1904/kartor/A 27565-2024 karta.png", "A 27565-2024")</f>
        <v/>
      </c>
      <c r="Y41">
        <f>HYPERLINK("https://klasma.github.io/Logging_1904/kartor_geotiff/A 27565-2024 georefererad karta.tif", "A 27565-2024")</f>
        <v/>
      </c>
      <c r="AA41">
        <f>HYPERLINK("https://klasma.github.io/Logging_1904/klagomål/A 27565-2024 FSC-klagomål.docx", "A 27565-2024")</f>
        <v/>
      </c>
      <c r="AB41">
        <f>HYPERLINK("https://klasma.github.io/Logging_1904/klagomålsmail/A 27565-2024 FSC-klagomål mail.docx", "A 27565-2024")</f>
        <v/>
      </c>
      <c r="AC41">
        <f>HYPERLINK("https://klasma.github.io/Logging_1904/tillsyn/A 27565-2024 tillsynsbegäran.docx", "A 27565-2024")</f>
        <v/>
      </c>
      <c r="AD41">
        <f>HYPERLINK("https://klasma.github.io/Logging_1904/tillsynsmail/A 27565-2024 tillsynsbegäran mail.docx", "A 27565-2024")</f>
        <v/>
      </c>
    </row>
    <row r="42" ht="15" customHeight="1">
      <c r="A42" t="inlineStr">
        <is>
          <t>A 20559-2026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46140</v>
      </c>
      <c r="E42" s="1" t="n">
        <v>46326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20559-2026 artfynd.xlsx", "A 20559-2026")</f>
        <v/>
      </c>
      <c r="X42">
        <f>HYPERLINK("https://klasma.github.io/Logging_1904/kartor/A 20559-2026 karta.png", "A 20559-2026")</f>
        <v/>
      </c>
      <c r="Y42">
        <f>HYPERLINK("https://klasma.github.io/Logging_1904/kartor_geotiff/A 20559-2026 georefererad karta.tif", "A 20559-2026")</f>
        <v/>
      </c>
      <c r="AA42">
        <f>HYPERLINK("https://klasma.github.io/Logging_1904/klagomål/A 20559-2026 FSC-klagomål.docx", "A 20559-2026")</f>
        <v/>
      </c>
      <c r="AB42">
        <f>HYPERLINK("https://klasma.github.io/Logging_1904/klagomålsmail/A 20559-2026 FSC-klagomål mail.docx", "A 20559-2026")</f>
        <v/>
      </c>
      <c r="AC42">
        <f>HYPERLINK("https://klasma.github.io/Logging_1904/tillsyn/A 20559-2026 tillsynsbegäran.docx", "A 20559-2026")</f>
        <v/>
      </c>
      <c r="AD42">
        <f>HYPERLINK("https://klasma.github.io/Logging_1904/tillsynsmail/A 20559-2026 tillsynsbegäran mail.docx", "A 20559-2026")</f>
        <v/>
      </c>
      <c r="AE42">
        <f>HYPERLINK("https://klasma.github.io/Logging_1904/fåglar/A 20559-2026 prioriterade fågelarter.docx", "A 20559-2026")</f>
        <v/>
      </c>
    </row>
    <row r="43" ht="15" customHeight="1">
      <c r="A43" t="inlineStr">
        <is>
          <t>A 21849-2026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46326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12.5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HYPERLINK("https://klasma.github.io/Logging_1904/artfynd/A 21849-2026 artfynd.xlsx", "A 21849-2026")</f>
        <v/>
      </c>
      <c r="X43">
        <f>HYPERLINK("https://klasma.github.io/Logging_1904/kartor/A 21849-2026 karta.png", "A 21849-2026")</f>
        <v/>
      </c>
      <c r="Y43">
        <f>HYPERLINK("https://klasma.github.io/Logging_1904/kartor_geotiff/A 21849-2026 georefererad karta.tif", "A 21849-2026")</f>
        <v/>
      </c>
      <c r="Z43">
        <f>HYPERLINK("https://klasma.github.io/Logging_1904/knärot/A 21849-2026 karta knärot.png", "A 21849-2026")</f>
        <v/>
      </c>
      <c r="AA43">
        <f>HYPERLINK("https://klasma.github.io/Logging_1904/klagomål/A 21849-2026 FSC-klagomål.docx", "A 21849-2026")</f>
        <v/>
      </c>
      <c r="AB43">
        <f>HYPERLINK("https://klasma.github.io/Logging_1904/klagomålsmail/A 21849-2026 FSC-klagomål mail.docx", "A 21849-2026")</f>
        <v/>
      </c>
      <c r="AC43">
        <f>HYPERLINK("https://klasma.github.io/Logging_1904/tillsyn/A 21849-2026 tillsynsbegäran.docx", "A 21849-2026")</f>
        <v/>
      </c>
      <c r="AD43">
        <f>HYPERLINK("https://klasma.github.io/Logging_1904/tillsynsmail/A 21849-2026 tillsynsbegäran mail.docx", "A 21849-2026")</f>
        <v/>
      </c>
    </row>
    <row r="44" ht="15" customHeight="1">
      <c r="A44" t="inlineStr">
        <is>
          <t>A 24492-2026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46326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24492-2026 artfynd.xlsx", "A 24492-2026")</f>
        <v/>
      </c>
      <c r="X44">
        <f>HYPERLINK("https://klasma.github.io/Logging_1904/kartor/A 24492-2026 karta.png", "A 24492-2026")</f>
        <v/>
      </c>
      <c r="Y44">
        <f>HYPERLINK("https://klasma.github.io/Logging_1904/kartor_geotiff/A 24492-2026 georefererad karta.tif", "A 24492-2026")</f>
        <v/>
      </c>
      <c r="AA44">
        <f>HYPERLINK("https://klasma.github.io/Logging_1904/klagomål/A 24492-2026 FSC-klagomål.docx", "A 24492-2026")</f>
        <v/>
      </c>
      <c r="AB44">
        <f>HYPERLINK("https://klasma.github.io/Logging_1904/klagomålsmail/A 24492-2026 FSC-klagomål mail.docx", "A 24492-2026")</f>
        <v/>
      </c>
      <c r="AC44">
        <f>HYPERLINK("https://klasma.github.io/Logging_1904/tillsyn/A 24492-2026 tillsynsbegäran.docx", "A 24492-2026")</f>
        <v/>
      </c>
      <c r="AD44">
        <f>HYPERLINK("https://klasma.github.io/Logging_1904/tillsynsmail/A 24492-2026 tillsynsbegäran mail.docx", "A 24492-2026")</f>
        <v/>
      </c>
      <c r="AE44">
        <f>HYPERLINK("https://klasma.github.io/Logging_1904/fåglar/A 24492-2026 prioriterade fågelarter.docx", "A 24492-2026")</f>
        <v/>
      </c>
    </row>
    <row r="45" ht="15" customHeight="1">
      <c r="A45" t="inlineStr">
        <is>
          <t>A 24944-2026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46326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8.4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HYPERLINK("https://klasma.github.io/Logging_1904/artfynd/A 24944-2026 artfynd.xlsx", "A 24944-2026")</f>
        <v/>
      </c>
      <c r="X45">
        <f>HYPERLINK("https://klasma.github.io/Logging_1904/kartor/A 24944-2026 karta.png", "A 24944-2026")</f>
        <v/>
      </c>
      <c r="Y45">
        <f>HYPERLINK("https://klasma.github.io/Logging_1904/kartor_geotiff/A 24944-2026 georefererad karta.tif", "A 24944-2026")</f>
        <v/>
      </c>
      <c r="AA45">
        <f>HYPERLINK("https://klasma.github.io/Logging_1904/klagomål/A 24944-2026 FSC-klagomål.docx", "A 24944-2026")</f>
        <v/>
      </c>
      <c r="AB45">
        <f>HYPERLINK("https://klasma.github.io/Logging_1904/klagomålsmail/A 24944-2026 FSC-klagomål mail.docx", "A 24944-2026")</f>
        <v/>
      </c>
      <c r="AC45">
        <f>HYPERLINK("https://klasma.github.io/Logging_1904/tillsyn/A 24944-2026 tillsynsbegäran.docx", "A 24944-2026")</f>
        <v/>
      </c>
      <c r="AD45">
        <f>HYPERLINK("https://klasma.github.io/Logging_1904/tillsynsmail/A 24944-2026 tillsynsbegäran mail.docx", "A 24944-2026")</f>
        <v/>
      </c>
    </row>
    <row r="46" ht="15" customHeight="1">
      <c r="A46" t="inlineStr">
        <is>
          <t>A 9491-2024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46326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Skogshare</t>
        </is>
      </c>
      <c r="W46">
        <f>HYPERLINK("https://klasma.github.io/Logging_1904/artfynd/A 9491-2024 artfynd.xlsx", "A 9491-2024")</f>
        <v/>
      </c>
      <c r="X46">
        <f>HYPERLINK("https://klasma.github.io/Logging_1904/kartor/A 9491-2024 karta.png", "A 9491-2024")</f>
        <v/>
      </c>
      <c r="Y46">
        <f>HYPERLINK("https://klasma.github.io/Logging_1904/kartor_geotiff/A 9491-2024 georefererad karta.tif", "A 9491-2024")</f>
        <v/>
      </c>
      <c r="AA46">
        <f>HYPERLINK("https://klasma.github.io/Logging_1904/klagomål/A 9491-2024 FSC-klagomål.docx", "A 9491-2024")</f>
        <v/>
      </c>
      <c r="AB46">
        <f>HYPERLINK("https://klasma.github.io/Logging_1904/klagomålsmail/A 9491-2024 FSC-klagomål mail.docx", "A 9491-2024")</f>
        <v/>
      </c>
      <c r="AC46">
        <f>HYPERLINK("https://klasma.github.io/Logging_1904/tillsyn/A 9491-2024 tillsynsbegäran.docx", "A 9491-2024")</f>
        <v/>
      </c>
      <c r="AD46">
        <f>HYPERLINK("https://klasma.github.io/Logging_1904/tillsynsmail/A 9491-2024 tillsynsbegäran mail.docx", "A 9491-2024")</f>
        <v/>
      </c>
    </row>
    <row r="47" ht="15" customHeight="1">
      <c r="A47" t="inlineStr">
        <is>
          <t>A 43413-2024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45568</v>
      </c>
      <c r="E47" s="1" t="n">
        <v>46326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Orange taggsvamp</t>
        </is>
      </c>
      <c r="W47">
        <f>HYPERLINK("https://klasma.github.io/Logging_1904/artfynd/A 43413-2024 artfynd.xlsx", "A 43413-2024")</f>
        <v/>
      </c>
      <c r="X47">
        <f>HYPERLINK("https://klasma.github.io/Logging_1904/kartor/A 43413-2024 karta.png", "A 43413-2024")</f>
        <v/>
      </c>
      <c r="Y47">
        <f>HYPERLINK("https://klasma.github.io/Logging_1904/kartor_geotiff/A 43413-2024 georefererad karta.tif", "A 43413-2024")</f>
        <v/>
      </c>
      <c r="AA47">
        <f>HYPERLINK("https://klasma.github.io/Logging_1904/klagomål/A 43413-2024 FSC-klagomål.docx", "A 43413-2024")</f>
        <v/>
      </c>
      <c r="AB47">
        <f>HYPERLINK("https://klasma.github.io/Logging_1904/klagomålsmail/A 43413-2024 FSC-klagomål mail.docx", "A 43413-2024")</f>
        <v/>
      </c>
      <c r="AC47">
        <f>HYPERLINK("https://klasma.github.io/Logging_1904/tillsyn/A 43413-2024 tillsynsbegäran.docx", "A 43413-2024")</f>
        <v/>
      </c>
      <c r="AD47">
        <f>HYPERLINK("https://klasma.github.io/Logging_1904/tillsynsmail/A 43413-2024 tillsynsbegäran mail.docx", "A 43413-2024")</f>
        <v/>
      </c>
    </row>
    <row r="48" ht="15" customHeight="1">
      <c r="A48" t="inlineStr">
        <is>
          <t>A 26860-2026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46326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10.3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Kungsörn</t>
        </is>
      </c>
      <c r="W48">
        <f>HYPERLINK("https://klasma.github.io/Logging_1904/artfynd/A 26860-2026 artfynd.xlsx", "A 26860-2026")</f>
        <v/>
      </c>
      <c r="X48">
        <f>HYPERLINK("https://klasma.github.io/Logging_1904/kartor/A 26860-2026 karta.png", "A 26860-2026")</f>
        <v/>
      </c>
      <c r="Y48">
        <f>HYPERLINK("https://klasma.github.io/Logging_1904/kartor_geotiff/A 26860-2026 georefererad karta.tif", "A 26860-2026")</f>
        <v/>
      </c>
      <c r="AA48">
        <f>HYPERLINK("https://klasma.github.io/Logging_1904/klagomål/A 26860-2026 FSC-klagomål.docx", "A 26860-2026")</f>
        <v/>
      </c>
      <c r="AB48">
        <f>HYPERLINK("https://klasma.github.io/Logging_1904/klagomålsmail/A 26860-2026 FSC-klagomål mail.docx", "A 26860-2026")</f>
        <v/>
      </c>
      <c r="AC48">
        <f>HYPERLINK("https://klasma.github.io/Logging_1904/tillsyn/A 26860-2026 tillsynsbegäran.docx", "A 26860-2026")</f>
        <v/>
      </c>
      <c r="AD48">
        <f>HYPERLINK("https://klasma.github.io/Logging_1904/tillsynsmail/A 26860-2026 tillsynsbegäran mail.docx", "A 26860-2026")</f>
        <v/>
      </c>
      <c r="AE48">
        <f>HYPERLINK("https://klasma.github.io/Logging_1904/fåglar/A 26860-2026 prioriterade fågelarter.docx", "A 26860-2026")</f>
        <v/>
      </c>
    </row>
    <row r="49" ht="15" customHeight="1">
      <c r="A49" t="inlineStr">
        <is>
          <t>A 23893-2023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45078</v>
      </c>
      <c r="E49" s="1" t="n">
        <v>46326</v>
      </c>
      <c r="F49" t="inlineStr">
        <is>
          <t>VÄSTMANLANDS LÄN</t>
        </is>
      </c>
      <c r="G49" t="inlineStr">
        <is>
          <t>SKINNSKATTEBERG</t>
        </is>
      </c>
      <c r="I49" t="n">
        <v>1.6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2</v>
      </c>
      <c r="V49" s="2" t="inlineStr">
        <is>
          <t>Knärot</t>
        </is>
      </c>
      <c r="W49">
        <f>HYPERLINK("https://klasma.github.io/Logging_1904/artfynd/A 23893-2023 artfynd.xlsx", "A 23893-2023")</f>
        <v/>
      </c>
      <c r="X49">
        <f>HYPERLINK("https://klasma.github.io/Logging_1904/kartor/A 23893-2023 karta.png", "A 23893-2023")</f>
        <v/>
      </c>
      <c r="Y49">
        <f>HYPERLINK("https://klasma.github.io/Logging_1904/kartor_geotiff/A 23893-2023 georefererad karta.tif", "A 23893-2023")</f>
        <v/>
      </c>
      <c r="Z49">
        <f>HYPERLINK("https://klasma.github.io/Logging_1904/knärot/A 23893-2023 karta knärot.png", "A 23893-2023")</f>
        <v/>
      </c>
      <c r="AA49">
        <f>HYPERLINK("https://klasma.github.io/Logging_1904/klagomål/A 23893-2023 FSC-klagomål.docx", "A 23893-2023")</f>
        <v/>
      </c>
      <c r="AB49">
        <f>HYPERLINK("https://klasma.github.io/Logging_1904/klagomålsmail/A 23893-2023 FSC-klagomål mail.docx", "A 23893-2023")</f>
        <v/>
      </c>
      <c r="AC49">
        <f>HYPERLINK("https://klasma.github.io/Logging_1904/tillsyn/A 23893-2023 tillsynsbegäran.docx", "A 23893-2023")</f>
        <v/>
      </c>
      <c r="AD49">
        <f>HYPERLINK("https://klasma.github.io/Logging_1904/tillsynsmail/A 23893-2023 tillsynsbegäran mail.docx", "A 23893-2023")</f>
        <v/>
      </c>
    </row>
    <row r="50" ht="15" customHeight="1">
      <c r="A50" t="inlineStr">
        <is>
          <t>A 33435-2024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45519</v>
      </c>
      <c r="E50" s="1" t="n">
        <v>46326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HYPERLINK("https://klasma.github.io/Logging_1904/artfynd/A 33435-2024 artfynd.xlsx", "A 33435-2024")</f>
        <v/>
      </c>
      <c r="X50">
        <f>HYPERLINK("https://klasma.github.io/Logging_1904/kartor/A 33435-2024 karta.png", "A 33435-2024")</f>
        <v/>
      </c>
      <c r="Y50">
        <f>HYPERLINK("https://klasma.github.io/Logging_1904/kartor_geotiff/A 33435-2024 georefererad karta.tif", "A 33435-2024")</f>
        <v/>
      </c>
      <c r="AA50">
        <f>HYPERLINK("https://klasma.github.io/Logging_1904/klagomål/A 33435-2024 FSC-klagomål.docx", "A 33435-2024")</f>
        <v/>
      </c>
      <c r="AB50">
        <f>HYPERLINK("https://klasma.github.io/Logging_1904/klagomålsmail/A 33435-2024 FSC-klagomål mail.docx", "A 33435-2024")</f>
        <v/>
      </c>
      <c r="AC50">
        <f>HYPERLINK("https://klasma.github.io/Logging_1904/tillsyn/A 33435-2024 tillsynsbegäran.docx", "A 33435-2024")</f>
        <v/>
      </c>
      <c r="AD50">
        <f>HYPERLINK("https://klasma.github.io/Logging_1904/tillsynsmail/A 33435-2024 tillsynsbegäran mail.docx", "A 33435-2024")</f>
        <v/>
      </c>
      <c r="AE50">
        <f>HYPERLINK("https://klasma.github.io/Logging_1904/fåglar/A 33435-2024 prioriterade fågelarter.docx", "A 33435-2024")</f>
        <v/>
      </c>
    </row>
    <row r="51" ht="15" customHeight="1">
      <c r="A51" t="inlineStr">
        <is>
          <t>A 12024-2023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44995</v>
      </c>
      <c r="E51" s="1" t="n">
        <v>46326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Skogsklocka</t>
        </is>
      </c>
      <c r="W51">
        <f>HYPERLINK("https://klasma.github.io/Logging_1904/artfynd/A 12024-2023 artfynd.xlsx", "A 12024-2023")</f>
        <v/>
      </c>
      <c r="X51">
        <f>HYPERLINK("https://klasma.github.io/Logging_1904/kartor/A 12024-2023 karta.png", "A 12024-2023")</f>
        <v/>
      </c>
      <c r="Y51">
        <f>HYPERLINK("https://klasma.github.io/Logging_1904/kartor_geotiff/A 12024-2023 georefererad karta.tif", "A 12024-2023")</f>
        <v/>
      </c>
      <c r="AA51">
        <f>HYPERLINK("https://klasma.github.io/Logging_1904/klagomål/A 12024-2023 FSC-klagomål.docx", "A 12024-2023")</f>
        <v/>
      </c>
      <c r="AB51">
        <f>HYPERLINK("https://klasma.github.io/Logging_1904/klagomålsmail/A 12024-2023 FSC-klagomål mail.docx", "A 12024-2023")</f>
        <v/>
      </c>
      <c r="AC51">
        <f>HYPERLINK("https://klasma.github.io/Logging_1904/tillsyn/A 12024-2023 tillsynsbegäran.docx", "A 12024-2023")</f>
        <v/>
      </c>
      <c r="AD51">
        <f>HYPERLINK("https://klasma.github.io/Logging_1904/tillsynsmail/A 12024-2023 tillsynsbegäran mail.docx", "A 12024-2023")</f>
        <v/>
      </c>
    </row>
    <row r="52" ht="15" customHeight="1">
      <c r="A52" t="inlineStr">
        <is>
          <t>A 30579-2026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46210</v>
      </c>
      <c r="E52" s="1" t="n">
        <v>46326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HYPERLINK("https://klasma.github.io/Logging_1904/artfynd/A 30579-2026 artfynd.xlsx", "A 30579-2026")</f>
        <v/>
      </c>
      <c r="X52">
        <f>HYPERLINK("https://klasma.github.io/Logging_1904/kartor/A 30579-2026 karta.png", "A 30579-2026")</f>
        <v/>
      </c>
      <c r="Y52">
        <f>HYPERLINK("https://klasma.github.io/Logging_1904/kartor_geotiff/A 30579-2026 georefererad karta.tif", "A 30579-2026")</f>
        <v/>
      </c>
      <c r="AA52">
        <f>HYPERLINK("https://klasma.github.io/Logging_1904/klagomål/A 30579-2026 FSC-klagomål.docx", "A 30579-2026")</f>
        <v/>
      </c>
      <c r="AB52">
        <f>HYPERLINK("https://klasma.github.io/Logging_1904/klagomålsmail/A 30579-2026 FSC-klagomål mail.docx", "A 30579-2026")</f>
        <v/>
      </c>
      <c r="AC52">
        <f>HYPERLINK("https://klasma.github.io/Logging_1904/tillsyn/A 30579-2026 tillsynsbegäran.docx", "A 30579-2026")</f>
        <v/>
      </c>
      <c r="AD52">
        <f>HYPERLINK("https://klasma.github.io/Logging_1904/tillsynsmail/A 30579-2026 tillsynsbegäran mail.docx", "A 30579-2026")</f>
        <v/>
      </c>
    </row>
    <row r="53" ht="15" customHeight="1">
      <c r="A53" t="inlineStr">
        <is>
          <t>A 9490-2024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46326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Nattskärra</t>
        </is>
      </c>
      <c r="W53">
        <f>HYPERLINK("https://klasma.github.io/Logging_1904/artfynd/A 9490-2024 artfynd.xlsx", "A 9490-2024")</f>
        <v/>
      </c>
      <c r="X53">
        <f>HYPERLINK("https://klasma.github.io/Logging_1904/kartor/A 9490-2024 karta.png", "A 9490-2024")</f>
        <v/>
      </c>
      <c r="Y53">
        <f>HYPERLINK("https://klasma.github.io/Logging_1904/kartor_geotiff/A 9490-2024 georefererad karta.tif", "A 9490-2024")</f>
        <v/>
      </c>
      <c r="AA53">
        <f>HYPERLINK("https://klasma.github.io/Logging_1904/klagomål/A 9490-2024 FSC-klagomål.docx", "A 9490-2024")</f>
        <v/>
      </c>
      <c r="AB53">
        <f>HYPERLINK("https://klasma.github.io/Logging_1904/klagomålsmail/A 9490-2024 FSC-klagomål mail.docx", "A 9490-2024")</f>
        <v/>
      </c>
      <c r="AC53">
        <f>HYPERLINK("https://klasma.github.io/Logging_1904/tillsyn/A 9490-2024 tillsynsbegäran.docx", "A 9490-2024")</f>
        <v/>
      </c>
      <c r="AD53">
        <f>HYPERLINK("https://klasma.github.io/Logging_1904/tillsynsmail/A 9490-2024 tillsynsbegäran mail.docx", "A 9490-2024")</f>
        <v/>
      </c>
      <c r="AE53">
        <f>HYPERLINK("https://klasma.github.io/Logging_1904/fåglar/A 9490-2024 prioriterade fågelarter.docx", "A 9490-2024")</f>
        <v/>
      </c>
    </row>
    <row r="54" ht="15" customHeight="1">
      <c r="A54" t="inlineStr">
        <is>
          <t>A 4000-2024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46326</v>
      </c>
      <c r="F54" t="inlineStr">
        <is>
          <t>VÄSTMANLANDS LÄN</t>
        </is>
      </c>
      <c r="G54" t="inlineStr">
        <is>
          <t>SKINNSKATTEBERG</t>
        </is>
      </c>
      <c r="I54" t="n">
        <v>14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Klasefibbla</t>
        </is>
      </c>
      <c r="W54">
        <f>HYPERLINK("https://klasma.github.io/Logging_1904/artfynd/A 4000-2024 artfynd.xlsx", "A 4000-2024")</f>
        <v/>
      </c>
      <c r="X54">
        <f>HYPERLINK("https://klasma.github.io/Logging_1904/kartor/A 4000-2024 karta.png", "A 4000-2024")</f>
        <v/>
      </c>
      <c r="Y54">
        <f>HYPERLINK("https://klasma.github.io/Logging_1904/kartor_geotiff/A 4000-2024 georefererad karta.tif", "A 4000-2024")</f>
        <v/>
      </c>
      <c r="AA54">
        <f>HYPERLINK("https://klasma.github.io/Logging_1904/klagomål/A 4000-2024 FSC-klagomål.docx", "A 4000-2024")</f>
        <v/>
      </c>
      <c r="AB54">
        <f>HYPERLINK("https://klasma.github.io/Logging_1904/klagomålsmail/A 4000-2024 FSC-klagomål mail.docx", "A 4000-2024")</f>
        <v/>
      </c>
      <c r="AC54">
        <f>HYPERLINK("https://klasma.github.io/Logging_1904/tillsyn/A 4000-2024 tillsynsbegäran.docx", "A 4000-2024")</f>
        <v/>
      </c>
      <c r="AD54">
        <f>HYPERLINK("https://klasma.github.io/Logging_1904/tillsynsmail/A 4000-2024 tillsynsbegäran mail.docx", "A 4000-2024")</f>
        <v/>
      </c>
    </row>
    <row r="55" ht="15" customHeight="1">
      <c r="A55" t="inlineStr">
        <is>
          <t>A 28312-2023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46326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HYPERLINK("https://klasma.github.io/Logging_1904/artfynd/A 28312-2023 artfynd.xlsx", "A 28312-2023")</f>
        <v/>
      </c>
      <c r="X55">
        <f>HYPERLINK("https://klasma.github.io/Logging_1904/kartor/A 28312-2023 karta.png", "A 28312-2023")</f>
        <v/>
      </c>
      <c r="Y55">
        <f>HYPERLINK("https://klasma.github.io/Logging_1904/kartor_geotiff/A 28312-2023 georefererad karta.tif", "A 28312-2023")</f>
        <v/>
      </c>
      <c r="AA55">
        <f>HYPERLINK("https://klasma.github.io/Logging_1904/klagomål/A 28312-2023 FSC-klagomål.docx", "A 28312-2023")</f>
        <v/>
      </c>
      <c r="AB55">
        <f>HYPERLINK("https://klasma.github.io/Logging_1904/klagomålsmail/A 28312-2023 FSC-klagomål mail.docx", "A 28312-2023")</f>
        <v/>
      </c>
      <c r="AC55">
        <f>HYPERLINK("https://klasma.github.io/Logging_1904/tillsyn/A 28312-2023 tillsynsbegäran.docx", "A 28312-2023")</f>
        <v/>
      </c>
      <c r="AD55">
        <f>HYPERLINK("https://klasma.github.io/Logging_1904/tillsynsmail/A 28312-2023 tillsynsbegäran mail.docx", "A 28312-2023")</f>
        <v/>
      </c>
    </row>
    <row r="56" ht="15" customHeight="1">
      <c r="A56" t="inlineStr">
        <is>
          <t>A 38733-2026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46285</v>
      </c>
      <c r="E56" s="1" t="n">
        <v>46326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4.2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HYPERLINK("https://klasma.github.io/Logging_1904/artfynd/A 38733-2026 artfynd.xlsx", "A 38733-2026")</f>
        <v/>
      </c>
      <c r="X56">
        <f>HYPERLINK("https://klasma.github.io/Logging_1904/kartor/A 38733-2026 karta.png", "A 38733-2026")</f>
        <v/>
      </c>
      <c r="Y56">
        <f>HYPERLINK("https://klasma.github.io/Logging_1904/kartor_geotiff/A 38733-2026 georefererad karta.tif", "A 38733-2026")</f>
        <v/>
      </c>
      <c r="AA56">
        <f>HYPERLINK("https://klasma.github.io/Logging_1904/klagomål/A 38733-2026 FSC-klagomål.docx", "A 38733-2026")</f>
        <v/>
      </c>
      <c r="AB56">
        <f>HYPERLINK("https://klasma.github.io/Logging_1904/klagomålsmail/A 38733-2026 FSC-klagomål mail.docx", "A 38733-2026")</f>
        <v/>
      </c>
      <c r="AC56">
        <f>HYPERLINK("https://klasma.github.io/Logging_1904/tillsyn/A 38733-2026 tillsynsbegäran.docx", "A 38733-2026")</f>
        <v/>
      </c>
      <c r="AD56">
        <f>HYPERLINK("https://klasma.github.io/Logging_1904/tillsynsmail/A 38733-2026 tillsynsbegäran mail.docx", "A 38733-2026")</f>
        <v/>
      </c>
    </row>
    <row r="57" ht="15" customHeight="1">
      <c r="A57" t="inlineStr">
        <is>
          <t>A 38734-2026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46285</v>
      </c>
      <c r="E57" s="1" t="n">
        <v>46326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6.1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Fällmossa</t>
        </is>
      </c>
      <c r="W57">
        <f>HYPERLINK("https://klasma.github.io/Logging_1904/artfynd/A 38734-2026 artfynd.xlsx", "A 38734-2026")</f>
        <v/>
      </c>
      <c r="X57">
        <f>HYPERLINK("https://klasma.github.io/Logging_1904/kartor/A 38734-2026 karta.png", "A 38734-2026")</f>
        <v/>
      </c>
      <c r="Y57">
        <f>HYPERLINK("https://klasma.github.io/Logging_1904/kartor_geotiff/A 38734-2026 georefererad karta.tif", "A 38734-2026")</f>
        <v/>
      </c>
      <c r="AA57">
        <f>HYPERLINK("https://klasma.github.io/Logging_1904/klagomål/A 38734-2026 FSC-klagomål.docx", "A 38734-2026")</f>
        <v/>
      </c>
      <c r="AB57">
        <f>HYPERLINK("https://klasma.github.io/Logging_1904/klagomålsmail/A 38734-2026 FSC-klagomål mail.docx", "A 38734-2026")</f>
        <v/>
      </c>
      <c r="AC57">
        <f>HYPERLINK("https://klasma.github.io/Logging_1904/tillsyn/A 38734-2026 tillsynsbegäran.docx", "A 38734-2026")</f>
        <v/>
      </c>
      <c r="AD57">
        <f>HYPERLINK("https://klasma.github.io/Logging_1904/tillsynsmail/A 38734-2026 tillsynsbegäran mail.docx", "A 38734-2026")</f>
        <v/>
      </c>
    </row>
    <row r="58" ht="15" customHeight="1">
      <c r="A58" t="inlineStr">
        <is>
          <t>A 41610-2026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46302</v>
      </c>
      <c r="E58" s="1" t="n">
        <v>46326</v>
      </c>
      <c r="F58" t="inlineStr">
        <is>
          <t>VÄSTMANLANDS LÄN</t>
        </is>
      </c>
      <c r="G58" t="inlineStr">
        <is>
          <t>SKINNSKATTEBERG</t>
        </is>
      </c>
      <c r="I58" t="n">
        <v>0.3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Stubbspretmossa</t>
        </is>
      </c>
      <c r="W58">
        <f>HYPERLINK("https://klasma.github.io/Logging_1904/artfynd/A 41610-2026 artfynd.xlsx", "A 41610-2026")</f>
        <v/>
      </c>
      <c r="X58">
        <f>HYPERLINK("https://klasma.github.io/Logging_1904/kartor/A 41610-2026 karta.png", "A 41610-2026")</f>
        <v/>
      </c>
      <c r="Y58">
        <f>HYPERLINK("https://klasma.github.io/Logging_1904/kartor_geotiff/A 41610-2026 georefererad karta.tif", "A 41610-2026")</f>
        <v/>
      </c>
      <c r="AA58">
        <f>HYPERLINK("https://klasma.github.io/Logging_1904/klagomål/A 41610-2026 FSC-klagomål.docx", "A 41610-2026")</f>
        <v/>
      </c>
      <c r="AB58">
        <f>HYPERLINK("https://klasma.github.io/Logging_1904/klagomålsmail/A 41610-2026 FSC-klagomål mail.docx", "A 41610-2026")</f>
        <v/>
      </c>
      <c r="AC58">
        <f>HYPERLINK("https://klasma.github.io/Logging_1904/tillsyn/A 41610-2026 tillsynsbegäran.docx", "A 41610-2026")</f>
        <v/>
      </c>
      <c r="AD58">
        <f>HYPERLINK("https://klasma.github.io/Logging_1904/tillsynsmail/A 41610-2026 tillsynsbegäran mail.docx", "A 41610-2026")</f>
        <v/>
      </c>
    </row>
    <row r="59" ht="15" customHeight="1">
      <c r="A59" t="inlineStr">
        <is>
          <t>A 35371-2026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46261</v>
      </c>
      <c r="E59" s="1" t="n">
        <v>46326</v>
      </c>
      <c r="F59" t="inlineStr">
        <is>
          <t>VÄSTMANLANDS LÄN</t>
        </is>
      </c>
      <c r="G59" t="inlineStr">
        <is>
          <t>SKINNSKATTEBERG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HYPERLINK("https://klasma.github.io/Logging_1904/artfynd/A 35371-2026 artfynd.xlsx", "A 35371-2026")</f>
        <v/>
      </c>
      <c r="X59">
        <f>HYPERLINK("https://klasma.github.io/Logging_1904/kartor/A 35371-2026 karta.png", "A 35371-2026")</f>
        <v/>
      </c>
      <c r="Y59">
        <f>HYPERLINK("https://klasma.github.io/Logging_1904/kartor_geotiff/A 35371-2026 georefererad karta.tif", "A 35371-2026")</f>
        <v/>
      </c>
      <c r="AA59">
        <f>HYPERLINK("https://klasma.github.io/Logging_1904/klagomål/A 35371-2026 FSC-klagomål.docx", "A 35371-2026")</f>
        <v/>
      </c>
      <c r="AB59">
        <f>HYPERLINK("https://klasma.github.io/Logging_1904/klagomålsmail/A 35371-2026 FSC-klagomål mail.docx", "A 35371-2026")</f>
        <v/>
      </c>
      <c r="AC59">
        <f>HYPERLINK("https://klasma.github.io/Logging_1904/tillsyn/A 35371-2026 tillsynsbegäran.docx", "A 35371-2026")</f>
        <v/>
      </c>
      <c r="AD59">
        <f>HYPERLINK("https://klasma.github.io/Logging_1904/tillsynsmail/A 35371-2026 tillsynsbegäran mail.docx", "A 35371-2026")</f>
        <v/>
      </c>
      <c r="AE59">
        <f>HYPERLINK("https://klasma.github.io/Logging_1904/fåglar/A 35371-2026 prioriterade fågelarter.docx", "A 35371-2026")</f>
        <v/>
      </c>
    </row>
    <row r="60" ht="15" customHeight="1">
      <c r="A60" t="inlineStr">
        <is>
          <t>A 42434-2026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46308</v>
      </c>
      <c r="E60" s="1" t="n">
        <v>46326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2.3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Mattlummer</t>
        </is>
      </c>
      <c r="W60">
        <f>HYPERLINK("https://klasma.github.io/Logging_1904/artfynd/A 42434-2026 artfynd.xlsx", "A 42434-2026")</f>
        <v/>
      </c>
      <c r="X60">
        <f>HYPERLINK("https://klasma.github.io/Logging_1904/kartor/A 42434-2026 karta.png", "A 42434-2026")</f>
        <v/>
      </c>
      <c r="Y60">
        <f>HYPERLINK("https://klasma.github.io/Logging_1904/kartor_geotiff/A 42434-2026 georefererad karta.tif", "A 42434-2026")</f>
        <v/>
      </c>
      <c r="AA60">
        <f>HYPERLINK("https://klasma.github.io/Logging_1904/klagomål/A 42434-2026 FSC-klagomål.docx", "A 42434-2026")</f>
        <v/>
      </c>
      <c r="AB60">
        <f>HYPERLINK("https://klasma.github.io/Logging_1904/klagomålsmail/A 42434-2026 FSC-klagomål mail.docx", "A 42434-2026")</f>
        <v/>
      </c>
      <c r="AC60">
        <f>HYPERLINK("https://klasma.github.io/Logging_1904/tillsyn/A 42434-2026 tillsynsbegäran.docx", "A 42434-2026")</f>
        <v/>
      </c>
      <c r="AD60">
        <f>HYPERLINK("https://klasma.github.io/Logging_1904/tillsynsmail/A 42434-2026 tillsynsbegäran mail.docx", "A 42434-2026")</f>
        <v/>
      </c>
    </row>
    <row r="61" ht="15" customHeight="1">
      <c r="A61" t="inlineStr">
        <is>
          <t>A 36263-2026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46268</v>
      </c>
      <c r="E61" s="1" t="n">
        <v>46326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HYPERLINK("https://klasma.github.io/Logging_1904/artfynd/A 36263-2026 artfynd.xlsx", "A 36263-2026")</f>
        <v/>
      </c>
      <c r="X61">
        <f>HYPERLINK("https://klasma.github.io/Logging_1904/kartor/A 36263-2026 karta.png", "A 36263-2026")</f>
        <v/>
      </c>
      <c r="Y61">
        <f>HYPERLINK("https://klasma.github.io/Logging_1904/kartor_geotiff/A 36263-2026 georefererad karta.tif", "A 36263-2026")</f>
        <v/>
      </c>
      <c r="AA61">
        <f>HYPERLINK("https://klasma.github.io/Logging_1904/klagomål/A 36263-2026 FSC-klagomål.docx", "A 36263-2026")</f>
        <v/>
      </c>
      <c r="AB61">
        <f>HYPERLINK("https://klasma.github.io/Logging_1904/klagomålsmail/A 36263-2026 FSC-klagomål mail.docx", "A 36263-2026")</f>
        <v/>
      </c>
      <c r="AC61">
        <f>HYPERLINK("https://klasma.github.io/Logging_1904/tillsyn/A 36263-2026 tillsynsbegäran.docx", "A 36263-2026")</f>
        <v/>
      </c>
      <c r="AD61">
        <f>HYPERLINK("https://klasma.github.io/Logging_1904/tillsynsmail/A 36263-2026 tillsynsbegäran mail.docx", "A 36263-2026")</f>
        <v/>
      </c>
    </row>
    <row r="62" ht="15" customHeight="1">
      <c r="A62" t="inlineStr">
        <is>
          <t>A 43673-2026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46316</v>
      </c>
      <c r="E62" s="1" t="n">
        <v>46326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4.6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Dropptaggsvamp</t>
        </is>
      </c>
      <c r="W62">
        <f>HYPERLINK("https://klasma.github.io/Logging_1904/artfynd/A 43673-2026 artfynd.xlsx", "A 43673-2026")</f>
        <v/>
      </c>
      <c r="X62">
        <f>HYPERLINK("https://klasma.github.io/Logging_1904/kartor/A 43673-2026 karta.png", "A 43673-2026")</f>
        <v/>
      </c>
      <c r="Y62">
        <f>HYPERLINK("https://klasma.github.io/Logging_1904/kartor_geotiff/A 43673-2026 georefererad karta.tif", "A 43673-2026")</f>
        <v/>
      </c>
      <c r="AA62">
        <f>HYPERLINK("https://klasma.github.io/Logging_1904/klagomål/A 43673-2026 FSC-klagomål.docx", "A 43673-2026")</f>
        <v/>
      </c>
      <c r="AB62">
        <f>HYPERLINK("https://klasma.github.io/Logging_1904/klagomålsmail/A 43673-2026 FSC-klagomål mail.docx", "A 43673-2026")</f>
        <v/>
      </c>
      <c r="AC62">
        <f>HYPERLINK("https://klasma.github.io/Logging_1904/tillsyn/A 43673-2026 tillsynsbegäran.docx", "A 43673-2026")</f>
        <v/>
      </c>
      <c r="AD62">
        <f>HYPERLINK("https://klasma.github.io/Logging_1904/tillsynsmail/A 43673-2026 tillsynsbegäran mail.docx", "A 43673-2026")</f>
        <v/>
      </c>
    </row>
    <row r="63" ht="15" customHeight="1">
      <c r="A63" t="inlineStr">
        <is>
          <t>A 57395-2025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45980</v>
      </c>
      <c r="E63" s="1" t="n">
        <v>46326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6.9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HYPERLINK("https://klasma.github.io/Logging_1904/artfynd/A 57395-2025 artfynd.xlsx", "A 57395-2025")</f>
        <v/>
      </c>
      <c r="X63">
        <f>HYPERLINK("https://klasma.github.io/Logging_1904/kartor/A 57395-2025 karta.png", "A 57395-2025")</f>
        <v/>
      </c>
      <c r="Y63">
        <f>HYPERLINK("https://klasma.github.io/Logging_1904/kartor_geotiff/A 57395-2025 georefererad karta.tif", "A 57395-2025")</f>
        <v/>
      </c>
      <c r="AA63">
        <f>HYPERLINK("https://klasma.github.io/Logging_1904/klagomål/A 57395-2025 FSC-klagomål.docx", "A 57395-2025")</f>
        <v/>
      </c>
      <c r="AB63">
        <f>HYPERLINK("https://klasma.github.io/Logging_1904/klagomålsmail/A 57395-2025 FSC-klagomål mail.docx", "A 57395-2025")</f>
        <v/>
      </c>
      <c r="AC63">
        <f>HYPERLINK("https://klasma.github.io/Logging_1904/tillsyn/A 57395-2025 tillsynsbegäran.docx", "A 57395-2025")</f>
        <v/>
      </c>
      <c r="AD63">
        <f>HYPERLINK("https://klasma.github.io/Logging_1904/tillsynsmail/A 57395-2025 tillsynsbegäran mail.docx", "A 57395-2025")</f>
        <v/>
      </c>
    </row>
    <row r="64" ht="15" customHeight="1">
      <c r="A64" t="inlineStr">
        <is>
          <t>A 37900-2026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46279</v>
      </c>
      <c r="E64" s="1" t="n">
        <v>46326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9.199999999999999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HYPERLINK("https://klasma.github.io/Logging_1904/artfynd/A 37900-2026 artfynd.xlsx", "A 37900-2026")</f>
        <v/>
      </c>
      <c r="X64">
        <f>HYPERLINK("https://klasma.github.io/Logging_1904/kartor/A 37900-2026 karta.png", "A 37900-2026")</f>
        <v/>
      </c>
      <c r="Y64">
        <f>HYPERLINK("https://klasma.github.io/Logging_1904/kartor_geotiff/A 37900-2026 georefererad karta.tif", "A 37900-2026")</f>
        <v/>
      </c>
      <c r="AA64">
        <f>HYPERLINK("https://klasma.github.io/Logging_1904/klagomål/A 37900-2026 FSC-klagomål.docx", "A 37900-2026")</f>
        <v/>
      </c>
      <c r="AB64">
        <f>HYPERLINK("https://klasma.github.io/Logging_1904/klagomålsmail/A 37900-2026 FSC-klagomål mail.docx", "A 37900-2026")</f>
        <v/>
      </c>
      <c r="AC64">
        <f>HYPERLINK("https://klasma.github.io/Logging_1904/tillsyn/A 37900-2026 tillsynsbegäran.docx", "A 37900-2026")</f>
        <v/>
      </c>
      <c r="AD64">
        <f>HYPERLINK("https://klasma.github.io/Logging_1904/tillsynsmail/A 37900-2026 tillsynsbegäran mail.docx", "A 37900-2026")</f>
        <v/>
      </c>
      <c r="AE64">
        <f>HYPERLINK("https://klasma.github.io/Logging_1904/fåglar/A 37900-2026 prioriterade fågelarter.docx", "A 37900-2026")</f>
        <v/>
      </c>
    </row>
    <row r="65" ht="15" customHeight="1">
      <c r="A65" t="inlineStr">
        <is>
          <t>A 44677-2026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46322</v>
      </c>
      <c r="E65" s="1" t="n">
        <v>46326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7.7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Lopplummer (aggregat)</t>
        </is>
      </c>
      <c r="W65">
        <f>HYPERLINK("https://klasma.github.io/Logging_1904/artfynd/A 44677-2026 artfynd.xlsx", "A 44677-2026")</f>
        <v/>
      </c>
      <c r="X65">
        <f>HYPERLINK("https://klasma.github.io/Logging_1904/kartor/A 44677-2026 karta.png", "A 44677-2026")</f>
        <v/>
      </c>
      <c r="Y65">
        <f>HYPERLINK("https://klasma.github.io/Logging_1904/kartor_geotiff/A 44677-2026 georefererad karta.tif", "A 44677-2026")</f>
        <v/>
      </c>
      <c r="AA65">
        <f>HYPERLINK("https://klasma.github.io/Logging_1904/klagomål/A 44677-2026 FSC-klagomål.docx", "A 44677-2026")</f>
        <v/>
      </c>
      <c r="AB65">
        <f>HYPERLINK("https://klasma.github.io/Logging_1904/klagomålsmail/A 44677-2026 FSC-klagomål mail.docx", "A 44677-2026")</f>
        <v/>
      </c>
      <c r="AC65">
        <f>HYPERLINK("https://klasma.github.io/Logging_1904/tillsyn/A 44677-2026 tillsynsbegäran.docx", "A 44677-2026")</f>
        <v/>
      </c>
      <c r="AD65">
        <f>HYPERLINK("https://klasma.github.io/Logging_1904/tillsynsmail/A 44677-2026 tillsynsbegäran mail.docx", "A 44677-2026")</f>
        <v/>
      </c>
    </row>
    <row r="66" ht="15" customHeight="1">
      <c r="A66" t="inlineStr">
        <is>
          <t>A 44669-2026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46322</v>
      </c>
      <c r="E66" s="1" t="n">
        <v>46326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Revlummer</t>
        </is>
      </c>
      <c r="W66">
        <f>HYPERLINK("https://klasma.github.io/Logging_1904/artfynd/A 44669-2026 artfynd.xlsx", "A 44669-2026")</f>
        <v/>
      </c>
      <c r="X66">
        <f>HYPERLINK("https://klasma.github.io/Logging_1904/kartor/A 44669-2026 karta.png", "A 44669-2026")</f>
        <v/>
      </c>
      <c r="Y66">
        <f>HYPERLINK("https://klasma.github.io/Logging_1904/kartor_geotiff/A 44669-2026 georefererad karta.tif", "A 44669-2026")</f>
        <v/>
      </c>
      <c r="AA66">
        <f>HYPERLINK("https://klasma.github.io/Logging_1904/klagomål/A 44669-2026 FSC-klagomål.docx", "A 44669-2026")</f>
        <v/>
      </c>
      <c r="AB66">
        <f>HYPERLINK("https://klasma.github.io/Logging_1904/klagomålsmail/A 44669-2026 FSC-klagomål mail.docx", "A 44669-2026")</f>
        <v/>
      </c>
      <c r="AC66">
        <f>HYPERLINK("https://klasma.github.io/Logging_1904/tillsyn/A 44669-2026 tillsynsbegäran.docx", "A 44669-2026")</f>
        <v/>
      </c>
      <c r="AD66">
        <f>HYPERLINK("https://klasma.github.io/Logging_1904/tillsynsmail/A 44669-2026 tillsynsbegäran mail.docx", "A 44669-2026")</f>
        <v/>
      </c>
    </row>
    <row r="67" ht="15" customHeight="1">
      <c r="A67" t="inlineStr">
        <is>
          <t>A 43662-2026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46316</v>
      </c>
      <c r="E67" s="1" t="n">
        <v>46326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4.6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Dropptaggsvamp</t>
        </is>
      </c>
      <c r="W67">
        <f>HYPERLINK("https://klasma.github.io/Logging_1904/artfynd/A 43662-2026 artfynd.xlsx", "A 43662-2026")</f>
        <v/>
      </c>
      <c r="X67">
        <f>HYPERLINK("https://klasma.github.io/Logging_1904/kartor/A 43662-2026 karta.png", "A 43662-2026")</f>
        <v/>
      </c>
      <c r="Y67">
        <f>HYPERLINK("https://klasma.github.io/Logging_1904/kartor_geotiff/A 43662-2026 georefererad karta.tif", "A 43662-2026")</f>
        <v/>
      </c>
      <c r="AA67">
        <f>HYPERLINK("https://klasma.github.io/Logging_1904/klagomål/A 43662-2026 FSC-klagomål.docx", "A 43662-2026")</f>
        <v/>
      </c>
      <c r="AB67">
        <f>HYPERLINK("https://klasma.github.io/Logging_1904/klagomålsmail/A 43662-2026 FSC-klagomål mail.docx", "A 43662-2026")</f>
        <v/>
      </c>
      <c r="AC67">
        <f>HYPERLINK("https://klasma.github.io/Logging_1904/tillsyn/A 43662-2026 tillsynsbegäran.docx", "A 43662-2026")</f>
        <v/>
      </c>
      <c r="AD67">
        <f>HYPERLINK("https://klasma.github.io/Logging_1904/tillsynsmail/A 43662-2026 tillsynsbegäran mail.docx", "A 43662-2026")</f>
        <v/>
      </c>
    </row>
    <row r="68" ht="15" customHeight="1">
      <c r="A68" t="inlineStr">
        <is>
          <t>S 3632-2024</t>
        </is>
      </c>
      <c r="B68" t="inlineStr">
        <is>
          <t>samrådsanmälan</t>
        </is>
      </c>
      <c r="C68" t="inlineStr">
        <is>
          <t>Skogsgödsling</t>
        </is>
      </c>
      <c r="D68" s="1" t="n">
        <v>45548</v>
      </c>
      <c r="E68" s="1" t="n">
        <v>46326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196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3</v>
      </c>
      <c r="U68" t="n">
        <v>3</v>
      </c>
      <c r="V68" s="2" t="inlineStr">
        <is>
          <t>Tjäder</t>
        </is>
      </c>
      <c r="W68">
        <f>HYPERLINK("https://klasma.github.io/Logging_1904/artfynd/S 3632-2024 artfynd.xlsx", "S 3632-2024")</f>
        <v/>
      </c>
      <c r="X68">
        <f>HYPERLINK("https://klasma.github.io/Logging_1904/kartor/S 3632-2024 karta.png", "S 3632-2024")</f>
        <v/>
      </c>
      <c r="Y68">
        <f>HYPERLINK("https://klasma.github.io/Logging_1904/kartor_geotiff/S 3632-2024 georefererad karta.tif", "S 3632-2024")</f>
        <v/>
      </c>
      <c r="AA68">
        <f>HYPERLINK("https://klasma.github.io/Logging_1904/klagomål/S 3632-2024 FSC-klagomål.docx", "S 3632-2024")</f>
        <v/>
      </c>
      <c r="AB68">
        <f>HYPERLINK("https://klasma.github.io/Logging_1904/klagomålsmail/S 3632-2024 FSC-klagomål mail.docx", "S 3632-2024")</f>
        <v/>
      </c>
      <c r="AC68">
        <f>HYPERLINK("https://klasma.github.io/Logging_1904/tillsyn/S 3632-2024 tillsynsbegäran.docx", "S 3632-2024")</f>
        <v/>
      </c>
      <c r="AD68">
        <f>HYPERLINK("https://klasma.github.io/Logging_1904/tillsynsmail/S 3632-2024 tillsynsbegäran mail.docx", "S 3632-2024")</f>
        <v/>
      </c>
      <c r="AE68">
        <f>HYPERLINK("https://klasma.github.io/Logging_1904/fåglar/S 3632-2024 prioriterade fågelarter.docx", "S 3632-2024")</f>
        <v/>
      </c>
    </row>
    <row r="69" ht="15" customHeight="1">
      <c r="A69" t="inlineStr">
        <is>
          <t>S 1982-2025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45832</v>
      </c>
      <c r="E69" s="1" t="n">
        <v>46326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Spillkråka</t>
        </is>
      </c>
      <c r="W69">
        <f>HYPERLINK("https://klasma.github.io/Logging_1904/artfynd/S 1982-2025 artfynd.xlsx", "S 1982-2025")</f>
        <v/>
      </c>
      <c r="X69">
        <f>HYPERLINK("https://klasma.github.io/Logging_1904/kartor/S 1982-2025 karta.png", "S 1982-2025")</f>
        <v/>
      </c>
      <c r="Y69">
        <f>HYPERLINK("https://klasma.github.io/Logging_1904/kartor_geotiff/S 1982-2025 georefererad karta.tif", "S 1982-2025")</f>
        <v/>
      </c>
      <c r="AA69">
        <f>HYPERLINK("https://klasma.github.io/Logging_1904/klagomål/S 1982-2025 FSC-klagomål.docx", "S 1982-2025")</f>
        <v/>
      </c>
      <c r="AB69">
        <f>HYPERLINK("https://klasma.github.io/Logging_1904/klagomålsmail/S 1982-2025 FSC-klagomål mail.docx", "S 1982-2025")</f>
        <v/>
      </c>
      <c r="AC69">
        <f>HYPERLINK("https://klasma.github.io/Logging_1904/tillsyn/S 1982-2025 tillsynsbegäran.docx", "S 1982-2025")</f>
        <v/>
      </c>
      <c r="AD69">
        <f>HYPERLINK("https://klasma.github.io/Logging_1904/tillsynsmail/S 1982-2025 tillsynsbegäran mail.docx", "S 1982-2025")</f>
        <v/>
      </c>
      <c r="AE69">
        <f>HYPERLINK("https://klasma.github.io/Logging_1904/fåglar/S 1982-2025 prioriterade fågelarter.docx", "S 1982-2025")</f>
        <v/>
      </c>
    </row>
    <row r="70" ht="15" customHeight="1">
      <c r="A70" t="inlineStr">
        <is>
          <t>S 870-2026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46107</v>
      </c>
      <c r="E70" s="1" t="n">
        <v>46326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Koppartaggsvamp</t>
        </is>
      </c>
      <c r="W70">
        <f>HYPERLINK("https://klasma.github.io/Logging_1904/artfynd/S 870-2026 artfynd.xlsx", "S 870-2026")</f>
        <v/>
      </c>
      <c r="X70">
        <f>HYPERLINK("https://klasma.github.io/Logging_1904/kartor/S 870-2026 karta.png", "S 870-2026")</f>
        <v/>
      </c>
      <c r="Y70">
        <f>HYPERLINK("https://klasma.github.io/Logging_1904/kartor_geotiff/S 870-2026 georefererad karta.tif", "S 870-2026")</f>
        <v/>
      </c>
      <c r="AA70">
        <f>HYPERLINK("https://klasma.github.io/Logging_1904/klagomål/S 870-2026 FSC-klagomål.docx", "S 870-2026")</f>
        <v/>
      </c>
      <c r="AB70">
        <f>HYPERLINK("https://klasma.github.io/Logging_1904/klagomålsmail/S 870-2026 FSC-klagomål mail.docx", "S 870-2026")</f>
        <v/>
      </c>
      <c r="AC70">
        <f>HYPERLINK("https://klasma.github.io/Logging_1904/tillsyn/S 870-2026 tillsynsbegäran.docx", "S 870-2026")</f>
        <v/>
      </c>
      <c r="AD70">
        <f>HYPERLINK("https://klasma.github.io/Logging_1904/tillsynsmail/S 870-2026 tillsynsbegäran mail.docx", "S 870-2026")</f>
        <v/>
      </c>
    </row>
    <row r="71" ht="15" customHeight="1">
      <c r="A71" t="inlineStr">
        <is>
          <t>A 33600-2022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44789</v>
      </c>
      <c r="E71" s="1" t="n">
        <v>46326</v>
      </c>
      <c r="F71" t="inlineStr">
        <is>
          <t>VÄSTMANLANDS LÄN</t>
        </is>
      </c>
      <c r="G71" t="inlineStr">
        <is>
          <t>SKINNSKATTEBERG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46326</v>
      </c>
      <c r="F72" t="inlineStr">
        <is>
          <t>VÄSTMANLANDS LÄN</t>
        </is>
      </c>
      <c r="G72" t="inlineStr">
        <is>
          <t>SKINNSKATTEBERG</t>
        </is>
      </c>
      <c r="I72" t="n">
        <v>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53454-2022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44879</v>
      </c>
      <c r="E73" s="1" t="n">
        <v>46326</v>
      </c>
      <c r="F73" t="inlineStr">
        <is>
          <t>VÄSTMANLANDS LÄN</t>
        </is>
      </c>
      <c r="G73" t="inlineStr">
        <is>
          <t>SKINNSKATTEBERG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44674</v>
      </c>
      <c r="E74" s="1" t="n">
        <v>46326</v>
      </c>
      <c r="F74" t="inlineStr">
        <is>
          <t>VÄSTMANLANDS LÄN</t>
        </is>
      </c>
      <c r="G74" t="inlineStr">
        <is>
          <t>SKINNSKATTEBERG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44829</v>
      </c>
      <c r="E75" s="1" t="n">
        <v>46326</v>
      </c>
      <c r="F75" t="inlineStr">
        <is>
          <t>VÄSTMANLANDS LÄN</t>
        </is>
      </c>
      <c r="G75" t="inlineStr">
        <is>
          <t>SKINNSKATTEBERG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69259-2021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44531</v>
      </c>
      <c r="E76" s="1" t="n">
        <v>46326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72634-2021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44545</v>
      </c>
      <c r="E77" s="1" t="n">
        <v>46326</v>
      </c>
      <c r="F77" t="inlineStr">
        <is>
          <t>VÄSTMANLANDS LÄN</t>
        </is>
      </c>
      <c r="G77" t="inlineStr">
        <is>
          <t>SKINNSKATTEBERG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44741</v>
      </c>
      <c r="E78" s="1" t="n">
        <v>46326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40499-2022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44823</v>
      </c>
      <c r="E79" s="1" t="n">
        <v>46326</v>
      </c>
      <c r="F79" t="inlineStr">
        <is>
          <t>VÄSTMANLANDS LÄN</t>
        </is>
      </c>
      <c r="G79" t="inlineStr">
        <is>
          <t>SKINNSKATTEBERG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71996-2021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46326</v>
      </c>
      <c r="F80" t="inlineStr">
        <is>
          <t>VÄSTMANLANDS LÄN</t>
        </is>
      </c>
      <c r="G80" t="inlineStr">
        <is>
          <t>SKINNSKATTEBERG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68540-2021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46326</v>
      </c>
      <c r="F81" t="inlineStr">
        <is>
          <t>VÄSTMANLANDS LÄN</t>
        </is>
      </c>
      <c r="G81" t="inlineStr">
        <is>
          <t>SKINNSKATTEBERG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46326</v>
      </c>
      <c r="F82" t="inlineStr">
        <is>
          <t>VÄSTMANLANDS LÄN</t>
        </is>
      </c>
      <c r="G82" t="inlineStr">
        <is>
          <t>SKINNSKATTEBERG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66587-2021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44519</v>
      </c>
      <c r="E83" s="1" t="n">
        <v>46326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72684-2021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44545</v>
      </c>
      <c r="E84" s="1" t="n">
        <v>46326</v>
      </c>
      <c r="F84" t="inlineStr">
        <is>
          <t>VÄSTMANLANDS LÄN</t>
        </is>
      </c>
      <c r="G84" t="inlineStr">
        <is>
          <t>SKINNSKATTEBERG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44852</v>
      </c>
      <c r="E85" s="1" t="n">
        <v>46326</v>
      </c>
      <c r="F85" t="inlineStr">
        <is>
          <t>VÄSTMANLANDS LÄN</t>
        </is>
      </c>
      <c r="G85" t="inlineStr">
        <is>
          <t>SKINNSKATTEBERG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46326</v>
      </c>
      <c r="F86" t="inlineStr">
        <is>
          <t>VÄSTMANLANDS LÄN</t>
        </is>
      </c>
      <c r="G86" t="inlineStr">
        <is>
          <t>SKINNSKATTEBERG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46326</v>
      </c>
      <c r="F87" t="inlineStr">
        <is>
          <t>VÄSTMANLANDS LÄN</t>
        </is>
      </c>
      <c r="G87" t="inlineStr">
        <is>
          <t>SKINNSKATTEBERG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45174</v>
      </c>
      <c r="E88" s="1" t="n">
        <v>46326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46326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46326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46326</v>
      </c>
      <c r="F91" t="inlineStr">
        <is>
          <t>VÄSTMANLANDS LÄN</t>
        </is>
      </c>
      <c r="G91" t="inlineStr">
        <is>
          <t>SKINNSKATTEBERG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46326</v>
      </c>
      <c r="F92" t="inlineStr">
        <is>
          <t>VÄSTMANLANDS LÄN</t>
        </is>
      </c>
      <c r="G92" t="inlineStr">
        <is>
          <t>SKINNSKATTEBERG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46326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46326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46326</v>
      </c>
      <c r="F95" t="inlineStr">
        <is>
          <t>VÄSTMANLANDS LÄN</t>
        </is>
      </c>
      <c r="G95" t="inlineStr">
        <is>
          <t>SKINNSKATTEBERG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45425</v>
      </c>
      <c r="E96" s="1" t="n">
        <v>46326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52532-2024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45609</v>
      </c>
      <c r="E97" s="1" t="n">
        <v>46326</v>
      </c>
      <c r="F97" t="inlineStr">
        <is>
          <t>VÄSTMANLANDS LÄN</t>
        </is>
      </c>
      <c r="G97" t="inlineStr">
        <is>
          <t>SKINNSKATTEBERG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45604</v>
      </c>
      <c r="E98" s="1" t="n">
        <v>46326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46326</v>
      </c>
      <c r="F99" t="inlineStr">
        <is>
          <t>VÄSTMANLANDS LÄN</t>
        </is>
      </c>
      <c r="G99" t="inlineStr">
        <is>
          <t>SKINNSKATTEBERG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44768</v>
      </c>
      <c r="E100" s="1" t="n">
        <v>46326</v>
      </c>
      <c r="F100" t="inlineStr">
        <is>
          <t>VÄSTMANLANDS LÄN</t>
        </is>
      </c>
      <c r="G100" t="inlineStr">
        <is>
          <t>SKINNSKATTEBERG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46326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Kyrkan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16088-2024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45406</v>
      </c>
      <c r="E102" s="1" t="n">
        <v>46326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45506</v>
      </c>
      <c r="E103" s="1" t="n">
        <v>46326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45637</v>
      </c>
      <c r="E104" s="1" t="n">
        <v>46326</v>
      </c>
      <c r="F104" t="inlineStr">
        <is>
          <t>VÄSTMANLANDS LÄN</t>
        </is>
      </c>
      <c r="G104" t="inlineStr">
        <is>
          <t>SKINNSKATTEBERG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46326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46326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Kyrkan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45375</v>
      </c>
      <c r="E107" s="1" t="n">
        <v>46326</v>
      </c>
      <c r="F107" t="inlineStr">
        <is>
          <t>VÄSTMANLANDS LÄN</t>
        </is>
      </c>
      <c r="G107" t="inlineStr">
        <is>
          <t>SKINNSKATTEBERG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45250</v>
      </c>
      <c r="E108" s="1" t="n">
        <v>46326</v>
      </c>
      <c r="F108" t="inlineStr">
        <is>
          <t>VÄSTMANLANDS LÄN</t>
        </is>
      </c>
      <c r="G108" t="inlineStr">
        <is>
          <t>SKINNSKATTEBERG</t>
        </is>
      </c>
      <c r="I108" t="n">
        <v>10.1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44910</v>
      </c>
      <c r="E109" s="1" t="n">
        <v>46326</v>
      </c>
      <c r="F109" t="inlineStr">
        <is>
          <t>VÄSTMANLANDS LÄN</t>
        </is>
      </c>
      <c r="G109" t="inlineStr">
        <is>
          <t>SKINNSKATTEBERG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18161-2024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45420</v>
      </c>
      <c r="E110" s="1" t="n">
        <v>46326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45247</v>
      </c>
      <c r="E111" s="1" t="n">
        <v>46326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25846-2025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45804</v>
      </c>
      <c r="E112" s="1" t="n">
        <v>46326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46326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46326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45434</v>
      </c>
      <c r="E115" s="1" t="n">
        <v>46326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45686</v>
      </c>
      <c r="E116" s="1" t="n">
        <v>46326</v>
      </c>
      <c r="F116" t="inlineStr">
        <is>
          <t>VÄSTMANLANDS LÄN</t>
        </is>
      </c>
      <c r="G116" t="inlineStr">
        <is>
          <t>SKINNSKATTEBERG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46326</v>
      </c>
      <c r="F117" t="inlineStr">
        <is>
          <t>VÄSTMANLANDS LÄN</t>
        </is>
      </c>
      <c r="G117" t="inlineStr">
        <is>
          <t>SKINNSKATTEBERG</t>
        </is>
      </c>
      <c r="I117" t="n">
        <v>10.5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45480</v>
      </c>
      <c r="E118" s="1" t="n">
        <v>46326</v>
      </c>
      <c r="F118" t="inlineStr">
        <is>
          <t>VÄSTMANLANDS LÄN</t>
        </is>
      </c>
      <c r="G118" t="inlineStr">
        <is>
          <t>SKINNSKATTEBERG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46326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46326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45571</v>
      </c>
      <c r="E121" s="1" t="n">
        <v>46326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46326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40776-2025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45897</v>
      </c>
      <c r="E123" s="1" t="n">
        <v>46326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46326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46326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40783-2025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45897</v>
      </c>
      <c r="E126" s="1" t="n">
        <v>46326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40782-2025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45897</v>
      </c>
      <c r="E127" s="1" t="n">
        <v>46326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28831-2025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45820</v>
      </c>
      <c r="E128" s="1" t="n">
        <v>46326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28873-2025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45820</v>
      </c>
      <c r="E129" s="1" t="n">
        <v>46326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45532</v>
      </c>
      <c r="E130" s="1" t="n">
        <v>46326</v>
      </c>
      <c r="F130" t="inlineStr">
        <is>
          <t>VÄSTMANLANDS LÄN</t>
        </is>
      </c>
      <c r="G130" t="inlineStr">
        <is>
          <t>SKINNSKATTEBERG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29808-2025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45825</v>
      </c>
      <c r="E131" s="1" t="n">
        <v>46326</v>
      </c>
      <c r="F131" t="inlineStr">
        <is>
          <t>VÄSTMANLANDS LÄN</t>
        </is>
      </c>
      <c r="G131" t="inlineStr">
        <is>
          <t>SKINNSKATTEBERG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45406</v>
      </c>
      <c r="E132" s="1" t="n">
        <v>46326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29810-2025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45825</v>
      </c>
      <c r="E133" s="1" t="n">
        <v>46326</v>
      </c>
      <c r="F133" t="inlineStr">
        <is>
          <t>VÄSTMANLANDS LÄN</t>
        </is>
      </c>
      <c r="G133" t="inlineStr">
        <is>
          <t>SKINNSKATTEBERG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46326</v>
      </c>
      <c r="F134" t="inlineStr">
        <is>
          <t>VÄSTMANLANDS LÄN</t>
        </is>
      </c>
      <c r="G134" t="inlineStr">
        <is>
          <t>SKINNSKATTEBERG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30439-2025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45827</v>
      </c>
      <c r="E135" s="1" t="n">
        <v>46326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45832</v>
      </c>
      <c r="E136" s="1" t="n">
        <v>46326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30873-2025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46326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31234-2025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45832</v>
      </c>
      <c r="E138" s="1" t="n">
        <v>46326</v>
      </c>
      <c r="F138" t="inlineStr">
        <is>
          <t>VÄSTMANLANDS LÄN</t>
        </is>
      </c>
      <c r="G138" t="inlineStr">
        <is>
          <t>SKINNSKATTEBERG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46326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46326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46326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46326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44184-2025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45915</v>
      </c>
      <c r="E143" s="1" t="n">
        <v>46326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45527</v>
      </c>
      <c r="E144" s="1" t="n">
        <v>46326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41581-2025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45901</v>
      </c>
      <c r="E145" s="1" t="n">
        <v>46326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45245</v>
      </c>
      <c r="E146" s="1" t="n">
        <v>46326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44603</v>
      </c>
      <c r="E147" s="1" t="n">
        <v>46326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45919</v>
      </c>
      <c r="E148" s="1" t="n">
        <v>46326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45121-2025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45919</v>
      </c>
      <c r="E149" s="1" t="n">
        <v>46326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45919</v>
      </c>
      <c r="E150" s="1" t="n">
        <v>46326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46326</v>
      </c>
      <c r="F151" t="inlineStr">
        <is>
          <t>VÄSTMANLANDS LÄN</t>
        </is>
      </c>
      <c r="G151" t="inlineStr">
        <is>
          <t>SKINNSKATTEBERG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46326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45848</v>
      </c>
      <c r="E153" s="1" t="n">
        <v>46326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45853</v>
      </c>
      <c r="E154" s="1" t="n">
        <v>46326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46326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45554</v>
      </c>
      <c r="E156" s="1" t="n">
        <v>46326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35205-2025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45853</v>
      </c>
      <c r="E157" s="1" t="n">
        <v>46326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5704-2026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46051</v>
      </c>
      <c r="E158" s="1" t="n">
        <v>46326</v>
      </c>
      <c r="F158" t="inlineStr">
        <is>
          <t>VÄSTMANLANDS LÄN</t>
        </is>
      </c>
      <c r="G158" t="inlineStr">
        <is>
          <t>SKINNSKATTEBERG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46051</v>
      </c>
      <c r="E159" s="1" t="n">
        <v>46326</v>
      </c>
      <c r="F159" t="inlineStr">
        <is>
          <t>VÄSTMANLANDS LÄN</t>
        </is>
      </c>
      <c r="G159" t="inlineStr">
        <is>
          <t>SKINNSKATTEBERG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46326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46326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5675-2026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46051</v>
      </c>
      <c r="E162" s="1" t="n">
        <v>46326</v>
      </c>
      <c r="F162" t="inlineStr">
        <is>
          <t>VÄSTMANLANDS LÄN</t>
        </is>
      </c>
      <c r="G162" t="inlineStr">
        <is>
          <t>SKINNSKATTEBERG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45617</v>
      </c>
      <c r="E163" s="1" t="n">
        <v>46326</v>
      </c>
      <c r="F163" t="inlineStr">
        <is>
          <t>VÄSTMANLANDS LÄN</t>
        </is>
      </c>
      <c r="G163" t="inlineStr">
        <is>
          <t>SKINNSKATTEBERG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45754</v>
      </c>
      <c r="E164" s="1" t="n">
        <v>46326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46326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45880</v>
      </c>
      <c r="E166" s="1" t="n">
        <v>46326</v>
      </c>
      <c r="F166" t="inlineStr">
        <is>
          <t>VÄSTMANLANDS LÄN</t>
        </is>
      </c>
      <c r="G166" t="inlineStr">
        <is>
          <t>SKINNSKATTEBERG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46326</v>
      </c>
      <c r="F167" t="inlineStr">
        <is>
          <t>VÄSTMANLANDS LÄN</t>
        </is>
      </c>
      <c r="G167" t="inlineStr">
        <is>
          <t>SKINNSKATTEBERG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45198</v>
      </c>
      <c r="E168" s="1" t="n">
        <v>46326</v>
      </c>
      <c r="F168" t="inlineStr">
        <is>
          <t>VÄSTMANLANDS LÄN</t>
        </is>
      </c>
      <c r="G168" t="inlineStr">
        <is>
          <t>SKINNSKATTEBERG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51026-2025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45947</v>
      </c>
      <c r="E169" s="1" t="n">
        <v>46326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51028-2025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45947</v>
      </c>
      <c r="E170" s="1" t="n">
        <v>46326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46326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46326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45063</v>
      </c>
      <c r="E173" s="1" t="n">
        <v>46326</v>
      </c>
      <c r="F173" t="inlineStr">
        <is>
          <t>VÄSTMANLANDS LÄN</t>
        </is>
      </c>
      <c r="G173" t="inlineStr">
        <is>
          <t>SKINNSKATTEBERG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45063</v>
      </c>
      <c r="E174" s="1" t="n">
        <v>46326</v>
      </c>
      <c r="F174" t="inlineStr">
        <is>
          <t>VÄSTMANLANDS LÄN</t>
        </is>
      </c>
      <c r="G174" t="inlineStr">
        <is>
          <t>SKINNSKATTEBERG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46326</v>
      </c>
      <c r="F175" t="inlineStr">
        <is>
          <t>VÄSTMANLANDS LÄN</t>
        </is>
      </c>
      <c r="G175" t="inlineStr">
        <is>
          <t>SKINNSKATTEBERG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45114</v>
      </c>
      <c r="E176" s="1" t="n">
        <v>46326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46326</v>
      </c>
      <c r="F177" t="inlineStr">
        <is>
          <t>VÄSTMANLANDS LÄN</t>
        </is>
      </c>
      <c r="G177" t="inlineStr">
        <is>
          <t>SKINNSKATTEBERG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46326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45571</v>
      </c>
      <c r="E179" s="1" t="n">
        <v>46326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45571</v>
      </c>
      <c r="E180" s="1" t="n">
        <v>46326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45237</v>
      </c>
      <c r="E181" s="1" t="n">
        <v>46326</v>
      </c>
      <c r="F181" t="inlineStr">
        <is>
          <t>VÄSTMANLANDS LÄN</t>
        </is>
      </c>
      <c r="G181" t="inlineStr">
        <is>
          <t>SKINNSKATTEBERG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20248-2024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45434</v>
      </c>
      <c r="E182" s="1" t="n">
        <v>46326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46326</v>
      </c>
      <c r="F183" t="inlineStr">
        <is>
          <t>VÄSTMANLANDS LÄN</t>
        </is>
      </c>
      <c r="G183" t="inlineStr">
        <is>
          <t>SKINNSKATTEBERG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46326</v>
      </c>
      <c r="F184" t="inlineStr">
        <is>
          <t>VÄSTMANLANDS LÄN</t>
        </is>
      </c>
      <c r="G184" t="inlineStr">
        <is>
          <t>SKINNSKATTEBERG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46326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16729-2024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45410</v>
      </c>
      <c r="E186" s="1" t="n">
        <v>46326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46326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46326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46326</v>
      </c>
      <c r="F189" t="inlineStr">
        <is>
          <t>VÄSTMANLANDS LÄN</t>
        </is>
      </c>
      <c r="G189" t="inlineStr">
        <is>
          <t>SKINNSKATTEBERG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46326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46326</v>
      </c>
      <c r="F191" t="inlineStr">
        <is>
          <t>VÄSTMANLANDS LÄN</t>
        </is>
      </c>
      <c r="G191" t="inlineStr">
        <is>
          <t>SKINNSKATTEBERG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45096</v>
      </c>
      <c r="E192" s="1" t="n">
        <v>46326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46326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46326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14237-2025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46326</v>
      </c>
      <c r="F195" t="inlineStr">
        <is>
          <t>VÄSTMANLANDS LÄN</t>
        </is>
      </c>
      <c r="G195" t="inlineStr">
        <is>
          <t>SKINNSKATTEBERG</t>
        </is>
      </c>
      <c r="I195" t="n">
        <v>10.4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56465-2025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45975</v>
      </c>
      <c r="E196" s="1" t="n">
        <v>46326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45407</v>
      </c>
      <c r="E197" s="1" t="n">
        <v>46326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46326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46326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46326</v>
      </c>
      <c r="F200" t="inlineStr">
        <is>
          <t>VÄSTMANLANDS LÄN</t>
        </is>
      </c>
      <c r="G200" t="inlineStr">
        <is>
          <t>SKINNSKATTEBERG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46326</v>
      </c>
      <c r="F201" t="inlineStr">
        <is>
          <t>VÄSTMANLANDS LÄN</t>
        </is>
      </c>
      <c r="G201" t="inlineStr">
        <is>
          <t>SKINNSKATTEBERG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25843-2023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45090</v>
      </c>
      <c r="E202" s="1" t="n">
        <v>46326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46326</v>
      </c>
      <c r="F203" t="inlineStr">
        <is>
          <t>VÄSTMANLANDS LÄN</t>
        </is>
      </c>
      <c r="G203" t="inlineStr">
        <is>
          <t>SKINNSKATTEBERG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45329</v>
      </c>
      <c r="E204" s="1" t="n">
        <v>46326</v>
      </c>
      <c r="F204" t="inlineStr">
        <is>
          <t>VÄSTMANLANDS LÄN</t>
        </is>
      </c>
      <c r="G204" t="inlineStr">
        <is>
          <t>SKINNSKATTEBERG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46326</v>
      </c>
      <c r="F205" t="inlineStr">
        <is>
          <t>VÄSTMANLANDS LÄN</t>
        </is>
      </c>
      <c r="G205" t="inlineStr">
        <is>
          <t>SKINNSKATTEBERG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46326</v>
      </c>
      <c r="F206" t="inlineStr">
        <is>
          <t>VÄSTMANLANDS LÄN</t>
        </is>
      </c>
      <c r="G206" t="inlineStr">
        <is>
          <t>SKINNSKATTEBERG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46326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46326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44648</v>
      </c>
      <c r="E209" s="1" t="n">
        <v>46326</v>
      </c>
      <c r="F209" t="inlineStr">
        <is>
          <t>VÄSTMANLANDS LÄN</t>
        </is>
      </c>
      <c r="G209" t="inlineStr">
        <is>
          <t>SKINNSKATTEBERG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46326</v>
      </c>
      <c r="F210" t="inlineStr">
        <is>
          <t>VÄSTMANLANDS LÄN</t>
        </is>
      </c>
      <c r="G210" t="inlineStr">
        <is>
          <t>SKINNSKATTEBERG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46003</v>
      </c>
      <c r="E211" s="1" t="n">
        <v>46326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46326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46326</v>
      </c>
      <c r="F213" t="inlineStr">
        <is>
          <t>VÄSTMANLANDS LÄN</t>
        </is>
      </c>
      <c r="G213" t="inlineStr">
        <is>
          <t>SKINNSKATTEBERG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45177</v>
      </c>
      <c r="E214" s="1" t="n">
        <v>46326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46326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46326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15955-2026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46108</v>
      </c>
      <c r="E217" s="1" t="n">
        <v>46326</v>
      </c>
      <c r="F217" t="inlineStr">
        <is>
          <t>VÄSTMANLANDS LÄN</t>
        </is>
      </c>
      <c r="G217" t="inlineStr">
        <is>
          <t>SKINNSKATTEBERG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46326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45420</v>
      </c>
      <c r="E219" s="1" t="n">
        <v>46326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16136-2026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46108</v>
      </c>
      <c r="E220" s="1" t="n">
        <v>46326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15731-2026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46326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46326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46326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46326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46326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46326</v>
      </c>
      <c r="F226" t="inlineStr">
        <is>
          <t>VÄSTMANLANDS LÄN</t>
        </is>
      </c>
      <c r="G226" t="inlineStr">
        <is>
          <t>SKINNSKATTEBERG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46119</v>
      </c>
      <c r="E227" s="1" t="n">
        <v>46326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46122</v>
      </c>
      <c r="E228" s="1" t="n">
        <v>46326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45512</v>
      </c>
      <c r="E229" s="1" t="n">
        <v>46326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46326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46326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46326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19540-2026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46134</v>
      </c>
      <c r="E233" s="1" t="n">
        <v>46326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19541-2026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46134</v>
      </c>
      <c r="E234" s="1" t="n">
        <v>46326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19582-2026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46134</v>
      </c>
      <c r="E235" s="1" t="n">
        <v>46326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36288-2022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44803</v>
      </c>
      <c r="E236" s="1" t="n">
        <v>46326</v>
      </c>
      <c r="F236" t="inlineStr">
        <is>
          <t>VÄSTMANLANDS LÄN</t>
        </is>
      </c>
      <c r="G236" t="inlineStr">
        <is>
          <t>SKINNSKATTEBERG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46326</v>
      </c>
      <c r="F237" t="inlineStr">
        <is>
          <t>VÄSTMANLANDS LÄN</t>
        </is>
      </c>
      <c r="G237" t="inlineStr">
        <is>
          <t>SKINNSKATTEBERG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46326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36248-2024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45534</v>
      </c>
      <c r="E239" s="1" t="n">
        <v>46326</v>
      </c>
      <c r="F239" t="inlineStr">
        <is>
          <t>VÄSTMANLANDS LÄN</t>
        </is>
      </c>
      <c r="G239" t="inlineStr">
        <is>
          <t>SKINNSKATTEBERG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45054</v>
      </c>
      <c r="E240" s="1" t="n">
        <v>46326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46326</v>
      </c>
      <c r="F241" t="inlineStr">
        <is>
          <t>VÄSTMANLANDS LÄN</t>
        </is>
      </c>
      <c r="G241" t="inlineStr">
        <is>
          <t>SKINNSKATTEBERG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46326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45056</v>
      </c>
      <c r="E243" s="1" t="n">
        <v>46326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45390</v>
      </c>
      <c r="E244" s="1" t="n">
        <v>46326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47137-2024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46326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45447</v>
      </c>
      <c r="E246" s="1" t="n">
        <v>46326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20556-2026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46326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20563-2026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46140</v>
      </c>
      <c r="E248" s="1" t="n">
        <v>46326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46326</v>
      </c>
      <c r="F249" t="inlineStr">
        <is>
          <t>VÄSTMANLANDS LÄN</t>
        </is>
      </c>
      <c r="G249" t="inlineStr">
        <is>
          <t>SKINNSKATTEBERG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46326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45387</v>
      </c>
      <c r="E251" s="1" t="n">
        <v>46326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46326</v>
      </c>
      <c r="F252" t="inlineStr">
        <is>
          <t>VÄSTMANLANDS LÄN</t>
        </is>
      </c>
      <c r="G252" t="inlineStr">
        <is>
          <t>SKINNSKATTEBERG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46326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45156</v>
      </c>
      <c r="E254" s="1" t="n">
        <v>46326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46326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46326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46142</v>
      </c>
      <c r="E257" s="1" t="n">
        <v>46326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46326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46326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46142</v>
      </c>
      <c r="E260" s="1" t="n">
        <v>46326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46326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45096</v>
      </c>
      <c r="E262" s="1" t="n">
        <v>46326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40545-2023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45170</v>
      </c>
      <c r="E263" s="1" t="n">
        <v>46326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46150</v>
      </c>
      <c r="E264" s="1" t="n">
        <v>46326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46326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40998-2024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45558</v>
      </c>
      <c r="E266" s="1" t="n">
        <v>46326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46154</v>
      </c>
      <c r="E267" s="1" t="n">
        <v>46326</v>
      </c>
      <c r="F267" t="inlineStr">
        <is>
          <t>VÄSTMANLANDS LÄN</t>
        </is>
      </c>
      <c r="G267" t="inlineStr">
        <is>
          <t>SKINNSKATTEBERG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22779-2026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46157</v>
      </c>
      <c r="E268" s="1" t="n">
        <v>46326</v>
      </c>
      <c r="F268" t="inlineStr">
        <is>
          <t>VÄSTMANLANDS LÄN</t>
        </is>
      </c>
      <c r="G268" t="inlineStr">
        <is>
          <t>SKINNSKATTEBERG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45720</v>
      </c>
      <c r="E269" s="1" t="n">
        <v>46326</v>
      </c>
      <c r="F269" t="inlineStr">
        <is>
          <t>VÄSTMANLANDS LÄN</t>
        </is>
      </c>
      <c r="G269" t="inlineStr">
        <is>
          <t>SKINNSKATTEBERG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46326</v>
      </c>
      <c r="F270" t="inlineStr">
        <is>
          <t>VÄSTMANLANDS LÄN</t>
        </is>
      </c>
      <c r="G270" t="inlineStr">
        <is>
          <t>SKINNSKATTEBERG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46326</v>
      </c>
      <c r="F271" t="inlineStr">
        <is>
          <t>VÄSTMANLANDS LÄN</t>
        </is>
      </c>
      <c r="G271" t="inlineStr">
        <is>
          <t>SKINNSKATTEBERG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46326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45082</v>
      </c>
      <c r="E273" s="1" t="n">
        <v>46326</v>
      </c>
      <c r="F273" t="inlineStr">
        <is>
          <t>VÄSTMANLANDS LÄN</t>
        </is>
      </c>
      <c r="G273" t="inlineStr">
        <is>
          <t>SKINNSKATTEBERG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45128</v>
      </c>
      <c r="E274" s="1" t="n">
        <v>46326</v>
      </c>
      <c r="F274" t="inlineStr">
        <is>
          <t>VÄSTMANLANDS LÄN</t>
        </is>
      </c>
      <c r="G274" t="inlineStr">
        <is>
          <t>SKINNSKATTEBERG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46326</v>
      </c>
      <c r="F275" t="inlineStr">
        <is>
          <t>VÄSTMANLANDS LÄN</t>
        </is>
      </c>
      <c r="G275" t="inlineStr">
        <is>
          <t>SKINNSKATTEBERG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46326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46170</v>
      </c>
      <c r="E277" s="1" t="n">
        <v>46326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40179-2024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45554</v>
      </c>
      <c r="E278" s="1" t="n">
        <v>46326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46326</v>
      </c>
      <c r="F279" t="inlineStr">
        <is>
          <t>VÄSTMANLANDS LÄN</t>
        </is>
      </c>
      <c r="G279" t="inlineStr">
        <is>
          <t>SKINNSKATTEBERG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45617</v>
      </c>
      <c r="E280" s="1" t="n">
        <v>46326</v>
      </c>
      <c r="F280" t="inlineStr">
        <is>
          <t>VÄSTMANLANDS LÄN</t>
        </is>
      </c>
      <c r="G280" t="inlineStr">
        <is>
          <t>SKINNSKATTEBERG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46326</v>
      </c>
      <c r="F281" t="inlineStr">
        <is>
          <t>VÄSTMANLANDS LÄN</t>
        </is>
      </c>
      <c r="G281" t="inlineStr">
        <is>
          <t>SKINNSKATTEBERG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46326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45006</v>
      </c>
      <c r="E283" s="1" t="n">
        <v>46326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Allmännings- och besparingsskogar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45385</v>
      </c>
      <c r="E284" s="1" t="n">
        <v>46326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15561-2024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45401</v>
      </c>
      <c r="E285" s="1" t="n">
        <v>46326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46177</v>
      </c>
      <c r="E286" s="1" t="n">
        <v>46326</v>
      </c>
      <c r="F286" t="inlineStr">
        <is>
          <t>VÄSTMANLANDS LÄN</t>
        </is>
      </c>
      <c r="G286" t="inlineStr">
        <is>
          <t>SKINNSKATTEBERG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46178</v>
      </c>
      <c r="E287" s="1" t="n">
        <v>46326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46326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46326</v>
      </c>
      <c r="F289" t="inlineStr">
        <is>
          <t>VÄSTMANLANDS LÄN</t>
        </is>
      </c>
      <c r="G289" t="inlineStr">
        <is>
          <t>SKINNSKATTEBERG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46326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46326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43400-2024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45568</v>
      </c>
      <c r="E292" s="1" t="n">
        <v>46326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26356-2026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46182</v>
      </c>
      <c r="E293" s="1" t="n">
        <v>46326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45643</v>
      </c>
      <c r="E294" s="1" t="n">
        <v>46326</v>
      </c>
      <c r="F294" t="inlineStr">
        <is>
          <t>VÄSTMANLANDS LÄN</t>
        </is>
      </c>
      <c r="G294" t="inlineStr">
        <is>
          <t>SKINNSKATTEBERG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46182</v>
      </c>
      <c r="E295" s="1" t="n">
        <v>46326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20379-2024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45435</v>
      </c>
      <c r="E296" s="1" t="n">
        <v>46326</v>
      </c>
      <c r="F296" t="inlineStr">
        <is>
          <t>VÄSTMANLANDS LÄN</t>
        </is>
      </c>
      <c r="G296" t="inlineStr">
        <is>
          <t>SKINNSKATTEBERG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44995</v>
      </c>
      <c r="E297" s="1" t="n">
        <v>46326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46326</v>
      </c>
      <c r="F298" t="inlineStr">
        <is>
          <t>VÄSTMANLANDS LÄN</t>
        </is>
      </c>
      <c r="G298" t="inlineStr">
        <is>
          <t>SKINNSKATTEBERG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54657-2022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44883</v>
      </c>
      <c r="E299" s="1" t="n">
        <v>46326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46326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46326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66584-2021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44519</v>
      </c>
      <c r="E302" s="1" t="n">
        <v>46326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26865-2026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46326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46326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45156</v>
      </c>
      <c r="E305" s="1" t="n">
        <v>46326</v>
      </c>
      <c r="F305" t="inlineStr">
        <is>
          <t>VÄSTMANLANDS LÄN</t>
        </is>
      </c>
      <c r="G305" t="inlineStr">
        <is>
          <t>SKINNSKATTEBERG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46326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27639-2026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46326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45252</v>
      </c>
      <c r="E308" s="1" t="n">
        <v>46326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45504</v>
      </c>
      <c r="E309" s="1" t="n">
        <v>46326</v>
      </c>
      <c r="F309" t="inlineStr">
        <is>
          <t>VÄSTMANLANDS LÄN</t>
        </is>
      </c>
      <c r="G309" t="inlineStr">
        <is>
          <t>SKINNSKATTEBERG</t>
        </is>
      </c>
      <c r="I309" t="n">
        <v>17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27634-2026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46326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27919-2026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46191</v>
      </c>
      <c r="E311" s="1" t="n">
        <v>46326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46191</v>
      </c>
      <c r="E312" s="1" t="n">
        <v>46326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46326</v>
      </c>
      <c r="F313" t="inlineStr">
        <is>
          <t>VÄSTMANLANDS LÄN</t>
        </is>
      </c>
      <c r="G313" t="inlineStr">
        <is>
          <t>SKINNSKATTEBERG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45306</v>
      </c>
      <c r="E314" s="1" t="n">
        <v>46326</v>
      </c>
      <c r="F314" t="inlineStr">
        <is>
          <t>VÄSTMANLANDS LÄN</t>
        </is>
      </c>
      <c r="G314" t="inlineStr">
        <is>
          <t>SKINNSKATTEBERG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46326</v>
      </c>
      <c r="F315" t="inlineStr">
        <is>
          <t>VÄSTMANLANDS LÄN</t>
        </is>
      </c>
      <c r="G315" t="inlineStr">
        <is>
          <t>SKINNSKATTEBERG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46326</v>
      </c>
      <c r="F316" t="inlineStr">
        <is>
          <t>VÄSTMANLANDS LÄN</t>
        </is>
      </c>
      <c r="G316" t="inlineStr">
        <is>
          <t>SKINNSKATTEBERG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46197</v>
      </c>
      <c r="E317" s="1" t="n">
        <v>46326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46197</v>
      </c>
      <c r="E318" s="1" t="n">
        <v>46326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46326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45686</v>
      </c>
      <c r="E320" s="1" t="n">
        <v>46326</v>
      </c>
      <c r="F320" t="inlineStr">
        <is>
          <t>VÄSTMANLANDS LÄN</t>
        </is>
      </c>
      <c r="G320" t="inlineStr">
        <is>
          <t>SKINNSKATTEBERG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46197</v>
      </c>
      <c r="E321" s="1" t="n">
        <v>46326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46326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46326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46200</v>
      </c>
      <c r="E324" s="1" t="n">
        <v>46326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46200</v>
      </c>
      <c r="E325" s="1" t="n">
        <v>46326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46326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15184-2025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45744</v>
      </c>
      <c r="E327" s="1" t="n">
        <v>46326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45174</v>
      </c>
      <c r="E328" s="1" t="n">
        <v>46326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46210</v>
      </c>
      <c r="E329" s="1" t="n">
        <v>46326</v>
      </c>
      <c r="F329" t="inlineStr">
        <is>
          <t>VÄSTMANLANDS LÄN</t>
        </is>
      </c>
      <c r="G329" t="inlineStr">
        <is>
          <t>SKINNSKATTEBERG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46326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45180</v>
      </c>
      <c r="E331" s="1" t="n">
        <v>46326</v>
      </c>
      <c r="F331" t="inlineStr">
        <is>
          <t>VÄSTMANLANDS LÄN</t>
        </is>
      </c>
      <c r="G331" t="inlineStr">
        <is>
          <t>SKINNSKATTEBERG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46326</v>
      </c>
      <c r="F332" t="inlineStr">
        <is>
          <t>VÄSTMANLANDS LÄN</t>
        </is>
      </c>
      <c r="G332" t="inlineStr">
        <is>
          <t>SKINNSKATTEBERG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46326</v>
      </c>
      <c r="F333" t="inlineStr">
        <is>
          <t>VÄSTMANLANDS LÄN</t>
        </is>
      </c>
      <c r="G333" t="inlineStr">
        <is>
          <t>SKINNSKATTEBERG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44713</v>
      </c>
      <c r="E334" s="1" t="n">
        <v>46326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46326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46326</v>
      </c>
      <c r="F336" t="inlineStr">
        <is>
          <t>VÄSTMANLANDS LÄN</t>
        </is>
      </c>
      <c r="G336" t="inlineStr">
        <is>
          <t>SKINNSKATTEBERG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45554</v>
      </c>
      <c r="E337" s="1" t="n">
        <v>46326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45048</v>
      </c>
      <c r="E338" s="1" t="n">
        <v>46326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16394-2024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46326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46326</v>
      </c>
      <c r="F340" t="inlineStr">
        <is>
          <t>VÄSTMANLANDS LÄN</t>
        </is>
      </c>
      <c r="G340" t="inlineStr">
        <is>
          <t>SKINNSKATTEBERG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29026-2026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46199</v>
      </c>
      <c r="E341" s="1" t="n">
        <v>46326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45114</v>
      </c>
      <c r="E342" s="1" t="n">
        <v>46326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46237</v>
      </c>
      <c r="E343" s="1" t="n">
        <v>46326</v>
      </c>
      <c r="F343" t="inlineStr">
        <is>
          <t>VÄSTMANLANDS LÄN</t>
        </is>
      </c>
      <c r="G343" t="inlineStr">
        <is>
          <t>SKINNSKATTEBERG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45506</v>
      </c>
      <c r="E344" s="1" t="n">
        <v>46326</v>
      </c>
      <c r="F344" t="inlineStr">
        <is>
          <t>VÄSTMANLANDS LÄN</t>
        </is>
      </c>
      <c r="G344" t="inlineStr">
        <is>
          <t>SKINNSKATTEBERG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45170</v>
      </c>
      <c r="E345" s="1" t="n">
        <v>46326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46326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45252</v>
      </c>
      <c r="E347" s="1" t="n">
        <v>46326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14719-2023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45014</v>
      </c>
      <c r="E348" s="1" t="n">
        <v>46326</v>
      </c>
      <c r="F348" t="inlineStr">
        <is>
          <t>VÄSTMANLANDS LÄN</t>
        </is>
      </c>
      <c r="G348" t="inlineStr">
        <is>
          <t>SKINNSKATTEBERG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14736-2023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45014</v>
      </c>
      <c r="E349" s="1" t="n">
        <v>46326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46244</v>
      </c>
      <c r="E350" s="1" t="n">
        <v>46326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46244</v>
      </c>
      <c r="E351" s="1" t="n">
        <v>46326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45762</v>
      </c>
      <c r="E352" s="1" t="n">
        <v>46326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46244</v>
      </c>
      <c r="E353" s="1" t="n">
        <v>46326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46285</v>
      </c>
      <c r="E354" s="1" t="n">
        <v>46326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45040</v>
      </c>
      <c r="E355" s="1" t="n">
        <v>46326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48492-2024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45592</v>
      </c>
      <c r="E356" s="1" t="n">
        <v>46326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45777</v>
      </c>
      <c r="E357" s="1" t="n">
        <v>46326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45777</v>
      </c>
      <c r="E358" s="1" t="n">
        <v>46326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46289</v>
      </c>
      <c r="E359" s="1" t="n">
        <v>46326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45377</v>
      </c>
      <c r="E360" s="1" t="n">
        <v>46326</v>
      </c>
      <c r="F360" t="inlineStr">
        <is>
          <t>VÄSTMANLANDS LÄN</t>
        </is>
      </c>
      <c r="G360" t="inlineStr">
        <is>
          <t>SKINNSKATTEBERG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39863-2026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46290</v>
      </c>
      <c r="E361" s="1" t="n">
        <v>46326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46326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46326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39869-2026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46326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50980-2022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46326</v>
      </c>
      <c r="F365" t="inlineStr">
        <is>
          <t>VÄSTMANLANDS LÄN</t>
        </is>
      </c>
      <c r="G365" t="inlineStr">
        <is>
          <t>SKINNSKATTEBERG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33454-2026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46247</v>
      </c>
      <c r="E366" s="1" t="n">
        <v>46326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46290</v>
      </c>
      <c r="E367" s="1" t="n">
        <v>46326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46248</v>
      </c>
      <c r="E368" s="1" t="n">
        <v>46326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46326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45480</v>
      </c>
      <c r="E370" s="1" t="n">
        <v>46326</v>
      </c>
      <c r="F370" t="inlineStr">
        <is>
          <t>VÄSTMANLANDS LÄN</t>
        </is>
      </c>
      <c r="G370" t="inlineStr">
        <is>
          <t>SKINNSKATTEBERG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22285-2025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45786</v>
      </c>
      <c r="E371" s="1" t="n">
        <v>46326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22079-2024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45443</v>
      </c>
      <c r="E372" s="1" t="n">
        <v>46326</v>
      </c>
      <c r="F372" t="inlineStr">
        <is>
          <t>VÄSTMANLANDS LÄN</t>
        </is>
      </c>
      <c r="G372" t="inlineStr">
        <is>
          <t>SKINNSKATTEBERG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35051-2024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45527</v>
      </c>
      <c r="E373" s="1" t="n">
        <v>46326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45476</v>
      </c>
      <c r="E374" s="1" t="n">
        <v>46326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46326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41207-2026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46300</v>
      </c>
      <c r="E376" s="1" t="n">
        <v>46326</v>
      </c>
      <c r="F376" t="inlineStr">
        <is>
          <t>VÄSTMANLANDS LÄN</t>
        </is>
      </c>
      <c r="G376" t="inlineStr">
        <is>
          <t>SKINNSKATTEBERG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35168-2026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46260</v>
      </c>
      <c r="E377" s="1" t="n">
        <v>46326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46260</v>
      </c>
      <c r="E378" s="1" t="n">
        <v>46326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35582-2026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46262</v>
      </c>
      <c r="E379" s="1" t="n">
        <v>46326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46262</v>
      </c>
      <c r="E380" s="1" t="n">
        <v>46326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46262</v>
      </c>
      <c r="E381" s="1" t="n">
        <v>46326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46262</v>
      </c>
      <c r="E382" s="1" t="n">
        <v>46326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46262</v>
      </c>
      <c r="E383" s="1" t="n">
        <v>46326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42549-2026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46308</v>
      </c>
      <c r="E384" s="1" t="n">
        <v>46326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35746-2026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46265</v>
      </c>
      <c r="E385" s="1" t="n">
        <v>46326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46308</v>
      </c>
      <c r="E386" s="1" t="n">
        <v>46326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46308</v>
      </c>
      <c r="E387" s="1" t="n">
        <v>46326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42565-2026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46308</v>
      </c>
      <c r="E388" s="1" t="n">
        <v>46326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46308</v>
      </c>
      <c r="E389" s="1" t="n">
        <v>46326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46308</v>
      </c>
      <c r="E390" s="1" t="n">
        <v>46326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46268</v>
      </c>
      <c r="E391" s="1" t="n">
        <v>46326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46316</v>
      </c>
      <c r="E392" s="1" t="n">
        <v>46326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46316</v>
      </c>
      <c r="E393" s="1" t="n">
        <v>46326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37168-2026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46274</v>
      </c>
      <c r="E394" s="1" t="n">
        <v>46326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43664-2026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46316</v>
      </c>
      <c r="E395" s="1" t="n">
        <v>46326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46316</v>
      </c>
      <c r="E396" s="1" t="n">
        <v>46326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46316</v>
      </c>
      <c r="E397" s="1" t="n">
        <v>46326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46316</v>
      </c>
      <c r="E398" s="1" t="n">
        <v>46326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46326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46326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46326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46318</v>
      </c>
      <c r="E402" s="1" t="n">
        <v>46326</v>
      </c>
      <c r="F402" t="inlineStr">
        <is>
          <t>VÄSTMANLANDS LÄN</t>
        </is>
      </c>
      <c r="G402" t="inlineStr">
        <is>
          <t>SKINNSKATTEBERG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46279</v>
      </c>
      <c r="E403" s="1" t="n">
        <v>46326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46325</v>
      </c>
      <c r="E404" s="1" t="n">
        <v>46326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46325</v>
      </c>
      <c r="E405" s="1" t="n">
        <v>46326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46282</v>
      </c>
      <c r="E406" s="1" t="n">
        <v>46326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45231-2026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46325</v>
      </c>
      <c r="E407" s="1" t="n">
        <v>46326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46282</v>
      </c>
      <c r="E408" s="1" t="n">
        <v>46326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1765-2024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45435</v>
      </c>
      <c r="E409" s="1" t="n">
        <v>46326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1462-2025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45786</v>
      </c>
      <c r="E410" s="1" t="n">
        <v>46326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1931-2025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45827</v>
      </c>
      <c r="E411" s="1" t="n">
        <v>46326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2177-2025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45853</v>
      </c>
      <c r="E412" s="1" t="n">
        <v>46326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2422-2025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45897</v>
      </c>
      <c r="E413" s="1" t="n">
        <v>46326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2421-2025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45897</v>
      </c>
      <c r="E414" s="1" t="n">
        <v>46326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45897</v>
      </c>
      <c r="E415" s="1" t="n">
        <v>46326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2456-2025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45901</v>
      </c>
      <c r="E416" s="1" t="n">
        <v>46326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2578-2025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45915</v>
      </c>
      <c r="E417" s="1" t="n">
        <v>46326</v>
      </c>
      <c r="F417" t="inlineStr">
        <is>
          <t>VÄSTMANLANDS LÄN</t>
        </is>
      </c>
      <c r="G417" t="inlineStr">
        <is>
          <t>SKINNSKATTEBERG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1325-2026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46147</v>
      </c>
      <c r="E418" s="1" t="n">
        <v>46326</v>
      </c>
      <c r="F418" t="inlineStr">
        <is>
          <t>VÄSTMANLANDS LÄN</t>
        </is>
      </c>
      <c r="G418" t="inlineStr">
        <is>
          <t>SKINNSKATTEBERG</t>
        </is>
      </c>
      <c r="H418" t="inlineStr">
        <is>
          <t>Sveaskog</t>
        </is>
      </c>
      <c r="I418" t="n">
        <v>65.3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1678-2026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46182</v>
      </c>
      <c r="E419" s="1" t="n">
        <v>46326</v>
      </c>
      <c r="F419" t="inlineStr">
        <is>
          <t>VÄSTMANLANDS LÄN</t>
        </is>
      </c>
      <c r="G419" t="inlineStr">
        <is>
          <t>SKINNSKATTEBERG</t>
        </is>
      </c>
      <c r="H419" t="inlineStr">
        <is>
          <t>Sveaskog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1868-2026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46199</v>
      </c>
      <c r="E420" s="1" t="n">
        <v>46326</v>
      </c>
      <c r="F420" t="inlineStr">
        <is>
          <t>VÄSTMANLANDS LÄN</t>
        </is>
      </c>
      <c r="G420" t="inlineStr">
        <is>
          <t>SKINNSKATTEBERG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2525-2026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46290</v>
      </c>
      <c r="E421" s="1" t="n">
        <v>46326</v>
      </c>
      <c r="F421" t="inlineStr">
        <is>
          <t>VÄSTMANLANDS LÄN</t>
        </is>
      </c>
      <c r="G421" t="inlineStr">
        <is>
          <t>SKINNSKATTEBERG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2239-2026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46260</v>
      </c>
      <c r="E422" s="1" t="n">
        <v>46326</v>
      </c>
      <c r="F422" t="inlineStr">
        <is>
          <t>VÄSTMANLANDS LÄN</t>
        </is>
      </c>
      <c r="G422" t="inlineStr">
        <is>
          <t>SKINNSKATTEBERG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2266-2026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46262</v>
      </c>
      <c r="E423" s="1" t="n">
        <v>46326</v>
      </c>
      <c r="F423" t="inlineStr">
        <is>
          <t>VÄSTMANLANDS LÄN</t>
        </is>
      </c>
      <c r="G423" t="inlineStr">
        <is>
          <t>SKINNSKATTEBERG</t>
        </is>
      </c>
      <c r="H423" t="inlineStr">
        <is>
          <t>Sveaskog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2026-10-31T03:27:46Z</dcterms:created>
  <dcterms:modified xmlns:dcterms="http://purl.org/dc/terms/" xmlns:xsi="http://www.w3.org/2001/XMLSchema-instance" xsi:type="dcterms:W3CDTF">2026-10-31T03:27:47Z</dcterms:modified>
</cp:coreProperties>
</file>